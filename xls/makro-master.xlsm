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doc\#Streaming\#Project\makro\VentekBacklog\import-product\"/>
    </mc:Choice>
  </mc:AlternateContent>
  <bookViews>
    <workbookView xWindow="0" yWindow="465" windowWidth="19200" windowHeight="7770" tabRatio="801" firstSheet="4" activeTab="8"/>
  </bookViews>
  <sheets>
    <sheet name="Business Category Lv2" sheetId="27" r:id="rId1"/>
    <sheet name="Business Category Lv1" sheetId="26" r:id="rId2"/>
    <sheet name="Business Category Lv0" sheetId="25" r:id="rId3"/>
    <sheet name="Product Category Lv2" sheetId="24" r:id="rId4"/>
    <sheet name="Product Category Lv1" sheetId="23" r:id="rId5"/>
    <sheet name="Product Category Lv0" sheetId="22" r:id="rId6"/>
    <sheet name="Item Database" sheetId="28" r:id="rId7"/>
    <sheet name="prod-mongo" sheetId="37" r:id="rId8"/>
    <sheet name="prod-prodcat" sheetId="34" r:id="rId9"/>
    <sheet name="prod-bizcat" sheetId="35" r:id="rId10"/>
    <sheet name="prod-brand" sheetId="36" r:id="rId11"/>
    <sheet name="product-map" sheetId="31" r:id="rId12"/>
    <sheet name="biz-map" sheetId="32" r:id="rId13"/>
    <sheet name="brand-map" sheetId="33" r:id="rId14"/>
    <sheet name="Brand" sheetId="7" r:id="rId15"/>
    <sheet name="Business Category" sheetId="5" r:id="rId16"/>
    <sheet name="Product Category" sheetId="30" r:id="rId17"/>
    <sheet name="Unit" sheetId="8" r:id="rId18"/>
    <sheet name="Promo" sheetId="9" r:id="rId19"/>
    <sheet name="MM items" sheetId="10" state="hidden" r:id="rId20"/>
  </sheets>
  <functionGroups builtInGroupCount="18"/>
  <externalReferences>
    <externalReference r:id="rId21"/>
    <externalReference r:id="rId22"/>
  </externalReferences>
  <definedNames>
    <definedName name="_?ocid_iehp" localSheetId="6">'Item Database'!#REF!</definedName>
    <definedName name="_20170707194644" localSheetId="7">'prod-mongo'!$A$1:$B$500</definedName>
    <definedName name="bizcat_mapping" localSheetId="12">'biz-map'!$A$1:$B$844</definedName>
    <definedName name="brand_mapping" localSheetId="13">'brand-map'!$A$1:$B$1225</definedName>
    <definedName name="Category" localSheetId="16">'Product Category'!$J$2:$J$170</definedName>
    <definedName name="Category">#REF!</definedName>
    <definedName name="del.rtf" localSheetId="6">'Item Database'!#REF!</definedName>
    <definedName name="prodcat_mapping" localSheetId="11">'product-map'!$A$1:$B$210</definedName>
    <definedName name="Subcategory" localSheetId="16">'Product Category'!$K$2:$K$170</definedName>
    <definedName name="Subcategory">#REF!</definedName>
    <definedName name="SubcateLvl1" localSheetId="16">'Product Category'!$L$2:$L$170</definedName>
    <definedName name="SubcateLvl1">#REF!</definedName>
    <definedName name="test_import" localSheetId="6">'Item Database'!#REF!</definedName>
    <definedName name="txt_from_html" localSheetId="6">'Item Database'!#REF!</definedName>
    <definedName name="txt_from_html_1" localSheetId="6">'Item Database'!#REF!</definedName>
    <definedName name="txt_from_html_2" localSheetId="6">'Item Database'!#REF!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34" l="1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44" i="34"/>
  <c r="D45" i="34"/>
  <c r="D46" i="34"/>
  <c r="D47" i="34"/>
  <c r="D48" i="34"/>
  <c r="D49" i="34"/>
  <c r="D50" i="34"/>
  <c r="D51" i="34"/>
  <c r="D52" i="34"/>
  <c r="D53" i="34"/>
  <c r="D54" i="34"/>
  <c r="D55" i="34"/>
  <c r="D56" i="34"/>
  <c r="D57" i="34"/>
  <c r="D58" i="34"/>
  <c r="D59" i="34"/>
  <c r="D60" i="34"/>
  <c r="D61" i="34"/>
  <c r="D62" i="34"/>
  <c r="D63" i="34"/>
  <c r="D64" i="34"/>
  <c r="D65" i="34"/>
  <c r="D66" i="34"/>
  <c r="D67" i="34"/>
  <c r="D68" i="34"/>
  <c r="D69" i="34"/>
  <c r="D70" i="34"/>
  <c r="D71" i="34"/>
  <c r="D72" i="34"/>
  <c r="D73" i="34"/>
  <c r="D74" i="34"/>
  <c r="D75" i="34"/>
  <c r="D76" i="34"/>
  <c r="D77" i="34"/>
  <c r="D78" i="34"/>
  <c r="D79" i="34"/>
  <c r="D80" i="34"/>
  <c r="D81" i="34"/>
  <c r="D82" i="34"/>
  <c r="D83" i="34"/>
  <c r="D84" i="34"/>
  <c r="D85" i="34"/>
  <c r="D86" i="34"/>
  <c r="D87" i="34"/>
  <c r="D88" i="34"/>
  <c r="D89" i="34"/>
  <c r="D90" i="34"/>
  <c r="D91" i="34"/>
  <c r="D92" i="34"/>
  <c r="D93" i="34"/>
  <c r="D94" i="34"/>
  <c r="D95" i="34"/>
  <c r="D96" i="34"/>
  <c r="D97" i="34"/>
  <c r="D98" i="34"/>
  <c r="D99" i="34"/>
  <c r="D100" i="34"/>
  <c r="D101" i="34"/>
  <c r="D102" i="34"/>
  <c r="D103" i="34"/>
  <c r="D104" i="34"/>
  <c r="D105" i="34"/>
  <c r="D106" i="34"/>
  <c r="D107" i="34"/>
  <c r="D108" i="34"/>
  <c r="D109" i="34"/>
  <c r="D110" i="34"/>
  <c r="D111" i="34"/>
  <c r="D112" i="34"/>
  <c r="D113" i="34"/>
  <c r="D114" i="34"/>
  <c r="D115" i="34"/>
  <c r="D116" i="34"/>
  <c r="D117" i="34"/>
  <c r="D118" i="34"/>
  <c r="D119" i="34"/>
  <c r="D120" i="34"/>
  <c r="D121" i="34"/>
  <c r="D122" i="34"/>
  <c r="D123" i="34"/>
  <c r="D124" i="34"/>
  <c r="D125" i="34"/>
  <c r="D126" i="34"/>
  <c r="D127" i="34"/>
  <c r="D128" i="34"/>
  <c r="D129" i="34"/>
  <c r="D130" i="34"/>
  <c r="D131" i="34"/>
  <c r="D132" i="34"/>
  <c r="D133" i="34"/>
  <c r="D134" i="34"/>
  <c r="D135" i="34"/>
  <c r="D136" i="34"/>
  <c r="D137" i="34"/>
  <c r="D138" i="34"/>
  <c r="D139" i="34"/>
  <c r="D140" i="34"/>
  <c r="D141" i="34"/>
  <c r="D142" i="34"/>
  <c r="D143" i="34"/>
  <c r="D144" i="34"/>
  <c r="D145" i="34"/>
  <c r="D146" i="34"/>
  <c r="D147" i="34"/>
  <c r="D148" i="34"/>
  <c r="D149" i="34"/>
  <c r="D150" i="34"/>
  <c r="D151" i="34"/>
  <c r="D152" i="34"/>
  <c r="D153" i="34"/>
  <c r="D154" i="34"/>
  <c r="D155" i="34"/>
  <c r="D156" i="34"/>
  <c r="D157" i="34"/>
  <c r="D158" i="34"/>
  <c r="D159" i="34"/>
  <c r="D160" i="34"/>
  <c r="D161" i="34"/>
  <c r="D162" i="34"/>
  <c r="D163" i="34"/>
  <c r="D164" i="34"/>
  <c r="D165" i="34"/>
  <c r="D166" i="34"/>
  <c r="D167" i="34"/>
  <c r="D168" i="34"/>
  <c r="D169" i="34"/>
  <c r="D170" i="34"/>
  <c r="D171" i="34"/>
  <c r="D172" i="34"/>
  <c r="D173" i="34"/>
  <c r="D174" i="34"/>
  <c r="D175" i="34"/>
  <c r="D176" i="34"/>
  <c r="D177" i="34"/>
  <c r="D178" i="34"/>
  <c r="D179" i="34"/>
  <c r="D180" i="34"/>
  <c r="D181" i="34"/>
  <c r="D182" i="34"/>
  <c r="D183" i="34"/>
  <c r="D184" i="34"/>
  <c r="D185" i="34"/>
  <c r="D186" i="34"/>
  <c r="D187" i="34"/>
  <c r="D188" i="34"/>
  <c r="D189" i="34"/>
  <c r="D190" i="34"/>
  <c r="D191" i="34"/>
  <c r="D192" i="34"/>
  <c r="D193" i="34"/>
  <c r="D194" i="34"/>
  <c r="D195" i="34"/>
  <c r="D196" i="34"/>
  <c r="D197" i="34"/>
  <c r="D198" i="34"/>
  <c r="D199" i="34"/>
  <c r="D200" i="34"/>
  <c r="D201" i="34"/>
  <c r="D202" i="34"/>
  <c r="D203" i="34"/>
  <c r="D204" i="34"/>
  <c r="D205" i="34"/>
  <c r="D206" i="34"/>
  <c r="D207" i="34"/>
  <c r="D208" i="34"/>
  <c r="D209" i="34"/>
  <c r="D210" i="34"/>
  <c r="D211" i="34"/>
  <c r="D212" i="34"/>
  <c r="D213" i="34"/>
  <c r="D214" i="34"/>
  <c r="D215" i="34"/>
  <c r="D216" i="34"/>
  <c r="D217" i="34"/>
  <c r="D218" i="34"/>
  <c r="D219" i="34"/>
  <c r="D220" i="34"/>
  <c r="D221" i="34"/>
  <c r="D222" i="34"/>
  <c r="D223" i="34"/>
  <c r="D224" i="34"/>
  <c r="D225" i="34"/>
  <c r="D226" i="34"/>
  <c r="D227" i="34"/>
  <c r="D228" i="34"/>
  <c r="D229" i="34"/>
  <c r="D230" i="34"/>
  <c r="D231" i="34"/>
  <c r="D232" i="34"/>
  <c r="D233" i="34"/>
  <c r="D234" i="34"/>
  <c r="D235" i="34"/>
  <c r="D236" i="34"/>
  <c r="D237" i="34"/>
  <c r="D238" i="34"/>
  <c r="D239" i="34"/>
  <c r="D240" i="34"/>
  <c r="D241" i="34"/>
  <c r="D242" i="34"/>
  <c r="D243" i="34"/>
  <c r="D244" i="34"/>
  <c r="D245" i="34"/>
  <c r="D246" i="34"/>
  <c r="D247" i="34"/>
  <c r="D248" i="34"/>
  <c r="D249" i="34"/>
  <c r="D250" i="34"/>
  <c r="D251" i="34"/>
  <c r="D252" i="34"/>
  <c r="D253" i="34"/>
  <c r="D254" i="34"/>
  <c r="D255" i="34"/>
  <c r="D256" i="34"/>
  <c r="D257" i="34"/>
  <c r="D258" i="34"/>
  <c r="D259" i="34"/>
  <c r="D260" i="34"/>
  <c r="D261" i="34"/>
  <c r="D262" i="34"/>
  <c r="D263" i="34"/>
  <c r="D264" i="34"/>
  <c r="D265" i="34"/>
  <c r="D266" i="34"/>
  <c r="D267" i="34"/>
  <c r="D268" i="34"/>
  <c r="D269" i="34"/>
  <c r="D270" i="34"/>
  <c r="D271" i="34"/>
  <c r="D272" i="34"/>
  <c r="D273" i="34"/>
  <c r="D274" i="34"/>
  <c r="D275" i="34"/>
  <c r="D276" i="34"/>
  <c r="D277" i="34"/>
  <c r="D278" i="34"/>
  <c r="D279" i="34"/>
  <c r="D280" i="34"/>
  <c r="D281" i="34"/>
  <c r="D282" i="34"/>
  <c r="D283" i="34"/>
  <c r="D284" i="34"/>
  <c r="D285" i="34"/>
  <c r="D286" i="34"/>
  <c r="D287" i="34"/>
  <c r="D288" i="34"/>
  <c r="D289" i="34"/>
  <c r="D290" i="34"/>
  <c r="D291" i="34"/>
  <c r="D292" i="34"/>
  <c r="D293" i="34"/>
  <c r="D294" i="34"/>
  <c r="D295" i="34"/>
  <c r="D296" i="34"/>
  <c r="D297" i="34"/>
  <c r="D298" i="34"/>
  <c r="D299" i="34"/>
  <c r="D300" i="34"/>
  <c r="D301" i="34"/>
  <c r="D302" i="34"/>
  <c r="D303" i="34"/>
  <c r="D304" i="34"/>
  <c r="D305" i="34"/>
  <c r="D306" i="34"/>
  <c r="D307" i="34"/>
  <c r="D308" i="34"/>
  <c r="D309" i="34"/>
  <c r="D310" i="34"/>
  <c r="D311" i="34"/>
  <c r="D312" i="34"/>
  <c r="D313" i="34"/>
  <c r="D314" i="34"/>
  <c r="D315" i="34"/>
  <c r="D316" i="34"/>
  <c r="D317" i="34"/>
  <c r="D318" i="34"/>
  <c r="D319" i="34"/>
  <c r="D320" i="34"/>
  <c r="D321" i="34"/>
  <c r="D322" i="34"/>
  <c r="D323" i="34"/>
  <c r="D324" i="34"/>
  <c r="D325" i="34"/>
  <c r="D326" i="34"/>
  <c r="D327" i="34"/>
  <c r="D328" i="34"/>
  <c r="D329" i="34"/>
  <c r="D330" i="34"/>
  <c r="D331" i="34"/>
  <c r="D332" i="34"/>
  <c r="D333" i="34"/>
  <c r="D334" i="34"/>
  <c r="D335" i="34"/>
  <c r="D336" i="34"/>
  <c r="D337" i="34"/>
  <c r="D338" i="34"/>
  <c r="D339" i="34"/>
  <c r="D340" i="34"/>
  <c r="D341" i="34"/>
  <c r="D342" i="34"/>
  <c r="D343" i="34"/>
  <c r="D344" i="34"/>
  <c r="D345" i="34"/>
  <c r="D346" i="34"/>
  <c r="D347" i="34"/>
  <c r="D348" i="34"/>
  <c r="D349" i="34"/>
  <c r="D350" i="34"/>
  <c r="D351" i="34"/>
  <c r="D352" i="34"/>
  <c r="D353" i="34"/>
  <c r="D354" i="34"/>
  <c r="D355" i="34"/>
  <c r="D356" i="34"/>
  <c r="D357" i="34"/>
  <c r="D358" i="34"/>
  <c r="D359" i="34"/>
  <c r="D360" i="34"/>
  <c r="D361" i="34"/>
  <c r="D362" i="34"/>
  <c r="D363" i="34"/>
  <c r="D364" i="34"/>
  <c r="D365" i="34"/>
  <c r="D366" i="34"/>
  <c r="D367" i="34"/>
  <c r="D368" i="34"/>
  <c r="D369" i="34"/>
  <c r="D370" i="34"/>
  <c r="D371" i="34"/>
  <c r="D372" i="34"/>
  <c r="D373" i="34"/>
  <c r="D374" i="34"/>
  <c r="D375" i="34"/>
  <c r="D376" i="34"/>
  <c r="D377" i="34"/>
  <c r="D378" i="34"/>
  <c r="D379" i="34"/>
  <c r="D380" i="34"/>
  <c r="D381" i="34"/>
  <c r="D382" i="34"/>
  <c r="D383" i="34"/>
  <c r="D384" i="34"/>
  <c r="D385" i="34"/>
  <c r="D386" i="34"/>
  <c r="D387" i="34"/>
  <c r="D388" i="34"/>
  <c r="D389" i="34"/>
  <c r="D390" i="34"/>
  <c r="D391" i="34"/>
  <c r="D392" i="34"/>
  <c r="D393" i="34"/>
  <c r="D394" i="34"/>
  <c r="D395" i="34"/>
  <c r="D396" i="34"/>
  <c r="D397" i="34"/>
  <c r="D398" i="34"/>
  <c r="D399" i="34"/>
  <c r="D400" i="34"/>
  <c r="D401" i="34"/>
  <c r="D402" i="34"/>
  <c r="D403" i="34"/>
  <c r="D404" i="34"/>
  <c r="D405" i="34"/>
  <c r="D406" i="34"/>
  <c r="D407" i="34"/>
  <c r="D408" i="34"/>
  <c r="D409" i="34"/>
  <c r="D410" i="34"/>
  <c r="D411" i="34"/>
  <c r="D412" i="34"/>
  <c r="D413" i="34"/>
  <c r="D414" i="34"/>
  <c r="D415" i="34"/>
  <c r="D416" i="34"/>
  <c r="D417" i="34"/>
  <c r="D418" i="34"/>
  <c r="D419" i="34"/>
  <c r="D420" i="34"/>
  <c r="D421" i="34"/>
  <c r="D422" i="34"/>
  <c r="D423" i="34"/>
  <c r="D424" i="34"/>
  <c r="D425" i="34"/>
  <c r="D426" i="34"/>
  <c r="D427" i="34"/>
  <c r="D428" i="34"/>
  <c r="D429" i="34"/>
  <c r="D430" i="34"/>
  <c r="D431" i="34"/>
  <c r="D432" i="34"/>
  <c r="D433" i="34"/>
  <c r="D434" i="34"/>
  <c r="D435" i="34"/>
  <c r="D436" i="34"/>
  <c r="D437" i="34"/>
  <c r="D438" i="34"/>
  <c r="D439" i="34"/>
  <c r="D440" i="34"/>
  <c r="D441" i="34"/>
  <c r="D442" i="34"/>
  <c r="D443" i="34"/>
  <c r="D444" i="34"/>
  <c r="D445" i="34"/>
  <c r="D446" i="34"/>
  <c r="D447" i="34"/>
  <c r="D448" i="34"/>
  <c r="D449" i="34"/>
  <c r="D450" i="34"/>
  <c r="D451" i="34"/>
  <c r="D452" i="34"/>
  <c r="D453" i="34"/>
  <c r="D454" i="34"/>
  <c r="D455" i="34"/>
  <c r="D456" i="34"/>
  <c r="D457" i="34"/>
  <c r="D458" i="34"/>
  <c r="D459" i="34"/>
  <c r="D460" i="34"/>
  <c r="D461" i="34"/>
  <c r="D462" i="34"/>
  <c r="D463" i="34"/>
  <c r="D464" i="34"/>
  <c r="D465" i="34"/>
  <c r="D466" i="34"/>
  <c r="D467" i="34"/>
  <c r="D468" i="34"/>
  <c r="D469" i="34"/>
  <c r="D470" i="34"/>
  <c r="D471" i="34"/>
  <c r="D472" i="34"/>
  <c r="D473" i="34"/>
  <c r="D474" i="34"/>
  <c r="D475" i="34"/>
  <c r="D476" i="34"/>
  <c r="D477" i="34"/>
  <c r="D478" i="34"/>
  <c r="D479" i="34"/>
  <c r="D480" i="34"/>
  <c r="D481" i="34"/>
  <c r="D482" i="34"/>
  <c r="D483" i="34"/>
  <c r="D484" i="34"/>
  <c r="D485" i="34"/>
  <c r="D486" i="34"/>
  <c r="D487" i="34"/>
  <c r="D488" i="34"/>
  <c r="D489" i="34"/>
  <c r="D490" i="34"/>
  <c r="D491" i="34"/>
  <c r="D492" i="34"/>
  <c r="D493" i="34"/>
  <c r="D494" i="34"/>
  <c r="D495" i="34"/>
  <c r="D496" i="34"/>
  <c r="D497" i="34"/>
  <c r="D498" i="34"/>
  <c r="D499" i="34"/>
  <c r="D500" i="34"/>
  <c r="D501" i="34"/>
  <c r="D2" i="34"/>
  <c r="C3" i="34"/>
  <c r="C4" i="34"/>
  <c r="C5" i="34"/>
  <c r="C6" i="34"/>
  <c r="C7" i="34"/>
  <c r="C8" i="34"/>
  <c r="C9" i="34"/>
  <c r="C10" i="34"/>
  <c r="C11" i="34"/>
  <c r="C12" i="34"/>
  <c r="C13" i="34"/>
  <c r="C14" i="34"/>
  <c r="C15" i="34"/>
  <c r="C16" i="34"/>
  <c r="C17" i="34"/>
  <c r="C18" i="34"/>
  <c r="C19" i="34"/>
  <c r="C20" i="34"/>
  <c r="C21" i="34"/>
  <c r="C22" i="34"/>
  <c r="C23" i="34"/>
  <c r="C24" i="34"/>
  <c r="C25" i="34"/>
  <c r="C26" i="34"/>
  <c r="C27" i="34"/>
  <c r="C28" i="34"/>
  <c r="C29" i="34"/>
  <c r="C30" i="34"/>
  <c r="C31" i="34"/>
  <c r="C32" i="34"/>
  <c r="C33" i="34"/>
  <c r="C34" i="34"/>
  <c r="C35" i="34"/>
  <c r="C36" i="34"/>
  <c r="C37" i="34"/>
  <c r="C38" i="34"/>
  <c r="C39" i="34"/>
  <c r="C40" i="34"/>
  <c r="C41" i="34"/>
  <c r="C42" i="34"/>
  <c r="C43" i="34"/>
  <c r="C44" i="34"/>
  <c r="C45" i="34"/>
  <c r="C46" i="34"/>
  <c r="C47" i="34"/>
  <c r="C48" i="34"/>
  <c r="C49" i="34"/>
  <c r="C50" i="34"/>
  <c r="C51" i="34"/>
  <c r="C52" i="34"/>
  <c r="C53" i="34"/>
  <c r="C54" i="34"/>
  <c r="C55" i="34"/>
  <c r="C56" i="34"/>
  <c r="C57" i="34"/>
  <c r="C58" i="34"/>
  <c r="C59" i="34"/>
  <c r="C60" i="34"/>
  <c r="C61" i="34"/>
  <c r="C62" i="34"/>
  <c r="C63" i="34"/>
  <c r="C64" i="34"/>
  <c r="C65" i="34"/>
  <c r="C66" i="34"/>
  <c r="C67" i="34"/>
  <c r="C68" i="34"/>
  <c r="C69" i="34"/>
  <c r="C70" i="34"/>
  <c r="C71" i="34"/>
  <c r="C72" i="34"/>
  <c r="C73" i="34"/>
  <c r="C74" i="34"/>
  <c r="C75" i="34"/>
  <c r="C76" i="34"/>
  <c r="C77" i="34"/>
  <c r="C78" i="34"/>
  <c r="C79" i="34"/>
  <c r="C80" i="34"/>
  <c r="C81" i="34"/>
  <c r="C82" i="34"/>
  <c r="C83" i="34"/>
  <c r="C84" i="34"/>
  <c r="C85" i="34"/>
  <c r="C86" i="34"/>
  <c r="C87" i="34"/>
  <c r="C88" i="34"/>
  <c r="C89" i="34"/>
  <c r="C90" i="34"/>
  <c r="C91" i="34"/>
  <c r="C92" i="34"/>
  <c r="C93" i="34"/>
  <c r="C94" i="34"/>
  <c r="C95" i="34"/>
  <c r="C96" i="34"/>
  <c r="C97" i="34"/>
  <c r="C98" i="34"/>
  <c r="C99" i="34"/>
  <c r="C100" i="34"/>
  <c r="C101" i="34"/>
  <c r="C102" i="34"/>
  <c r="C103" i="34"/>
  <c r="C104" i="34"/>
  <c r="C105" i="34"/>
  <c r="C106" i="34"/>
  <c r="C107" i="34"/>
  <c r="C108" i="34"/>
  <c r="C109" i="34"/>
  <c r="C110" i="34"/>
  <c r="C111" i="34"/>
  <c r="C112" i="34"/>
  <c r="C113" i="34"/>
  <c r="C114" i="34"/>
  <c r="C115" i="34"/>
  <c r="C116" i="34"/>
  <c r="C117" i="34"/>
  <c r="C118" i="34"/>
  <c r="C119" i="34"/>
  <c r="C120" i="34"/>
  <c r="C121" i="34"/>
  <c r="C122" i="34"/>
  <c r="C123" i="34"/>
  <c r="C124" i="34"/>
  <c r="C125" i="34"/>
  <c r="C126" i="34"/>
  <c r="C127" i="34"/>
  <c r="C128" i="34"/>
  <c r="C129" i="34"/>
  <c r="C130" i="34"/>
  <c r="C131" i="34"/>
  <c r="C132" i="34"/>
  <c r="C133" i="34"/>
  <c r="C134" i="34"/>
  <c r="C135" i="34"/>
  <c r="C136" i="34"/>
  <c r="C137" i="34"/>
  <c r="C138" i="34"/>
  <c r="C139" i="34"/>
  <c r="C140" i="34"/>
  <c r="C141" i="34"/>
  <c r="C142" i="34"/>
  <c r="C143" i="34"/>
  <c r="C144" i="34"/>
  <c r="C145" i="34"/>
  <c r="C146" i="34"/>
  <c r="C147" i="34"/>
  <c r="C148" i="34"/>
  <c r="C149" i="34"/>
  <c r="C150" i="34"/>
  <c r="C151" i="34"/>
  <c r="C152" i="34"/>
  <c r="C153" i="34"/>
  <c r="C154" i="34"/>
  <c r="C155" i="34"/>
  <c r="C156" i="34"/>
  <c r="C157" i="34"/>
  <c r="C158" i="34"/>
  <c r="C159" i="34"/>
  <c r="C160" i="34"/>
  <c r="C161" i="34"/>
  <c r="C162" i="34"/>
  <c r="C163" i="34"/>
  <c r="C164" i="34"/>
  <c r="C165" i="34"/>
  <c r="C166" i="34"/>
  <c r="C167" i="34"/>
  <c r="C168" i="34"/>
  <c r="C169" i="34"/>
  <c r="C170" i="34"/>
  <c r="C171" i="34"/>
  <c r="C172" i="34"/>
  <c r="C173" i="34"/>
  <c r="C174" i="34"/>
  <c r="C175" i="34"/>
  <c r="C176" i="34"/>
  <c r="C177" i="34"/>
  <c r="C178" i="34"/>
  <c r="C179" i="34"/>
  <c r="C180" i="34"/>
  <c r="C181" i="34"/>
  <c r="C182" i="34"/>
  <c r="C183" i="34"/>
  <c r="C184" i="34"/>
  <c r="C185" i="34"/>
  <c r="C186" i="34"/>
  <c r="C187" i="34"/>
  <c r="C188" i="34"/>
  <c r="C189" i="34"/>
  <c r="C190" i="34"/>
  <c r="C191" i="34"/>
  <c r="C192" i="34"/>
  <c r="C193" i="34"/>
  <c r="C194" i="34"/>
  <c r="C195" i="34"/>
  <c r="C196" i="34"/>
  <c r="C197" i="34"/>
  <c r="C198" i="34"/>
  <c r="C199" i="34"/>
  <c r="C200" i="34"/>
  <c r="C201" i="34"/>
  <c r="C202" i="34"/>
  <c r="C203" i="34"/>
  <c r="C204" i="34"/>
  <c r="C205" i="34"/>
  <c r="C206" i="34"/>
  <c r="C207" i="34"/>
  <c r="C208" i="34"/>
  <c r="C209" i="34"/>
  <c r="C210" i="34"/>
  <c r="C211" i="34"/>
  <c r="C212" i="34"/>
  <c r="C213" i="34"/>
  <c r="C214" i="34"/>
  <c r="C215" i="34"/>
  <c r="C216" i="34"/>
  <c r="C217" i="34"/>
  <c r="C218" i="34"/>
  <c r="C219" i="34"/>
  <c r="C220" i="34"/>
  <c r="C221" i="34"/>
  <c r="C222" i="34"/>
  <c r="C223" i="34"/>
  <c r="C224" i="34"/>
  <c r="C225" i="34"/>
  <c r="C226" i="34"/>
  <c r="C227" i="34"/>
  <c r="C228" i="34"/>
  <c r="C229" i="34"/>
  <c r="C230" i="34"/>
  <c r="C231" i="34"/>
  <c r="C232" i="34"/>
  <c r="C233" i="34"/>
  <c r="C234" i="34"/>
  <c r="C235" i="34"/>
  <c r="C236" i="34"/>
  <c r="C237" i="34"/>
  <c r="C238" i="34"/>
  <c r="C239" i="34"/>
  <c r="C240" i="34"/>
  <c r="C241" i="34"/>
  <c r="C242" i="34"/>
  <c r="C243" i="34"/>
  <c r="C244" i="34"/>
  <c r="C245" i="34"/>
  <c r="C246" i="34"/>
  <c r="C247" i="34"/>
  <c r="C248" i="34"/>
  <c r="C249" i="34"/>
  <c r="C250" i="34"/>
  <c r="C251" i="34"/>
  <c r="C252" i="34"/>
  <c r="C253" i="34"/>
  <c r="C254" i="34"/>
  <c r="C255" i="34"/>
  <c r="C256" i="34"/>
  <c r="C257" i="34"/>
  <c r="C258" i="34"/>
  <c r="C259" i="34"/>
  <c r="C260" i="34"/>
  <c r="C261" i="34"/>
  <c r="C262" i="34"/>
  <c r="C263" i="34"/>
  <c r="C264" i="34"/>
  <c r="C265" i="34"/>
  <c r="C266" i="34"/>
  <c r="C267" i="34"/>
  <c r="C268" i="34"/>
  <c r="C269" i="34"/>
  <c r="C270" i="34"/>
  <c r="C271" i="34"/>
  <c r="C272" i="34"/>
  <c r="C273" i="34"/>
  <c r="C274" i="34"/>
  <c r="C275" i="34"/>
  <c r="C276" i="34"/>
  <c r="C277" i="34"/>
  <c r="C278" i="34"/>
  <c r="C279" i="34"/>
  <c r="C280" i="34"/>
  <c r="C281" i="34"/>
  <c r="C282" i="34"/>
  <c r="C283" i="34"/>
  <c r="C284" i="34"/>
  <c r="C285" i="34"/>
  <c r="C286" i="34"/>
  <c r="C287" i="34"/>
  <c r="C288" i="34"/>
  <c r="C289" i="34"/>
  <c r="C290" i="34"/>
  <c r="C291" i="34"/>
  <c r="C292" i="34"/>
  <c r="C293" i="34"/>
  <c r="C294" i="34"/>
  <c r="C295" i="34"/>
  <c r="C296" i="34"/>
  <c r="C297" i="34"/>
  <c r="C298" i="34"/>
  <c r="C299" i="34"/>
  <c r="C300" i="34"/>
  <c r="C301" i="34"/>
  <c r="C302" i="34"/>
  <c r="C303" i="34"/>
  <c r="C304" i="34"/>
  <c r="C305" i="34"/>
  <c r="C306" i="34"/>
  <c r="C307" i="34"/>
  <c r="C308" i="34"/>
  <c r="C309" i="34"/>
  <c r="C310" i="34"/>
  <c r="C311" i="34"/>
  <c r="C312" i="34"/>
  <c r="C313" i="34"/>
  <c r="C314" i="34"/>
  <c r="C315" i="34"/>
  <c r="C316" i="34"/>
  <c r="C317" i="34"/>
  <c r="C318" i="34"/>
  <c r="C319" i="34"/>
  <c r="C320" i="34"/>
  <c r="C321" i="34"/>
  <c r="C322" i="34"/>
  <c r="C323" i="34"/>
  <c r="C324" i="34"/>
  <c r="C325" i="34"/>
  <c r="C326" i="34"/>
  <c r="C327" i="34"/>
  <c r="C328" i="34"/>
  <c r="C329" i="34"/>
  <c r="C330" i="34"/>
  <c r="C331" i="34"/>
  <c r="C332" i="34"/>
  <c r="C333" i="34"/>
  <c r="C334" i="34"/>
  <c r="C335" i="34"/>
  <c r="C336" i="34"/>
  <c r="C337" i="34"/>
  <c r="C338" i="34"/>
  <c r="C339" i="34"/>
  <c r="C340" i="34"/>
  <c r="C341" i="34"/>
  <c r="C342" i="34"/>
  <c r="C343" i="34"/>
  <c r="C344" i="34"/>
  <c r="C345" i="34"/>
  <c r="C346" i="34"/>
  <c r="C347" i="34"/>
  <c r="C348" i="34"/>
  <c r="C349" i="34"/>
  <c r="C350" i="34"/>
  <c r="C351" i="34"/>
  <c r="C352" i="34"/>
  <c r="C353" i="34"/>
  <c r="C354" i="34"/>
  <c r="C355" i="34"/>
  <c r="C356" i="34"/>
  <c r="C357" i="34"/>
  <c r="C358" i="34"/>
  <c r="C359" i="34"/>
  <c r="C360" i="34"/>
  <c r="C361" i="34"/>
  <c r="C362" i="34"/>
  <c r="C363" i="34"/>
  <c r="C364" i="34"/>
  <c r="C365" i="34"/>
  <c r="C366" i="34"/>
  <c r="C367" i="34"/>
  <c r="C368" i="34"/>
  <c r="C369" i="34"/>
  <c r="C370" i="34"/>
  <c r="C371" i="34"/>
  <c r="C372" i="34"/>
  <c r="C373" i="34"/>
  <c r="C374" i="34"/>
  <c r="C375" i="34"/>
  <c r="C376" i="34"/>
  <c r="C377" i="34"/>
  <c r="C378" i="34"/>
  <c r="C379" i="34"/>
  <c r="C380" i="34"/>
  <c r="C381" i="34"/>
  <c r="C382" i="34"/>
  <c r="C383" i="34"/>
  <c r="C384" i="34"/>
  <c r="C385" i="34"/>
  <c r="C386" i="34"/>
  <c r="C387" i="34"/>
  <c r="C388" i="34"/>
  <c r="C389" i="34"/>
  <c r="C390" i="34"/>
  <c r="C391" i="34"/>
  <c r="C392" i="34"/>
  <c r="C393" i="34"/>
  <c r="C394" i="34"/>
  <c r="C395" i="34"/>
  <c r="C396" i="34"/>
  <c r="C397" i="34"/>
  <c r="C398" i="34"/>
  <c r="C399" i="34"/>
  <c r="C400" i="34"/>
  <c r="C401" i="34"/>
  <c r="C402" i="34"/>
  <c r="C403" i="34"/>
  <c r="C404" i="34"/>
  <c r="C405" i="34"/>
  <c r="C406" i="34"/>
  <c r="C407" i="34"/>
  <c r="C408" i="34"/>
  <c r="C409" i="34"/>
  <c r="C410" i="34"/>
  <c r="C411" i="34"/>
  <c r="C412" i="34"/>
  <c r="C413" i="34"/>
  <c r="C414" i="34"/>
  <c r="C415" i="34"/>
  <c r="C416" i="34"/>
  <c r="C417" i="34"/>
  <c r="C418" i="34"/>
  <c r="C419" i="34"/>
  <c r="C420" i="34"/>
  <c r="C421" i="34"/>
  <c r="C422" i="34"/>
  <c r="C423" i="34"/>
  <c r="C424" i="34"/>
  <c r="C425" i="34"/>
  <c r="C426" i="34"/>
  <c r="C427" i="34"/>
  <c r="C428" i="34"/>
  <c r="C429" i="34"/>
  <c r="C430" i="34"/>
  <c r="C431" i="34"/>
  <c r="C432" i="34"/>
  <c r="C433" i="34"/>
  <c r="C434" i="34"/>
  <c r="C435" i="34"/>
  <c r="C436" i="34"/>
  <c r="C437" i="34"/>
  <c r="C438" i="34"/>
  <c r="C439" i="34"/>
  <c r="C440" i="34"/>
  <c r="C441" i="34"/>
  <c r="C442" i="34"/>
  <c r="C443" i="34"/>
  <c r="C444" i="34"/>
  <c r="C445" i="34"/>
  <c r="C446" i="34"/>
  <c r="C447" i="34"/>
  <c r="C448" i="34"/>
  <c r="C449" i="34"/>
  <c r="C450" i="34"/>
  <c r="C451" i="34"/>
  <c r="C452" i="34"/>
  <c r="C453" i="34"/>
  <c r="C454" i="34"/>
  <c r="C455" i="34"/>
  <c r="C456" i="34"/>
  <c r="C457" i="34"/>
  <c r="C458" i="34"/>
  <c r="C459" i="34"/>
  <c r="C460" i="34"/>
  <c r="C461" i="34"/>
  <c r="C462" i="34"/>
  <c r="C463" i="34"/>
  <c r="C464" i="34"/>
  <c r="C465" i="34"/>
  <c r="C466" i="34"/>
  <c r="C467" i="34"/>
  <c r="C468" i="34"/>
  <c r="C469" i="34"/>
  <c r="C470" i="34"/>
  <c r="C471" i="34"/>
  <c r="C472" i="34"/>
  <c r="C473" i="34"/>
  <c r="C474" i="34"/>
  <c r="C475" i="34"/>
  <c r="C476" i="34"/>
  <c r="C477" i="34"/>
  <c r="C478" i="34"/>
  <c r="C479" i="34"/>
  <c r="C480" i="34"/>
  <c r="C481" i="34"/>
  <c r="C482" i="34"/>
  <c r="C483" i="34"/>
  <c r="C484" i="34"/>
  <c r="C485" i="34"/>
  <c r="C486" i="34"/>
  <c r="C487" i="34"/>
  <c r="C488" i="34"/>
  <c r="C489" i="34"/>
  <c r="C490" i="34"/>
  <c r="C491" i="34"/>
  <c r="C492" i="34"/>
  <c r="C493" i="34"/>
  <c r="C494" i="34"/>
  <c r="C495" i="34"/>
  <c r="C496" i="34"/>
  <c r="C497" i="34"/>
  <c r="C498" i="34"/>
  <c r="C499" i="34"/>
  <c r="C500" i="34"/>
  <c r="C501" i="34"/>
  <c r="C2" i="34"/>
  <c r="D3" i="36"/>
  <c r="D4" i="36"/>
  <c r="D5" i="36"/>
  <c r="D6" i="36"/>
  <c r="D7" i="36"/>
  <c r="D8" i="36"/>
  <c r="D9" i="36"/>
  <c r="D10" i="36"/>
  <c r="D11" i="36"/>
  <c r="D12" i="36"/>
  <c r="D13" i="36"/>
  <c r="D14" i="36"/>
  <c r="D15" i="36"/>
  <c r="D16" i="36"/>
  <c r="D17" i="36"/>
  <c r="D18" i="36"/>
  <c r="D19" i="36"/>
  <c r="D20" i="36"/>
  <c r="D21" i="36"/>
  <c r="D22" i="36"/>
  <c r="D23" i="36"/>
  <c r="D24" i="36"/>
  <c r="D25" i="36"/>
  <c r="D26" i="36"/>
  <c r="D27" i="36"/>
  <c r="D28" i="36"/>
  <c r="D29" i="36"/>
  <c r="D30" i="36"/>
  <c r="D31" i="36"/>
  <c r="D32" i="36"/>
  <c r="D33" i="36"/>
  <c r="D34" i="36"/>
  <c r="D35" i="36"/>
  <c r="D36" i="36"/>
  <c r="D37" i="36"/>
  <c r="D38" i="36"/>
  <c r="D39" i="36"/>
  <c r="D40" i="36"/>
  <c r="D41" i="36"/>
  <c r="D42" i="36"/>
  <c r="D43" i="36"/>
  <c r="D44" i="36"/>
  <c r="D45" i="36"/>
  <c r="D46" i="36"/>
  <c r="D47" i="36"/>
  <c r="D48" i="36"/>
  <c r="D49" i="36"/>
  <c r="D50" i="36"/>
  <c r="D51" i="36"/>
  <c r="D52" i="36"/>
  <c r="D53" i="36"/>
  <c r="D54" i="36"/>
  <c r="D55" i="36"/>
  <c r="D56" i="36"/>
  <c r="D57" i="36"/>
  <c r="D58" i="36"/>
  <c r="D59" i="36"/>
  <c r="D60" i="36"/>
  <c r="D61" i="36"/>
  <c r="D62" i="36"/>
  <c r="D63" i="36"/>
  <c r="D64" i="36"/>
  <c r="D65" i="36"/>
  <c r="D66" i="36"/>
  <c r="D67" i="36"/>
  <c r="D68" i="36"/>
  <c r="D69" i="36"/>
  <c r="D70" i="36"/>
  <c r="D71" i="36"/>
  <c r="D72" i="36"/>
  <c r="D73" i="36"/>
  <c r="D74" i="36"/>
  <c r="D75" i="36"/>
  <c r="D76" i="36"/>
  <c r="D77" i="36"/>
  <c r="D78" i="36"/>
  <c r="D79" i="36"/>
  <c r="D80" i="36"/>
  <c r="D81" i="36"/>
  <c r="D82" i="36"/>
  <c r="D83" i="36"/>
  <c r="D84" i="36"/>
  <c r="D85" i="36"/>
  <c r="D86" i="36"/>
  <c r="D87" i="36"/>
  <c r="D88" i="36"/>
  <c r="D89" i="36"/>
  <c r="D90" i="36"/>
  <c r="D91" i="36"/>
  <c r="D92" i="36"/>
  <c r="D93" i="36"/>
  <c r="D94" i="36"/>
  <c r="D95" i="36"/>
  <c r="D96" i="36"/>
  <c r="D97" i="36"/>
  <c r="D98" i="36"/>
  <c r="D99" i="36"/>
  <c r="D100" i="36"/>
  <c r="D101" i="36"/>
  <c r="D102" i="36"/>
  <c r="D103" i="36"/>
  <c r="D104" i="36"/>
  <c r="D105" i="36"/>
  <c r="D106" i="36"/>
  <c r="D107" i="36"/>
  <c r="D108" i="36"/>
  <c r="D109" i="36"/>
  <c r="D110" i="36"/>
  <c r="D111" i="36"/>
  <c r="D112" i="36"/>
  <c r="D113" i="36"/>
  <c r="D114" i="36"/>
  <c r="D115" i="36"/>
  <c r="D116" i="36"/>
  <c r="D117" i="36"/>
  <c r="D118" i="36"/>
  <c r="D119" i="36"/>
  <c r="D120" i="36"/>
  <c r="D121" i="36"/>
  <c r="D122" i="36"/>
  <c r="D123" i="36"/>
  <c r="D124" i="36"/>
  <c r="D125" i="36"/>
  <c r="D126" i="36"/>
  <c r="D127" i="36"/>
  <c r="D128" i="36"/>
  <c r="D129" i="36"/>
  <c r="D130" i="36"/>
  <c r="D131" i="36"/>
  <c r="D132" i="36"/>
  <c r="D133" i="36"/>
  <c r="D134" i="36"/>
  <c r="D135" i="36"/>
  <c r="D136" i="36"/>
  <c r="D137" i="36"/>
  <c r="D138" i="36"/>
  <c r="D139" i="36"/>
  <c r="D140" i="36"/>
  <c r="D141" i="36"/>
  <c r="D142" i="36"/>
  <c r="D143" i="36"/>
  <c r="D144" i="36"/>
  <c r="D145" i="36"/>
  <c r="D146" i="36"/>
  <c r="D147" i="36"/>
  <c r="D148" i="36"/>
  <c r="D149" i="36"/>
  <c r="D150" i="36"/>
  <c r="D151" i="36"/>
  <c r="D152" i="36"/>
  <c r="D153" i="36"/>
  <c r="D154" i="36"/>
  <c r="D155" i="36"/>
  <c r="D156" i="36"/>
  <c r="D157" i="36"/>
  <c r="D158" i="36"/>
  <c r="D159" i="36"/>
  <c r="D160" i="36"/>
  <c r="D161" i="36"/>
  <c r="D162" i="36"/>
  <c r="D163" i="36"/>
  <c r="D164" i="36"/>
  <c r="D165" i="36"/>
  <c r="D166" i="36"/>
  <c r="D167" i="36"/>
  <c r="D168" i="36"/>
  <c r="D169" i="36"/>
  <c r="D170" i="36"/>
  <c r="D171" i="36"/>
  <c r="D172" i="36"/>
  <c r="D173" i="36"/>
  <c r="D174" i="36"/>
  <c r="D175" i="36"/>
  <c r="D176" i="36"/>
  <c r="D177" i="36"/>
  <c r="D178" i="36"/>
  <c r="D179" i="36"/>
  <c r="D180" i="36"/>
  <c r="D181" i="36"/>
  <c r="D182" i="36"/>
  <c r="D183" i="36"/>
  <c r="D184" i="36"/>
  <c r="D185" i="36"/>
  <c r="D186" i="36"/>
  <c r="D187" i="36"/>
  <c r="D188" i="36"/>
  <c r="D189" i="36"/>
  <c r="D190" i="36"/>
  <c r="D191" i="36"/>
  <c r="D192" i="36"/>
  <c r="D193" i="36"/>
  <c r="D194" i="36"/>
  <c r="D195" i="36"/>
  <c r="D196" i="36"/>
  <c r="D197" i="36"/>
  <c r="D198" i="36"/>
  <c r="D199" i="36"/>
  <c r="D200" i="36"/>
  <c r="D201" i="36"/>
  <c r="D202" i="36"/>
  <c r="D203" i="36"/>
  <c r="D204" i="36"/>
  <c r="D205" i="36"/>
  <c r="D206" i="36"/>
  <c r="D207" i="36"/>
  <c r="D208" i="36"/>
  <c r="D209" i="36"/>
  <c r="D210" i="36"/>
  <c r="D211" i="36"/>
  <c r="D212" i="36"/>
  <c r="D213" i="36"/>
  <c r="D214" i="36"/>
  <c r="D215" i="36"/>
  <c r="D216" i="36"/>
  <c r="D217" i="36"/>
  <c r="D218" i="36"/>
  <c r="D219" i="36"/>
  <c r="D220" i="36"/>
  <c r="D221" i="36"/>
  <c r="D222" i="36"/>
  <c r="D223" i="36"/>
  <c r="D224" i="36"/>
  <c r="D225" i="36"/>
  <c r="D226" i="36"/>
  <c r="D227" i="36"/>
  <c r="D228" i="36"/>
  <c r="D229" i="36"/>
  <c r="D230" i="36"/>
  <c r="D231" i="36"/>
  <c r="D232" i="36"/>
  <c r="D233" i="36"/>
  <c r="D234" i="36"/>
  <c r="D235" i="36"/>
  <c r="D236" i="36"/>
  <c r="D237" i="36"/>
  <c r="D238" i="36"/>
  <c r="D239" i="36"/>
  <c r="D240" i="36"/>
  <c r="D241" i="36"/>
  <c r="D242" i="36"/>
  <c r="D243" i="36"/>
  <c r="D244" i="36"/>
  <c r="D245" i="36"/>
  <c r="D246" i="36"/>
  <c r="D247" i="36"/>
  <c r="D248" i="36"/>
  <c r="D249" i="36"/>
  <c r="D250" i="36"/>
  <c r="D251" i="36"/>
  <c r="D252" i="36"/>
  <c r="D253" i="36"/>
  <c r="D254" i="36"/>
  <c r="D255" i="36"/>
  <c r="D256" i="36"/>
  <c r="D257" i="36"/>
  <c r="D258" i="36"/>
  <c r="D259" i="36"/>
  <c r="D260" i="36"/>
  <c r="D261" i="36"/>
  <c r="D262" i="36"/>
  <c r="D263" i="36"/>
  <c r="D264" i="36"/>
  <c r="D265" i="36"/>
  <c r="D266" i="36"/>
  <c r="D267" i="36"/>
  <c r="D268" i="36"/>
  <c r="D269" i="36"/>
  <c r="D270" i="36"/>
  <c r="D271" i="36"/>
  <c r="D272" i="36"/>
  <c r="D273" i="36"/>
  <c r="D274" i="36"/>
  <c r="D275" i="36"/>
  <c r="D276" i="36"/>
  <c r="D277" i="36"/>
  <c r="D278" i="36"/>
  <c r="D279" i="36"/>
  <c r="D280" i="36"/>
  <c r="D281" i="36"/>
  <c r="D282" i="36"/>
  <c r="D283" i="36"/>
  <c r="D284" i="36"/>
  <c r="D285" i="36"/>
  <c r="D286" i="36"/>
  <c r="D287" i="36"/>
  <c r="D288" i="36"/>
  <c r="D289" i="36"/>
  <c r="D290" i="36"/>
  <c r="D291" i="36"/>
  <c r="D292" i="36"/>
  <c r="D293" i="36"/>
  <c r="D294" i="36"/>
  <c r="D295" i="36"/>
  <c r="D296" i="36"/>
  <c r="D297" i="36"/>
  <c r="D298" i="36"/>
  <c r="D299" i="36"/>
  <c r="D300" i="36"/>
  <c r="D301" i="36"/>
  <c r="D302" i="36"/>
  <c r="D303" i="36"/>
  <c r="D304" i="36"/>
  <c r="D305" i="36"/>
  <c r="D306" i="36"/>
  <c r="D307" i="36"/>
  <c r="D308" i="36"/>
  <c r="D309" i="36"/>
  <c r="D310" i="36"/>
  <c r="D311" i="36"/>
  <c r="D312" i="36"/>
  <c r="D313" i="36"/>
  <c r="D314" i="36"/>
  <c r="D315" i="36"/>
  <c r="D316" i="36"/>
  <c r="D317" i="36"/>
  <c r="D318" i="36"/>
  <c r="D319" i="36"/>
  <c r="D320" i="36"/>
  <c r="D321" i="36"/>
  <c r="D322" i="36"/>
  <c r="D323" i="36"/>
  <c r="D324" i="36"/>
  <c r="D325" i="36"/>
  <c r="D326" i="36"/>
  <c r="D327" i="36"/>
  <c r="D328" i="36"/>
  <c r="D329" i="36"/>
  <c r="D330" i="36"/>
  <c r="D331" i="36"/>
  <c r="D332" i="36"/>
  <c r="D333" i="36"/>
  <c r="D334" i="36"/>
  <c r="D335" i="36"/>
  <c r="D336" i="36"/>
  <c r="D337" i="36"/>
  <c r="D338" i="36"/>
  <c r="D339" i="36"/>
  <c r="D340" i="36"/>
  <c r="D341" i="36"/>
  <c r="D342" i="36"/>
  <c r="D343" i="36"/>
  <c r="D344" i="36"/>
  <c r="D345" i="36"/>
  <c r="D346" i="36"/>
  <c r="D347" i="36"/>
  <c r="D348" i="36"/>
  <c r="D349" i="36"/>
  <c r="D350" i="36"/>
  <c r="D351" i="36"/>
  <c r="D352" i="36"/>
  <c r="D353" i="36"/>
  <c r="D354" i="36"/>
  <c r="D355" i="36"/>
  <c r="D356" i="36"/>
  <c r="D357" i="36"/>
  <c r="D358" i="36"/>
  <c r="D359" i="36"/>
  <c r="D360" i="36"/>
  <c r="D361" i="36"/>
  <c r="D362" i="36"/>
  <c r="D363" i="36"/>
  <c r="D364" i="36"/>
  <c r="D365" i="36"/>
  <c r="D366" i="36"/>
  <c r="D367" i="36"/>
  <c r="D368" i="36"/>
  <c r="D369" i="36"/>
  <c r="D370" i="36"/>
  <c r="D371" i="36"/>
  <c r="D372" i="36"/>
  <c r="D373" i="36"/>
  <c r="D374" i="36"/>
  <c r="D375" i="36"/>
  <c r="D376" i="36"/>
  <c r="D377" i="36"/>
  <c r="D378" i="36"/>
  <c r="D379" i="36"/>
  <c r="D380" i="36"/>
  <c r="D381" i="36"/>
  <c r="D382" i="36"/>
  <c r="D383" i="36"/>
  <c r="D384" i="36"/>
  <c r="D385" i="36"/>
  <c r="D386" i="36"/>
  <c r="D387" i="36"/>
  <c r="D388" i="36"/>
  <c r="D389" i="36"/>
  <c r="D390" i="36"/>
  <c r="D391" i="36"/>
  <c r="D392" i="36"/>
  <c r="D393" i="36"/>
  <c r="D394" i="36"/>
  <c r="D395" i="36"/>
  <c r="D396" i="36"/>
  <c r="D397" i="36"/>
  <c r="D398" i="36"/>
  <c r="D399" i="36"/>
  <c r="D400" i="36"/>
  <c r="D401" i="36"/>
  <c r="D402" i="36"/>
  <c r="D403" i="36"/>
  <c r="D404" i="36"/>
  <c r="D405" i="36"/>
  <c r="D406" i="36"/>
  <c r="D407" i="36"/>
  <c r="D408" i="36"/>
  <c r="D409" i="36"/>
  <c r="D410" i="36"/>
  <c r="D411" i="36"/>
  <c r="D412" i="36"/>
  <c r="D413" i="36"/>
  <c r="D414" i="36"/>
  <c r="D415" i="36"/>
  <c r="D416" i="36"/>
  <c r="D417" i="36"/>
  <c r="D418" i="36"/>
  <c r="D419" i="36"/>
  <c r="D420" i="36"/>
  <c r="D421" i="36"/>
  <c r="D422" i="36"/>
  <c r="D423" i="36"/>
  <c r="D424" i="36"/>
  <c r="D425" i="36"/>
  <c r="D426" i="36"/>
  <c r="D427" i="36"/>
  <c r="D428" i="36"/>
  <c r="D429" i="36"/>
  <c r="D430" i="36"/>
  <c r="D431" i="36"/>
  <c r="D432" i="36"/>
  <c r="D433" i="36"/>
  <c r="D434" i="36"/>
  <c r="D435" i="36"/>
  <c r="D436" i="36"/>
  <c r="D437" i="36"/>
  <c r="D438" i="36"/>
  <c r="D439" i="36"/>
  <c r="D440" i="36"/>
  <c r="D441" i="36"/>
  <c r="D442" i="36"/>
  <c r="D443" i="36"/>
  <c r="D444" i="36"/>
  <c r="D445" i="36"/>
  <c r="D446" i="36"/>
  <c r="D447" i="36"/>
  <c r="D448" i="36"/>
  <c r="D449" i="36"/>
  <c r="D450" i="36"/>
  <c r="D451" i="36"/>
  <c r="D452" i="36"/>
  <c r="D453" i="36"/>
  <c r="D454" i="36"/>
  <c r="D455" i="36"/>
  <c r="D456" i="36"/>
  <c r="D457" i="36"/>
  <c r="D458" i="36"/>
  <c r="D459" i="36"/>
  <c r="D460" i="36"/>
  <c r="D461" i="36"/>
  <c r="D462" i="36"/>
  <c r="D463" i="36"/>
  <c r="D464" i="36"/>
  <c r="D465" i="36"/>
  <c r="D466" i="36"/>
  <c r="D467" i="36"/>
  <c r="D468" i="36"/>
  <c r="D469" i="36"/>
  <c r="D470" i="36"/>
  <c r="D471" i="36"/>
  <c r="D472" i="36"/>
  <c r="D473" i="36"/>
  <c r="D474" i="36"/>
  <c r="D475" i="36"/>
  <c r="D476" i="36"/>
  <c r="D477" i="36"/>
  <c r="D478" i="36"/>
  <c r="D479" i="36"/>
  <c r="D480" i="36"/>
  <c r="D481" i="36"/>
  <c r="D482" i="36"/>
  <c r="D483" i="36"/>
  <c r="D484" i="36"/>
  <c r="D485" i="36"/>
  <c r="D486" i="36"/>
  <c r="D487" i="36"/>
  <c r="D488" i="36"/>
  <c r="D489" i="36"/>
  <c r="D490" i="36"/>
  <c r="D491" i="36"/>
  <c r="D492" i="36"/>
  <c r="D493" i="36"/>
  <c r="D494" i="36"/>
  <c r="D495" i="36"/>
  <c r="D496" i="36"/>
  <c r="D497" i="36"/>
  <c r="D498" i="36"/>
  <c r="D499" i="36"/>
  <c r="D500" i="36"/>
  <c r="D501" i="36"/>
  <c r="D2" i="36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" i="35"/>
  <c r="B3" i="36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B17" i="36"/>
  <c r="B18" i="36"/>
  <c r="B19" i="36"/>
  <c r="B20" i="36"/>
  <c r="B21" i="36"/>
  <c r="B22" i="36"/>
  <c r="B23" i="36"/>
  <c r="B24" i="36"/>
  <c r="B25" i="36"/>
  <c r="B26" i="36"/>
  <c r="B27" i="36"/>
  <c r="B28" i="36"/>
  <c r="B29" i="36"/>
  <c r="B30" i="36"/>
  <c r="B31" i="36"/>
  <c r="B32" i="36"/>
  <c r="B33" i="36"/>
  <c r="B34" i="36"/>
  <c r="B35" i="36"/>
  <c r="B36" i="36"/>
  <c r="B37" i="36"/>
  <c r="B38" i="36"/>
  <c r="B39" i="36"/>
  <c r="B40" i="36"/>
  <c r="B41" i="36"/>
  <c r="B42" i="36"/>
  <c r="B43" i="36"/>
  <c r="B44" i="36"/>
  <c r="B45" i="36"/>
  <c r="B46" i="36"/>
  <c r="B47" i="36"/>
  <c r="B48" i="36"/>
  <c r="B49" i="36"/>
  <c r="B50" i="36"/>
  <c r="B51" i="36"/>
  <c r="B52" i="36"/>
  <c r="B53" i="36"/>
  <c r="B54" i="36"/>
  <c r="B55" i="36"/>
  <c r="B56" i="36"/>
  <c r="B57" i="36"/>
  <c r="B58" i="36"/>
  <c r="B59" i="36"/>
  <c r="B60" i="36"/>
  <c r="B61" i="36"/>
  <c r="B62" i="36"/>
  <c r="B63" i="36"/>
  <c r="B64" i="36"/>
  <c r="B65" i="36"/>
  <c r="B66" i="36"/>
  <c r="B67" i="36"/>
  <c r="B68" i="36"/>
  <c r="B69" i="36"/>
  <c r="B70" i="36"/>
  <c r="B71" i="36"/>
  <c r="B72" i="36"/>
  <c r="B73" i="36"/>
  <c r="B74" i="36"/>
  <c r="B75" i="36"/>
  <c r="B76" i="36"/>
  <c r="B77" i="36"/>
  <c r="B78" i="36"/>
  <c r="B79" i="36"/>
  <c r="B80" i="36"/>
  <c r="B81" i="36"/>
  <c r="B82" i="36"/>
  <c r="B83" i="36"/>
  <c r="B84" i="36"/>
  <c r="B85" i="36"/>
  <c r="B86" i="36"/>
  <c r="B87" i="36"/>
  <c r="B88" i="36"/>
  <c r="B89" i="36"/>
  <c r="B90" i="36"/>
  <c r="B91" i="36"/>
  <c r="B92" i="36"/>
  <c r="B93" i="36"/>
  <c r="B94" i="36"/>
  <c r="B95" i="36"/>
  <c r="B96" i="36"/>
  <c r="B97" i="36"/>
  <c r="B98" i="36"/>
  <c r="B99" i="36"/>
  <c r="B100" i="36"/>
  <c r="B101" i="36"/>
  <c r="B102" i="36"/>
  <c r="B103" i="36"/>
  <c r="B104" i="36"/>
  <c r="B105" i="36"/>
  <c r="B106" i="36"/>
  <c r="B107" i="36"/>
  <c r="B108" i="36"/>
  <c r="B109" i="36"/>
  <c r="B110" i="36"/>
  <c r="B111" i="36"/>
  <c r="B112" i="36"/>
  <c r="B113" i="36"/>
  <c r="B114" i="36"/>
  <c r="B115" i="36"/>
  <c r="B116" i="36"/>
  <c r="B117" i="36"/>
  <c r="B118" i="36"/>
  <c r="B119" i="36"/>
  <c r="B120" i="36"/>
  <c r="B121" i="36"/>
  <c r="B122" i="36"/>
  <c r="B123" i="36"/>
  <c r="B124" i="36"/>
  <c r="B125" i="36"/>
  <c r="B126" i="36"/>
  <c r="B127" i="36"/>
  <c r="B128" i="36"/>
  <c r="B129" i="36"/>
  <c r="B130" i="36"/>
  <c r="B131" i="36"/>
  <c r="B132" i="36"/>
  <c r="B133" i="36"/>
  <c r="B134" i="36"/>
  <c r="B135" i="36"/>
  <c r="B136" i="36"/>
  <c r="B137" i="36"/>
  <c r="B138" i="36"/>
  <c r="B139" i="36"/>
  <c r="B140" i="36"/>
  <c r="B141" i="36"/>
  <c r="B142" i="36"/>
  <c r="B143" i="36"/>
  <c r="B144" i="36"/>
  <c r="B145" i="36"/>
  <c r="B146" i="36"/>
  <c r="B147" i="36"/>
  <c r="B148" i="36"/>
  <c r="B149" i="36"/>
  <c r="B150" i="36"/>
  <c r="B151" i="36"/>
  <c r="B152" i="36"/>
  <c r="B153" i="36"/>
  <c r="B154" i="36"/>
  <c r="B155" i="36"/>
  <c r="B156" i="36"/>
  <c r="B157" i="36"/>
  <c r="B158" i="36"/>
  <c r="B159" i="36"/>
  <c r="B160" i="36"/>
  <c r="B161" i="36"/>
  <c r="B162" i="36"/>
  <c r="B163" i="36"/>
  <c r="B164" i="36"/>
  <c r="B165" i="36"/>
  <c r="B166" i="36"/>
  <c r="B167" i="36"/>
  <c r="B168" i="36"/>
  <c r="B169" i="36"/>
  <c r="B170" i="36"/>
  <c r="B171" i="36"/>
  <c r="B172" i="36"/>
  <c r="B173" i="36"/>
  <c r="B174" i="36"/>
  <c r="B175" i="36"/>
  <c r="B176" i="36"/>
  <c r="B177" i="36"/>
  <c r="B178" i="36"/>
  <c r="B179" i="36"/>
  <c r="B180" i="36"/>
  <c r="B181" i="36"/>
  <c r="B182" i="36"/>
  <c r="B183" i="36"/>
  <c r="B184" i="36"/>
  <c r="B185" i="36"/>
  <c r="B186" i="36"/>
  <c r="B187" i="36"/>
  <c r="B188" i="36"/>
  <c r="B189" i="36"/>
  <c r="B190" i="36"/>
  <c r="B191" i="36"/>
  <c r="B192" i="36"/>
  <c r="B193" i="36"/>
  <c r="B194" i="36"/>
  <c r="B195" i="36"/>
  <c r="B196" i="36"/>
  <c r="B197" i="36"/>
  <c r="B198" i="36"/>
  <c r="B199" i="36"/>
  <c r="B200" i="36"/>
  <c r="B201" i="36"/>
  <c r="B202" i="36"/>
  <c r="B203" i="36"/>
  <c r="B204" i="36"/>
  <c r="B205" i="36"/>
  <c r="B206" i="36"/>
  <c r="B207" i="36"/>
  <c r="B208" i="36"/>
  <c r="B209" i="36"/>
  <c r="B210" i="36"/>
  <c r="B211" i="36"/>
  <c r="B212" i="36"/>
  <c r="B213" i="36"/>
  <c r="B214" i="36"/>
  <c r="B215" i="36"/>
  <c r="B216" i="36"/>
  <c r="B217" i="36"/>
  <c r="B218" i="36"/>
  <c r="B219" i="36"/>
  <c r="B220" i="36"/>
  <c r="B221" i="36"/>
  <c r="B222" i="36"/>
  <c r="B223" i="36"/>
  <c r="B224" i="36"/>
  <c r="B225" i="36"/>
  <c r="B226" i="36"/>
  <c r="B227" i="36"/>
  <c r="B228" i="36"/>
  <c r="B229" i="36"/>
  <c r="B230" i="36"/>
  <c r="B231" i="36"/>
  <c r="B232" i="36"/>
  <c r="B233" i="36"/>
  <c r="B234" i="36"/>
  <c r="B235" i="36"/>
  <c r="B236" i="36"/>
  <c r="B237" i="36"/>
  <c r="B238" i="36"/>
  <c r="B239" i="36"/>
  <c r="B240" i="36"/>
  <c r="B241" i="36"/>
  <c r="B242" i="36"/>
  <c r="B243" i="36"/>
  <c r="B244" i="36"/>
  <c r="B245" i="36"/>
  <c r="B246" i="36"/>
  <c r="B247" i="36"/>
  <c r="B248" i="36"/>
  <c r="B249" i="36"/>
  <c r="B250" i="36"/>
  <c r="B251" i="36"/>
  <c r="B252" i="36"/>
  <c r="B253" i="36"/>
  <c r="B254" i="36"/>
  <c r="B255" i="36"/>
  <c r="B256" i="36"/>
  <c r="B257" i="36"/>
  <c r="B258" i="36"/>
  <c r="B259" i="36"/>
  <c r="B260" i="36"/>
  <c r="B261" i="36"/>
  <c r="B262" i="36"/>
  <c r="B263" i="36"/>
  <c r="B264" i="36"/>
  <c r="B265" i="36"/>
  <c r="B266" i="36"/>
  <c r="B267" i="36"/>
  <c r="B268" i="36"/>
  <c r="B269" i="36"/>
  <c r="B270" i="36"/>
  <c r="B271" i="36"/>
  <c r="B272" i="36"/>
  <c r="B273" i="36"/>
  <c r="B274" i="36"/>
  <c r="B275" i="36"/>
  <c r="B276" i="36"/>
  <c r="B277" i="36"/>
  <c r="B278" i="36"/>
  <c r="B279" i="36"/>
  <c r="B280" i="36"/>
  <c r="B281" i="36"/>
  <c r="B282" i="36"/>
  <c r="B283" i="36"/>
  <c r="B284" i="36"/>
  <c r="B285" i="36"/>
  <c r="B286" i="36"/>
  <c r="B287" i="36"/>
  <c r="B288" i="36"/>
  <c r="B289" i="36"/>
  <c r="B290" i="36"/>
  <c r="B291" i="36"/>
  <c r="B292" i="36"/>
  <c r="B293" i="36"/>
  <c r="B294" i="36"/>
  <c r="B295" i="36"/>
  <c r="B296" i="36"/>
  <c r="B297" i="36"/>
  <c r="B298" i="36"/>
  <c r="B299" i="36"/>
  <c r="B300" i="36"/>
  <c r="B301" i="36"/>
  <c r="B302" i="36"/>
  <c r="B303" i="36"/>
  <c r="B304" i="36"/>
  <c r="B305" i="36"/>
  <c r="B306" i="36"/>
  <c r="B307" i="36"/>
  <c r="B308" i="36"/>
  <c r="B309" i="36"/>
  <c r="B310" i="36"/>
  <c r="B311" i="36"/>
  <c r="B312" i="36"/>
  <c r="B313" i="36"/>
  <c r="B314" i="36"/>
  <c r="B315" i="36"/>
  <c r="B316" i="36"/>
  <c r="B317" i="36"/>
  <c r="B318" i="36"/>
  <c r="B319" i="36"/>
  <c r="B320" i="36"/>
  <c r="B321" i="36"/>
  <c r="B322" i="36"/>
  <c r="B323" i="36"/>
  <c r="B324" i="36"/>
  <c r="B325" i="36"/>
  <c r="B326" i="36"/>
  <c r="B327" i="36"/>
  <c r="B328" i="36"/>
  <c r="B329" i="36"/>
  <c r="B330" i="36"/>
  <c r="B331" i="36"/>
  <c r="B332" i="36"/>
  <c r="B333" i="36"/>
  <c r="B334" i="36"/>
  <c r="B335" i="36"/>
  <c r="B336" i="36"/>
  <c r="B337" i="36"/>
  <c r="B338" i="36"/>
  <c r="B339" i="36"/>
  <c r="B340" i="36"/>
  <c r="B341" i="36"/>
  <c r="B342" i="36"/>
  <c r="B343" i="36"/>
  <c r="B344" i="36"/>
  <c r="B345" i="36"/>
  <c r="B346" i="36"/>
  <c r="B347" i="36"/>
  <c r="B348" i="36"/>
  <c r="B349" i="36"/>
  <c r="B350" i="36"/>
  <c r="B351" i="36"/>
  <c r="B352" i="36"/>
  <c r="B353" i="36"/>
  <c r="B354" i="36"/>
  <c r="B355" i="36"/>
  <c r="B356" i="36"/>
  <c r="B357" i="36"/>
  <c r="B358" i="36"/>
  <c r="B359" i="36"/>
  <c r="B360" i="36"/>
  <c r="B361" i="36"/>
  <c r="B362" i="36"/>
  <c r="B363" i="36"/>
  <c r="B364" i="36"/>
  <c r="B365" i="36"/>
  <c r="B366" i="36"/>
  <c r="B367" i="36"/>
  <c r="B368" i="36"/>
  <c r="B369" i="36"/>
  <c r="B370" i="36"/>
  <c r="B371" i="36"/>
  <c r="B372" i="36"/>
  <c r="B373" i="36"/>
  <c r="B374" i="36"/>
  <c r="B375" i="36"/>
  <c r="B376" i="36"/>
  <c r="B377" i="36"/>
  <c r="B378" i="36"/>
  <c r="B379" i="36"/>
  <c r="B380" i="36"/>
  <c r="B381" i="36"/>
  <c r="B382" i="36"/>
  <c r="B383" i="36"/>
  <c r="B384" i="36"/>
  <c r="B385" i="36"/>
  <c r="B386" i="36"/>
  <c r="B387" i="36"/>
  <c r="B388" i="36"/>
  <c r="B389" i="36"/>
  <c r="B390" i="36"/>
  <c r="B391" i="36"/>
  <c r="B392" i="36"/>
  <c r="B393" i="36"/>
  <c r="B394" i="36"/>
  <c r="B395" i="36"/>
  <c r="B396" i="36"/>
  <c r="B397" i="36"/>
  <c r="B398" i="36"/>
  <c r="B399" i="36"/>
  <c r="B400" i="36"/>
  <c r="B401" i="36"/>
  <c r="B402" i="36"/>
  <c r="B403" i="36"/>
  <c r="B404" i="36"/>
  <c r="B405" i="36"/>
  <c r="B406" i="36"/>
  <c r="B407" i="36"/>
  <c r="B408" i="36"/>
  <c r="B409" i="36"/>
  <c r="B410" i="36"/>
  <c r="B411" i="36"/>
  <c r="B412" i="36"/>
  <c r="B413" i="36"/>
  <c r="B414" i="36"/>
  <c r="B415" i="36"/>
  <c r="B416" i="36"/>
  <c r="B417" i="36"/>
  <c r="B418" i="36"/>
  <c r="B419" i="36"/>
  <c r="B420" i="36"/>
  <c r="B421" i="36"/>
  <c r="B422" i="36"/>
  <c r="B423" i="36"/>
  <c r="B424" i="36"/>
  <c r="B425" i="36"/>
  <c r="B426" i="36"/>
  <c r="B427" i="36"/>
  <c r="B428" i="36"/>
  <c r="B429" i="36"/>
  <c r="B430" i="36"/>
  <c r="B431" i="36"/>
  <c r="B432" i="36"/>
  <c r="B433" i="36"/>
  <c r="B434" i="36"/>
  <c r="B435" i="36"/>
  <c r="B436" i="36"/>
  <c r="B437" i="36"/>
  <c r="B438" i="36"/>
  <c r="B439" i="36"/>
  <c r="B440" i="36"/>
  <c r="B441" i="36"/>
  <c r="B442" i="36"/>
  <c r="B443" i="36"/>
  <c r="B444" i="36"/>
  <c r="B445" i="36"/>
  <c r="B446" i="36"/>
  <c r="B447" i="36"/>
  <c r="B448" i="36"/>
  <c r="B449" i="36"/>
  <c r="B450" i="36"/>
  <c r="B451" i="36"/>
  <c r="B452" i="36"/>
  <c r="B453" i="36"/>
  <c r="B454" i="36"/>
  <c r="B455" i="36"/>
  <c r="B456" i="36"/>
  <c r="B457" i="36"/>
  <c r="B458" i="36"/>
  <c r="B459" i="36"/>
  <c r="B460" i="36"/>
  <c r="B461" i="36"/>
  <c r="B462" i="36"/>
  <c r="B463" i="36"/>
  <c r="B464" i="36"/>
  <c r="B465" i="36"/>
  <c r="B466" i="36"/>
  <c r="B467" i="36"/>
  <c r="B468" i="36"/>
  <c r="B469" i="36"/>
  <c r="B470" i="36"/>
  <c r="B471" i="36"/>
  <c r="B472" i="36"/>
  <c r="B473" i="36"/>
  <c r="B474" i="36"/>
  <c r="B475" i="36"/>
  <c r="B476" i="36"/>
  <c r="B477" i="36"/>
  <c r="B478" i="36"/>
  <c r="B479" i="36"/>
  <c r="B480" i="36"/>
  <c r="B481" i="36"/>
  <c r="B482" i="36"/>
  <c r="B483" i="36"/>
  <c r="B484" i="36"/>
  <c r="B485" i="36"/>
  <c r="B486" i="36"/>
  <c r="B487" i="36"/>
  <c r="B488" i="36"/>
  <c r="B489" i="36"/>
  <c r="B490" i="36"/>
  <c r="B491" i="36"/>
  <c r="B492" i="36"/>
  <c r="B493" i="36"/>
  <c r="B494" i="36"/>
  <c r="B495" i="36"/>
  <c r="B496" i="36"/>
  <c r="B497" i="36"/>
  <c r="B498" i="36"/>
  <c r="B499" i="36"/>
  <c r="B500" i="36"/>
  <c r="B501" i="36"/>
  <c r="B2" i="36"/>
  <c r="B3" i="35"/>
  <c r="B4" i="35"/>
  <c r="B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" i="35"/>
  <c r="B3" i="34"/>
  <c r="B4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B34" i="34"/>
  <c r="B35" i="34"/>
  <c r="B36" i="34"/>
  <c r="B37" i="34"/>
  <c r="B38" i="34"/>
  <c r="B39" i="34"/>
  <c r="B40" i="34"/>
  <c r="B41" i="34"/>
  <c r="B42" i="34"/>
  <c r="B43" i="34"/>
  <c r="B44" i="34"/>
  <c r="B45" i="34"/>
  <c r="B46" i="34"/>
  <c r="B47" i="34"/>
  <c r="B48" i="34"/>
  <c r="B49" i="34"/>
  <c r="B50" i="34"/>
  <c r="B51" i="34"/>
  <c r="B52" i="34"/>
  <c r="B53" i="34"/>
  <c r="B54" i="34"/>
  <c r="B55" i="34"/>
  <c r="B56" i="34"/>
  <c r="B57" i="34"/>
  <c r="B58" i="34"/>
  <c r="B59" i="34"/>
  <c r="B60" i="34"/>
  <c r="B61" i="34"/>
  <c r="B62" i="34"/>
  <c r="B63" i="34"/>
  <c r="B64" i="34"/>
  <c r="B65" i="34"/>
  <c r="B66" i="34"/>
  <c r="B67" i="34"/>
  <c r="B68" i="34"/>
  <c r="B69" i="34"/>
  <c r="B70" i="34"/>
  <c r="B71" i="34"/>
  <c r="B72" i="34"/>
  <c r="B73" i="34"/>
  <c r="B74" i="34"/>
  <c r="B75" i="34"/>
  <c r="B76" i="34"/>
  <c r="B77" i="34"/>
  <c r="B78" i="34"/>
  <c r="B79" i="34"/>
  <c r="B80" i="34"/>
  <c r="B81" i="34"/>
  <c r="B82" i="34"/>
  <c r="B83" i="34"/>
  <c r="B84" i="34"/>
  <c r="B85" i="34"/>
  <c r="B86" i="34"/>
  <c r="B87" i="34"/>
  <c r="B88" i="34"/>
  <c r="B89" i="34"/>
  <c r="B90" i="34"/>
  <c r="B91" i="34"/>
  <c r="B92" i="34"/>
  <c r="B93" i="34"/>
  <c r="B94" i="34"/>
  <c r="B95" i="34"/>
  <c r="B96" i="34"/>
  <c r="B97" i="34"/>
  <c r="B98" i="34"/>
  <c r="B99" i="34"/>
  <c r="B100" i="34"/>
  <c r="B101" i="34"/>
  <c r="B102" i="34"/>
  <c r="B103" i="34"/>
  <c r="B104" i="34"/>
  <c r="B105" i="34"/>
  <c r="B106" i="34"/>
  <c r="B107" i="34"/>
  <c r="B108" i="34"/>
  <c r="B109" i="34"/>
  <c r="B110" i="34"/>
  <c r="B111" i="34"/>
  <c r="B112" i="34"/>
  <c r="B113" i="34"/>
  <c r="B114" i="34"/>
  <c r="B115" i="34"/>
  <c r="B116" i="34"/>
  <c r="B117" i="34"/>
  <c r="B118" i="34"/>
  <c r="B119" i="34"/>
  <c r="B120" i="34"/>
  <c r="B121" i="34"/>
  <c r="B122" i="34"/>
  <c r="B123" i="34"/>
  <c r="B124" i="34"/>
  <c r="B125" i="34"/>
  <c r="B126" i="34"/>
  <c r="B127" i="34"/>
  <c r="B128" i="34"/>
  <c r="B129" i="34"/>
  <c r="B130" i="34"/>
  <c r="B131" i="34"/>
  <c r="B132" i="34"/>
  <c r="B133" i="34"/>
  <c r="B134" i="34"/>
  <c r="B135" i="34"/>
  <c r="B136" i="34"/>
  <c r="B137" i="34"/>
  <c r="B138" i="34"/>
  <c r="B139" i="34"/>
  <c r="B140" i="34"/>
  <c r="B141" i="34"/>
  <c r="B142" i="34"/>
  <c r="B143" i="34"/>
  <c r="B144" i="34"/>
  <c r="B145" i="34"/>
  <c r="B146" i="34"/>
  <c r="B147" i="34"/>
  <c r="B148" i="34"/>
  <c r="B149" i="34"/>
  <c r="B150" i="34"/>
  <c r="B151" i="34"/>
  <c r="B152" i="34"/>
  <c r="B153" i="34"/>
  <c r="B154" i="34"/>
  <c r="B155" i="34"/>
  <c r="B156" i="34"/>
  <c r="B157" i="34"/>
  <c r="B158" i="34"/>
  <c r="B159" i="34"/>
  <c r="B160" i="34"/>
  <c r="B161" i="34"/>
  <c r="B162" i="34"/>
  <c r="B163" i="34"/>
  <c r="B164" i="34"/>
  <c r="B165" i="34"/>
  <c r="B166" i="34"/>
  <c r="B167" i="34"/>
  <c r="B168" i="34"/>
  <c r="B169" i="34"/>
  <c r="B170" i="34"/>
  <c r="B171" i="34"/>
  <c r="B172" i="34"/>
  <c r="B173" i="34"/>
  <c r="B174" i="34"/>
  <c r="B175" i="34"/>
  <c r="B176" i="34"/>
  <c r="B177" i="34"/>
  <c r="B178" i="34"/>
  <c r="B179" i="34"/>
  <c r="B180" i="34"/>
  <c r="B181" i="34"/>
  <c r="B182" i="34"/>
  <c r="B183" i="34"/>
  <c r="B184" i="34"/>
  <c r="B185" i="34"/>
  <c r="B186" i="34"/>
  <c r="B187" i="34"/>
  <c r="B188" i="34"/>
  <c r="B189" i="34"/>
  <c r="B190" i="34"/>
  <c r="B191" i="34"/>
  <c r="B192" i="34"/>
  <c r="B193" i="34"/>
  <c r="B194" i="34"/>
  <c r="B195" i="34"/>
  <c r="B196" i="34"/>
  <c r="B197" i="34"/>
  <c r="B198" i="34"/>
  <c r="B199" i="34"/>
  <c r="B200" i="34"/>
  <c r="B201" i="34"/>
  <c r="B202" i="34"/>
  <c r="B203" i="34"/>
  <c r="B204" i="34"/>
  <c r="B205" i="34"/>
  <c r="B206" i="34"/>
  <c r="B207" i="34"/>
  <c r="B208" i="34"/>
  <c r="B209" i="34"/>
  <c r="B210" i="34"/>
  <c r="B211" i="34"/>
  <c r="B212" i="34"/>
  <c r="B213" i="34"/>
  <c r="B214" i="34"/>
  <c r="B215" i="34"/>
  <c r="B216" i="34"/>
  <c r="B217" i="34"/>
  <c r="B218" i="34"/>
  <c r="B219" i="34"/>
  <c r="B220" i="34"/>
  <c r="B221" i="34"/>
  <c r="B222" i="34"/>
  <c r="B223" i="34"/>
  <c r="B224" i="34"/>
  <c r="B225" i="34"/>
  <c r="B226" i="34"/>
  <c r="B227" i="34"/>
  <c r="B228" i="34"/>
  <c r="B229" i="34"/>
  <c r="B230" i="34"/>
  <c r="B231" i="34"/>
  <c r="B232" i="34"/>
  <c r="B233" i="34"/>
  <c r="B234" i="34"/>
  <c r="B235" i="34"/>
  <c r="B236" i="34"/>
  <c r="B237" i="34"/>
  <c r="B238" i="34"/>
  <c r="B239" i="34"/>
  <c r="B240" i="34"/>
  <c r="B241" i="34"/>
  <c r="B242" i="34"/>
  <c r="B243" i="34"/>
  <c r="B244" i="34"/>
  <c r="B245" i="34"/>
  <c r="B246" i="34"/>
  <c r="B247" i="34"/>
  <c r="B248" i="34"/>
  <c r="B249" i="34"/>
  <c r="B250" i="34"/>
  <c r="B251" i="34"/>
  <c r="B252" i="34"/>
  <c r="B253" i="34"/>
  <c r="B254" i="34"/>
  <c r="B255" i="34"/>
  <c r="B256" i="34"/>
  <c r="B257" i="34"/>
  <c r="B258" i="34"/>
  <c r="B259" i="34"/>
  <c r="B260" i="34"/>
  <c r="B261" i="34"/>
  <c r="B262" i="34"/>
  <c r="B263" i="34"/>
  <c r="B264" i="34"/>
  <c r="B265" i="34"/>
  <c r="B266" i="34"/>
  <c r="B267" i="34"/>
  <c r="B268" i="34"/>
  <c r="B269" i="34"/>
  <c r="B270" i="34"/>
  <c r="B271" i="34"/>
  <c r="B272" i="34"/>
  <c r="B273" i="34"/>
  <c r="B274" i="34"/>
  <c r="B275" i="34"/>
  <c r="B276" i="34"/>
  <c r="B277" i="34"/>
  <c r="B278" i="34"/>
  <c r="B279" i="34"/>
  <c r="B280" i="34"/>
  <c r="B281" i="34"/>
  <c r="B282" i="34"/>
  <c r="B283" i="34"/>
  <c r="B284" i="34"/>
  <c r="B285" i="34"/>
  <c r="B286" i="34"/>
  <c r="B287" i="34"/>
  <c r="B288" i="34"/>
  <c r="B289" i="34"/>
  <c r="B290" i="34"/>
  <c r="B291" i="34"/>
  <c r="B292" i="34"/>
  <c r="B293" i="34"/>
  <c r="B294" i="34"/>
  <c r="B295" i="34"/>
  <c r="B296" i="34"/>
  <c r="B297" i="34"/>
  <c r="B298" i="34"/>
  <c r="B299" i="34"/>
  <c r="B300" i="34"/>
  <c r="B301" i="34"/>
  <c r="B302" i="34"/>
  <c r="B303" i="34"/>
  <c r="B304" i="34"/>
  <c r="B305" i="34"/>
  <c r="B306" i="34"/>
  <c r="B307" i="34"/>
  <c r="B308" i="34"/>
  <c r="B309" i="34"/>
  <c r="B310" i="34"/>
  <c r="B311" i="34"/>
  <c r="B312" i="34"/>
  <c r="B313" i="34"/>
  <c r="B314" i="34"/>
  <c r="B315" i="34"/>
  <c r="B316" i="34"/>
  <c r="B317" i="34"/>
  <c r="B318" i="34"/>
  <c r="B319" i="34"/>
  <c r="B320" i="34"/>
  <c r="B321" i="34"/>
  <c r="B322" i="34"/>
  <c r="B323" i="34"/>
  <c r="B324" i="34"/>
  <c r="B325" i="34"/>
  <c r="B326" i="34"/>
  <c r="B327" i="34"/>
  <c r="B328" i="34"/>
  <c r="B329" i="34"/>
  <c r="B330" i="34"/>
  <c r="B331" i="34"/>
  <c r="B332" i="34"/>
  <c r="B333" i="34"/>
  <c r="B334" i="34"/>
  <c r="B335" i="34"/>
  <c r="B336" i="34"/>
  <c r="B337" i="34"/>
  <c r="B338" i="34"/>
  <c r="B339" i="34"/>
  <c r="B340" i="34"/>
  <c r="B341" i="34"/>
  <c r="B342" i="34"/>
  <c r="B343" i="34"/>
  <c r="B344" i="34"/>
  <c r="B345" i="34"/>
  <c r="B346" i="34"/>
  <c r="B347" i="34"/>
  <c r="B348" i="34"/>
  <c r="B349" i="34"/>
  <c r="B350" i="34"/>
  <c r="B351" i="34"/>
  <c r="B352" i="34"/>
  <c r="B353" i="34"/>
  <c r="B354" i="34"/>
  <c r="B355" i="34"/>
  <c r="B356" i="34"/>
  <c r="B357" i="34"/>
  <c r="B358" i="34"/>
  <c r="B359" i="34"/>
  <c r="B360" i="34"/>
  <c r="B361" i="34"/>
  <c r="B362" i="34"/>
  <c r="B363" i="34"/>
  <c r="B364" i="34"/>
  <c r="B365" i="34"/>
  <c r="B366" i="34"/>
  <c r="B367" i="34"/>
  <c r="B368" i="34"/>
  <c r="B369" i="34"/>
  <c r="B370" i="34"/>
  <c r="B371" i="34"/>
  <c r="B372" i="34"/>
  <c r="B373" i="34"/>
  <c r="B374" i="34"/>
  <c r="B375" i="34"/>
  <c r="B376" i="34"/>
  <c r="B377" i="34"/>
  <c r="B378" i="34"/>
  <c r="B379" i="34"/>
  <c r="B380" i="34"/>
  <c r="B381" i="34"/>
  <c r="B382" i="34"/>
  <c r="B383" i="34"/>
  <c r="B384" i="34"/>
  <c r="B385" i="34"/>
  <c r="B386" i="34"/>
  <c r="B387" i="34"/>
  <c r="B388" i="34"/>
  <c r="B389" i="34"/>
  <c r="B390" i="34"/>
  <c r="B391" i="34"/>
  <c r="B392" i="34"/>
  <c r="B393" i="34"/>
  <c r="B394" i="34"/>
  <c r="B395" i="34"/>
  <c r="B396" i="34"/>
  <c r="B397" i="34"/>
  <c r="B398" i="34"/>
  <c r="B399" i="34"/>
  <c r="B400" i="34"/>
  <c r="B401" i="34"/>
  <c r="B402" i="34"/>
  <c r="B403" i="34"/>
  <c r="B404" i="34"/>
  <c r="B405" i="34"/>
  <c r="B406" i="34"/>
  <c r="B407" i="34"/>
  <c r="B408" i="34"/>
  <c r="B409" i="34"/>
  <c r="B410" i="34"/>
  <c r="B411" i="34"/>
  <c r="B412" i="34"/>
  <c r="B413" i="34"/>
  <c r="B414" i="34"/>
  <c r="B415" i="34"/>
  <c r="B416" i="34"/>
  <c r="B417" i="34"/>
  <c r="B418" i="34"/>
  <c r="B419" i="34"/>
  <c r="B420" i="34"/>
  <c r="B421" i="34"/>
  <c r="B422" i="34"/>
  <c r="B423" i="34"/>
  <c r="B424" i="34"/>
  <c r="B425" i="34"/>
  <c r="B426" i="34"/>
  <c r="B427" i="34"/>
  <c r="B428" i="34"/>
  <c r="B429" i="34"/>
  <c r="B430" i="34"/>
  <c r="B431" i="34"/>
  <c r="B432" i="34"/>
  <c r="B433" i="34"/>
  <c r="B434" i="34"/>
  <c r="B435" i="34"/>
  <c r="B436" i="34"/>
  <c r="B437" i="34"/>
  <c r="B438" i="34"/>
  <c r="B439" i="34"/>
  <c r="B440" i="34"/>
  <c r="B441" i="34"/>
  <c r="B442" i="34"/>
  <c r="B443" i="34"/>
  <c r="B444" i="34"/>
  <c r="B445" i="34"/>
  <c r="B446" i="34"/>
  <c r="B447" i="34"/>
  <c r="B448" i="34"/>
  <c r="B449" i="34"/>
  <c r="B450" i="34"/>
  <c r="B451" i="34"/>
  <c r="B452" i="34"/>
  <c r="B453" i="34"/>
  <c r="B454" i="34"/>
  <c r="B455" i="34"/>
  <c r="B456" i="34"/>
  <c r="B457" i="34"/>
  <c r="B458" i="34"/>
  <c r="B459" i="34"/>
  <c r="B460" i="34"/>
  <c r="B461" i="34"/>
  <c r="B462" i="34"/>
  <c r="B463" i="34"/>
  <c r="B464" i="34"/>
  <c r="B465" i="34"/>
  <c r="B466" i="34"/>
  <c r="B467" i="34"/>
  <c r="B468" i="34"/>
  <c r="B469" i="34"/>
  <c r="B470" i="34"/>
  <c r="B471" i="34"/>
  <c r="B472" i="34"/>
  <c r="B473" i="34"/>
  <c r="B474" i="34"/>
  <c r="B475" i="34"/>
  <c r="B476" i="34"/>
  <c r="B477" i="34"/>
  <c r="B478" i="34"/>
  <c r="B479" i="34"/>
  <c r="B480" i="34"/>
  <c r="B481" i="34"/>
  <c r="B482" i="34"/>
  <c r="B483" i="34"/>
  <c r="B484" i="34"/>
  <c r="B485" i="34"/>
  <c r="B486" i="34"/>
  <c r="B487" i="34"/>
  <c r="B488" i="34"/>
  <c r="B489" i="34"/>
  <c r="B490" i="34"/>
  <c r="B491" i="34"/>
  <c r="B492" i="34"/>
  <c r="B493" i="34"/>
  <c r="B494" i="34"/>
  <c r="B495" i="34"/>
  <c r="B496" i="34"/>
  <c r="B497" i="34"/>
  <c r="B498" i="34"/>
  <c r="B499" i="34"/>
  <c r="B500" i="34"/>
  <c r="B501" i="34"/>
  <c r="B2" i="34"/>
  <c r="C501" i="36"/>
  <c r="C500" i="36"/>
  <c r="C499" i="36"/>
  <c r="C498" i="36"/>
  <c r="C497" i="36"/>
  <c r="C496" i="36"/>
  <c r="C495" i="36"/>
  <c r="C494" i="36"/>
  <c r="C493" i="36"/>
  <c r="C492" i="36"/>
  <c r="C491" i="36"/>
  <c r="C490" i="36"/>
  <c r="C489" i="36"/>
  <c r="C488" i="36"/>
  <c r="C487" i="36"/>
  <c r="C486" i="36"/>
  <c r="C485" i="36"/>
  <c r="C484" i="36"/>
  <c r="C483" i="36"/>
  <c r="C482" i="36"/>
  <c r="C481" i="36"/>
  <c r="C480" i="36"/>
  <c r="C479" i="36"/>
  <c r="C478" i="36"/>
  <c r="C477" i="36"/>
  <c r="C476" i="36"/>
  <c r="C475" i="36"/>
  <c r="C474" i="36"/>
  <c r="C473" i="36"/>
  <c r="C472" i="36"/>
  <c r="C471" i="36"/>
  <c r="C470" i="36"/>
  <c r="C469" i="36"/>
  <c r="C468" i="36"/>
  <c r="C467" i="36"/>
  <c r="C466" i="36"/>
  <c r="C465" i="36"/>
  <c r="C464" i="36"/>
  <c r="C463" i="36"/>
  <c r="C462" i="36"/>
  <c r="C461" i="36"/>
  <c r="C460" i="36"/>
  <c r="C459" i="36"/>
  <c r="C458" i="36"/>
  <c r="C457" i="36"/>
  <c r="C456" i="36"/>
  <c r="C455" i="36"/>
  <c r="C454" i="36"/>
  <c r="C453" i="36"/>
  <c r="C452" i="36"/>
  <c r="C451" i="36"/>
  <c r="C450" i="36"/>
  <c r="C449" i="36"/>
  <c r="C448" i="36"/>
  <c r="C447" i="36"/>
  <c r="C446" i="36"/>
  <c r="C445" i="36"/>
  <c r="C444" i="36"/>
  <c r="C443" i="36"/>
  <c r="C442" i="36"/>
  <c r="C441" i="36"/>
  <c r="C440" i="36"/>
  <c r="C439" i="36"/>
  <c r="C438" i="36"/>
  <c r="C437" i="36"/>
  <c r="C436" i="36"/>
  <c r="C435" i="36"/>
  <c r="C434" i="36"/>
  <c r="C433" i="36"/>
  <c r="C432" i="36"/>
  <c r="C431" i="36"/>
  <c r="C430" i="36"/>
  <c r="C429" i="36"/>
  <c r="C428" i="36"/>
  <c r="C427" i="36"/>
  <c r="C426" i="36"/>
  <c r="C425" i="36"/>
  <c r="C424" i="36"/>
  <c r="C423" i="36"/>
  <c r="C422" i="36"/>
  <c r="C421" i="36"/>
  <c r="C420" i="36"/>
  <c r="C419" i="36"/>
  <c r="C418" i="36"/>
  <c r="C417" i="36"/>
  <c r="C416" i="36"/>
  <c r="C415" i="36"/>
  <c r="C414" i="36"/>
  <c r="C413" i="36"/>
  <c r="C412" i="36"/>
  <c r="C411" i="36"/>
  <c r="C410" i="36"/>
  <c r="C409" i="36"/>
  <c r="C408" i="36"/>
  <c r="C407" i="36"/>
  <c r="C406" i="36"/>
  <c r="C405" i="36"/>
  <c r="C404" i="36"/>
  <c r="C403" i="36"/>
  <c r="C402" i="36"/>
  <c r="C401" i="36"/>
  <c r="C400" i="36"/>
  <c r="C399" i="36"/>
  <c r="C398" i="36"/>
  <c r="C397" i="36"/>
  <c r="C396" i="36"/>
  <c r="C395" i="36"/>
  <c r="C394" i="36"/>
  <c r="C393" i="36"/>
  <c r="C392" i="36"/>
  <c r="C391" i="36"/>
  <c r="C390" i="36"/>
  <c r="C389" i="36"/>
  <c r="C388" i="36"/>
  <c r="C387" i="36"/>
  <c r="C386" i="36"/>
  <c r="C385" i="36"/>
  <c r="C384" i="36"/>
  <c r="C383" i="36"/>
  <c r="C382" i="36"/>
  <c r="C381" i="36"/>
  <c r="C380" i="36"/>
  <c r="C379" i="36"/>
  <c r="C378" i="36"/>
  <c r="C377" i="36"/>
  <c r="C376" i="36"/>
  <c r="C375" i="36"/>
  <c r="C374" i="36"/>
  <c r="C373" i="36"/>
  <c r="C372" i="36"/>
  <c r="C371" i="36"/>
  <c r="C370" i="36"/>
  <c r="C369" i="36"/>
  <c r="C368" i="36"/>
  <c r="C367" i="36"/>
  <c r="C366" i="36"/>
  <c r="C365" i="36"/>
  <c r="C364" i="36"/>
  <c r="C363" i="36"/>
  <c r="C362" i="36"/>
  <c r="C361" i="36"/>
  <c r="C360" i="36"/>
  <c r="C359" i="36"/>
  <c r="C358" i="36"/>
  <c r="C357" i="36"/>
  <c r="C356" i="36"/>
  <c r="C355" i="36"/>
  <c r="C354" i="36"/>
  <c r="C353" i="36"/>
  <c r="C352" i="36"/>
  <c r="C351" i="36"/>
  <c r="C350" i="36"/>
  <c r="C349" i="36"/>
  <c r="C348" i="36"/>
  <c r="C347" i="36"/>
  <c r="C346" i="36"/>
  <c r="C345" i="36"/>
  <c r="C344" i="36"/>
  <c r="C343" i="36"/>
  <c r="C342" i="36"/>
  <c r="C341" i="36"/>
  <c r="C340" i="36"/>
  <c r="C339" i="36"/>
  <c r="C338" i="36"/>
  <c r="C337" i="36"/>
  <c r="C336" i="36"/>
  <c r="C335" i="36"/>
  <c r="C334" i="36"/>
  <c r="C333" i="36"/>
  <c r="C332" i="36"/>
  <c r="C331" i="36"/>
  <c r="C330" i="36"/>
  <c r="C329" i="36"/>
  <c r="C328" i="36"/>
  <c r="C327" i="36"/>
  <c r="C326" i="36"/>
  <c r="C325" i="36"/>
  <c r="C324" i="36"/>
  <c r="C323" i="36"/>
  <c r="C322" i="36"/>
  <c r="C321" i="36"/>
  <c r="C320" i="36"/>
  <c r="C319" i="36"/>
  <c r="C318" i="36"/>
  <c r="C317" i="36"/>
  <c r="C316" i="36"/>
  <c r="C315" i="36"/>
  <c r="C314" i="36"/>
  <c r="C313" i="36"/>
  <c r="C312" i="36"/>
  <c r="C311" i="36"/>
  <c r="C310" i="36"/>
  <c r="C309" i="36"/>
  <c r="C308" i="36"/>
  <c r="C307" i="36"/>
  <c r="C306" i="36"/>
  <c r="C305" i="36"/>
  <c r="C304" i="36"/>
  <c r="C303" i="36"/>
  <c r="C302" i="36"/>
  <c r="C301" i="36"/>
  <c r="C300" i="36"/>
  <c r="C299" i="36"/>
  <c r="C298" i="36"/>
  <c r="C297" i="36"/>
  <c r="C296" i="36"/>
  <c r="C295" i="36"/>
  <c r="C294" i="36"/>
  <c r="C293" i="36"/>
  <c r="C292" i="36"/>
  <c r="C291" i="36"/>
  <c r="C290" i="36"/>
  <c r="C289" i="36"/>
  <c r="C288" i="36"/>
  <c r="C287" i="36"/>
  <c r="C286" i="36"/>
  <c r="C285" i="36"/>
  <c r="C284" i="36"/>
  <c r="C283" i="36"/>
  <c r="C282" i="36"/>
  <c r="C281" i="36"/>
  <c r="C280" i="36"/>
  <c r="C279" i="36"/>
  <c r="C278" i="36"/>
  <c r="C277" i="36"/>
  <c r="C276" i="36"/>
  <c r="C275" i="36"/>
  <c r="C274" i="36"/>
  <c r="C273" i="36"/>
  <c r="C272" i="36"/>
  <c r="C271" i="36"/>
  <c r="C270" i="36"/>
  <c r="C269" i="36"/>
  <c r="C268" i="36"/>
  <c r="C267" i="36"/>
  <c r="C266" i="36"/>
  <c r="C265" i="36"/>
  <c r="C264" i="36"/>
  <c r="C263" i="36"/>
  <c r="C262" i="36"/>
  <c r="C261" i="36"/>
  <c r="C260" i="36"/>
  <c r="C259" i="36"/>
  <c r="C258" i="36"/>
  <c r="C257" i="36"/>
  <c r="C256" i="36"/>
  <c r="C255" i="36"/>
  <c r="C254" i="36"/>
  <c r="C253" i="36"/>
  <c r="C252" i="36"/>
  <c r="C251" i="36"/>
  <c r="C250" i="36"/>
  <c r="C249" i="36"/>
  <c r="C248" i="36"/>
  <c r="C247" i="36"/>
  <c r="C246" i="36"/>
  <c r="C245" i="36"/>
  <c r="C244" i="36"/>
  <c r="C243" i="36"/>
  <c r="C242" i="36"/>
  <c r="C241" i="36"/>
  <c r="C240" i="36"/>
  <c r="C239" i="36"/>
  <c r="C238" i="36"/>
  <c r="C237" i="36"/>
  <c r="C236" i="36"/>
  <c r="C235" i="36"/>
  <c r="C234" i="36"/>
  <c r="C233" i="36"/>
  <c r="C232" i="36"/>
  <c r="C231" i="36"/>
  <c r="C230" i="36"/>
  <c r="C229" i="36"/>
  <c r="C228" i="36"/>
  <c r="C227" i="36"/>
  <c r="C226" i="36"/>
  <c r="C225" i="36"/>
  <c r="C224" i="36"/>
  <c r="C223" i="36"/>
  <c r="C222" i="36"/>
  <c r="C221" i="36"/>
  <c r="C220" i="36"/>
  <c r="C219" i="36"/>
  <c r="C218" i="36"/>
  <c r="C217" i="36"/>
  <c r="C216" i="36"/>
  <c r="C215" i="36"/>
  <c r="C214" i="36"/>
  <c r="C213" i="36"/>
  <c r="C212" i="36"/>
  <c r="C211" i="36"/>
  <c r="C210" i="36"/>
  <c r="C209" i="36"/>
  <c r="C208" i="36"/>
  <c r="C207" i="36"/>
  <c r="C206" i="36"/>
  <c r="C205" i="36"/>
  <c r="C204" i="36"/>
  <c r="C203" i="36"/>
  <c r="C202" i="36"/>
  <c r="C201" i="36"/>
  <c r="C200" i="36"/>
  <c r="C199" i="36"/>
  <c r="C198" i="36"/>
  <c r="C197" i="36"/>
  <c r="C196" i="36"/>
  <c r="C195" i="36"/>
  <c r="C194" i="36"/>
  <c r="C193" i="36"/>
  <c r="C192" i="36"/>
  <c r="C191" i="36"/>
  <c r="C190" i="36"/>
  <c r="C189" i="36"/>
  <c r="C188" i="36"/>
  <c r="C187" i="36"/>
  <c r="C186" i="36"/>
  <c r="C185" i="36"/>
  <c r="C184" i="36"/>
  <c r="C183" i="36"/>
  <c r="C182" i="36"/>
  <c r="C181" i="36"/>
  <c r="C180" i="36"/>
  <c r="C179" i="36"/>
  <c r="C178" i="36"/>
  <c r="C177" i="36"/>
  <c r="C176" i="36"/>
  <c r="C175" i="36"/>
  <c r="C174" i="36"/>
  <c r="C173" i="36"/>
  <c r="C172" i="36"/>
  <c r="C171" i="36"/>
  <c r="C170" i="36"/>
  <c r="C169" i="36"/>
  <c r="C168" i="36"/>
  <c r="C167" i="36"/>
  <c r="C166" i="36"/>
  <c r="C165" i="36"/>
  <c r="C164" i="36"/>
  <c r="C163" i="36"/>
  <c r="C162" i="36"/>
  <c r="C161" i="36"/>
  <c r="C160" i="36"/>
  <c r="C159" i="36"/>
  <c r="C158" i="36"/>
  <c r="C157" i="36"/>
  <c r="C156" i="36"/>
  <c r="C155" i="36"/>
  <c r="C154" i="36"/>
  <c r="C153" i="36"/>
  <c r="C152" i="36"/>
  <c r="C151" i="36"/>
  <c r="C150" i="36"/>
  <c r="C149" i="36"/>
  <c r="C148" i="36"/>
  <c r="C147" i="36"/>
  <c r="C146" i="36"/>
  <c r="C145" i="36"/>
  <c r="C144" i="36"/>
  <c r="C143" i="36"/>
  <c r="C142" i="36"/>
  <c r="C141" i="36"/>
  <c r="C140" i="36"/>
  <c r="C139" i="36"/>
  <c r="C138" i="36"/>
  <c r="C137" i="36"/>
  <c r="C136" i="36"/>
  <c r="C135" i="36"/>
  <c r="C134" i="36"/>
  <c r="C133" i="36"/>
  <c r="C132" i="36"/>
  <c r="C131" i="36"/>
  <c r="C130" i="36"/>
  <c r="C129" i="36"/>
  <c r="C128" i="36"/>
  <c r="C127" i="36"/>
  <c r="C126" i="36"/>
  <c r="C125" i="36"/>
  <c r="C124" i="36"/>
  <c r="C123" i="36"/>
  <c r="C122" i="36"/>
  <c r="C121" i="36"/>
  <c r="C120" i="36"/>
  <c r="C119" i="36"/>
  <c r="C118" i="36"/>
  <c r="C117" i="36"/>
  <c r="C116" i="36"/>
  <c r="C115" i="36"/>
  <c r="C114" i="36"/>
  <c r="C113" i="36"/>
  <c r="C112" i="36"/>
  <c r="C111" i="36"/>
  <c r="C110" i="36"/>
  <c r="C109" i="36"/>
  <c r="C108" i="36"/>
  <c r="C107" i="36"/>
  <c r="C106" i="36"/>
  <c r="C105" i="36"/>
  <c r="C104" i="36"/>
  <c r="C103" i="36"/>
  <c r="C102" i="36"/>
  <c r="C101" i="36"/>
  <c r="C100" i="36"/>
  <c r="C99" i="36"/>
  <c r="C98" i="36"/>
  <c r="C97" i="36"/>
  <c r="C96" i="36"/>
  <c r="C95" i="36"/>
  <c r="C94" i="36"/>
  <c r="C93" i="36"/>
  <c r="C92" i="36"/>
  <c r="C91" i="36"/>
  <c r="C90" i="36"/>
  <c r="C89" i="36"/>
  <c r="C88" i="36"/>
  <c r="C87" i="36"/>
  <c r="C86" i="36"/>
  <c r="C85" i="36"/>
  <c r="C84" i="36"/>
  <c r="C83" i="36"/>
  <c r="C82" i="36"/>
  <c r="C81" i="36"/>
  <c r="C80" i="36"/>
  <c r="C79" i="36"/>
  <c r="C78" i="36"/>
  <c r="C77" i="36"/>
  <c r="C76" i="36"/>
  <c r="C75" i="36"/>
  <c r="C74" i="36"/>
  <c r="C73" i="36"/>
  <c r="C72" i="36"/>
  <c r="C71" i="36"/>
  <c r="C70" i="36"/>
  <c r="C69" i="36"/>
  <c r="C68" i="36"/>
  <c r="C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C51" i="36"/>
  <c r="C50" i="36"/>
  <c r="C49" i="36"/>
  <c r="C48" i="36"/>
  <c r="C47" i="36"/>
  <c r="C46" i="36"/>
  <c r="C45" i="36"/>
  <c r="C44" i="36"/>
  <c r="C43" i="36"/>
  <c r="C42" i="36"/>
  <c r="C41" i="36"/>
  <c r="C40" i="36"/>
  <c r="C39" i="36"/>
  <c r="C38" i="36"/>
  <c r="C37" i="36"/>
  <c r="C36" i="36"/>
  <c r="C35" i="36"/>
  <c r="C34" i="36"/>
  <c r="C33" i="36"/>
  <c r="C32" i="36"/>
  <c r="C31" i="36"/>
  <c r="C30" i="36"/>
  <c r="C29" i="36"/>
  <c r="C28" i="36"/>
  <c r="C27" i="36"/>
  <c r="C26" i="36"/>
  <c r="C25" i="36"/>
  <c r="C24" i="36"/>
  <c r="C23" i="36"/>
  <c r="C22" i="36"/>
  <c r="C21" i="36"/>
  <c r="C20" i="36"/>
  <c r="C19" i="36"/>
  <c r="C18" i="36"/>
  <c r="C17" i="36"/>
  <c r="C16" i="36"/>
  <c r="C15" i="36"/>
  <c r="C14" i="36"/>
  <c r="C13" i="36"/>
  <c r="C12" i="36"/>
  <c r="C11" i="36"/>
  <c r="C10" i="36"/>
  <c r="C9" i="36"/>
  <c r="C8" i="36"/>
  <c r="C7" i="36"/>
  <c r="C6" i="36"/>
  <c r="C5" i="36"/>
  <c r="C4" i="36"/>
  <c r="C3" i="36"/>
  <c r="C2" i="36"/>
  <c r="G52" i="28"/>
  <c r="G68" i="28"/>
  <c r="G116" i="28"/>
  <c r="G132" i="28"/>
  <c r="G196" i="28"/>
  <c r="G260" i="28"/>
  <c r="F5" i="28"/>
  <c r="G5" i="28"/>
  <c r="F6" i="28"/>
  <c r="G6" i="28"/>
  <c r="F7" i="28"/>
  <c r="G7" i="28"/>
  <c r="F8" i="28"/>
  <c r="G8" i="28"/>
  <c r="F9" i="28"/>
  <c r="G9" i="28"/>
  <c r="F10" i="28"/>
  <c r="G10" i="28"/>
  <c r="F11" i="28"/>
  <c r="G11" i="28"/>
  <c r="F12" i="28"/>
  <c r="G12" i="28"/>
  <c r="F13" i="28"/>
  <c r="G13" i="28"/>
  <c r="F14" i="28"/>
  <c r="G14" i="28"/>
  <c r="F15" i="28"/>
  <c r="G15" i="28"/>
  <c r="F16" i="28"/>
  <c r="G16" i="28"/>
  <c r="F17" i="28"/>
  <c r="G17" i="28"/>
  <c r="F18" i="28"/>
  <c r="G18" i="28"/>
  <c r="F19" i="28"/>
  <c r="G19" i="28"/>
  <c r="F20" i="28"/>
  <c r="G20" i="28"/>
  <c r="F21" i="28"/>
  <c r="G21" i="28"/>
  <c r="F22" i="28"/>
  <c r="G22" i="28"/>
  <c r="F23" i="28"/>
  <c r="G23" i="28"/>
  <c r="F24" i="28"/>
  <c r="G24" i="28"/>
  <c r="F25" i="28"/>
  <c r="G25" i="28"/>
  <c r="F26" i="28"/>
  <c r="G26" i="28"/>
  <c r="F27" i="28"/>
  <c r="G27" i="28"/>
  <c r="F28" i="28"/>
  <c r="G28" i="28"/>
  <c r="F29" i="28"/>
  <c r="G29" i="28"/>
  <c r="F30" i="28"/>
  <c r="G30" i="28"/>
  <c r="F31" i="28"/>
  <c r="G31" i="28"/>
  <c r="F32" i="28"/>
  <c r="G32" i="28"/>
  <c r="F33" i="28"/>
  <c r="G33" i="28"/>
  <c r="F34" i="28"/>
  <c r="G34" i="28"/>
  <c r="F35" i="28"/>
  <c r="G35" i="28"/>
  <c r="F36" i="28"/>
  <c r="G36" i="28"/>
  <c r="F37" i="28"/>
  <c r="G37" i="28"/>
  <c r="F38" i="28"/>
  <c r="G38" i="28"/>
  <c r="F39" i="28"/>
  <c r="G39" i="28"/>
  <c r="F40" i="28"/>
  <c r="G40" i="28"/>
  <c r="F41" i="28"/>
  <c r="G41" i="28"/>
  <c r="F42" i="28"/>
  <c r="G42" i="28"/>
  <c r="F43" i="28"/>
  <c r="G43" i="28"/>
  <c r="F44" i="28"/>
  <c r="G44" i="28"/>
  <c r="F45" i="28"/>
  <c r="G45" i="28"/>
  <c r="F46" i="28"/>
  <c r="G46" i="28"/>
  <c r="F47" i="28"/>
  <c r="G47" i="28"/>
  <c r="F48" i="28"/>
  <c r="G48" i="28"/>
  <c r="F49" i="28"/>
  <c r="G49" i="28"/>
  <c r="F50" i="28"/>
  <c r="G50" i="28"/>
  <c r="F51" i="28"/>
  <c r="G51" i="28"/>
  <c r="F52" i="28"/>
  <c r="F53" i="28"/>
  <c r="G53" i="28"/>
  <c r="F54" i="28"/>
  <c r="G54" i="28"/>
  <c r="F55" i="28"/>
  <c r="G55" i="28"/>
  <c r="F56" i="28"/>
  <c r="G56" i="28"/>
  <c r="F57" i="28"/>
  <c r="G57" i="28"/>
  <c r="F58" i="28"/>
  <c r="G58" i="28"/>
  <c r="F59" i="28"/>
  <c r="G59" i="28"/>
  <c r="F60" i="28"/>
  <c r="G60" i="28"/>
  <c r="F61" i="28"/>
  <c r="G61" i="28"/>
  <c r="F62" i="28"/>
  <c r="G62" i="28"/>
  <c r="F63" i="28"/>
  <c r="G63" i="28"/>
  <c r="F64" i="28"/>
  <c r="G64" i="28"/>
  <c r="F65" i="28"/>
  <c r="G65" i="28"/>
  <c r="F66" i="28"/>
  <c r="G66" i="28"/>
  <c r="F67" i="28"/>
  <c r="G67" i="28"/>
  <c r="F68" i="28"/>
  <c r="F69" i="28"/>
  <c r="G69" i="28"/>
  <c r="F70" i="28"/>
  <c r="G70" i="28"/>
  <c r="F71" i="28"/>
  <c r="G71" i="28"/>
  <c r="F72" i="28"/>
  <c r="G72" i="28"/>
  <c r="F73" i="28"/>
  <c r="G73" i="28"/>
  <c r="F74" i="28"/>
  <c r="G74" i="28"/>
  <c r="F75" i="28"/>
  <c r="G75" i="28"/>
  <c r="F76" i="28"/>
  <c r="G76" i="28"/>
  <c r="F77" i="28"/>
  <c r="G77" i="28"/>
  <c r="F78" i="28"/>
  <c r="G78" i="28"/>
  <c r="F79" i="28"/>
  <c r="G79" i="28"/>
  <c r="F80" i="28"/>
  <c r="G80" i="28"/>
  <c r="F81" i="28"/>
  <c r="G81" i="28"/>
  <c r="F82" i="28"/>
  <c r="G82" i="28"/>
  <c r="F83" i="28"/>
  <c r="G83" i="28"/>
  <c r="F84" i="28"/>
  <c r="G84" i="28"/>
  <c r="F85" i="28"/>
  <c r="G85" i="28"/>
  <c r="F86" i="28"/>
  <c r="G86" i="28"/>
  <c r="F87" i="28"/>
  <c r="G87" i="28"/>
  <c r="F88" i="28"/>
  <c r="G88" i="28"/>
  <c r="F89" i="28"/>
  <c r="G89" i="28"/>
  <c r="F90" i="28"/>
  <c r="G90" i="28"/>
  <c r="F91" i="28"/>
  <c r="G91" i="28"/>
  <c r="F92" i="28"/>
  <c r="G92" i="28"/>
  <c r="F93" i="28"/>
  <c r="G93" i="28"/>
  <c r="F94" i="28"/>
  <c r="G94" i="28"/>
  <c r="F95" i="28"/>
  <c r="G95" i="28"/>
  <c r="F96" i="28"/>
  <c r="G96" i="28"/>
  <c r="F97" i="28"/>
  <c r="G97" i="28"/>
  <c r="F98" i="28"/>
  <c r="G98" i="28"/>
  <c r="F99" i="28"/>
  <c r="G99" i="28"/>
  <c r="F100" i="28"/>
  <c r="G100" i="28"/>
  <c r="F101" i="28"/>
  <c r="G101" i="28"/>
  <c r="F102" i="28"/>
  <c r="G102" i="28"/>
  <c r="F103" i="28"/>
  <c r="G103" i="28"/>
  <c r="F104" i="28"/>
  <c r="G104" i="28"/>
  <c r="F105" i="28"/>
  <c r="G105" i="28"/>
  <c r="F106" i="28"/>
  <c r="G106" i="28"/>
  <c r="F107" i="28"/>
  <c r="G107" i="28"/>
  <c r="F108" i="28"/>
  <c r="G108" i="28"/>
  <c r="F109" i="28"/>
  <c r="G109" i="28"/>
  <c r="F110" i="28"/>
  <c r="G110" i="28"/>
  <c r="F111" i="28"/>
  <c r="G111" i="28"/>
  <c r="F112" i="28"/>
  <c r="G112" i="28"/>
  <c r="F113" i="28"/>
  <c r="G113" i="28"/>
  <c r="F114" i="28"/>
  <c r="G114" i="28"/>
  <c r="F115" i="28"/>
  <c r="G115" i="28"/>
  <c r="F116" i="28"/>
  <c r="F117" i="28"/>
  <c r="G117" i="28"/>
  <c r="F118" i="28"/>
  <c r="G118" i="28"/>
  <c r="F119" i="28"/>
  <c r="G119" i="28"/>
  <c r="F120" i="28"/>
  <c r="G120" i="28"/>
  <c r="F121" i="28"/>
  <c r="G121" i="28"/>
  <c r="F122" i="28"/>
  <c r="G122" i="28"/>
  <c r="F123" i="28"/>
  <c r="G123" i="28"/>
  <c r="F124" i="28"/>
  <c r="G124" i="28"/>
  <c r="F125" i="28"/>
  <c r="G125" i="28"/>
  <c r="F126" i="28"/>
  <c r="G126" i="28"/>
  <c r="F127" i="28"/>
  <c r="G127" i="28"/>
  <c r="F128" i="28"/>
  <c r="G128" i="28"/>
  <c r="F129" i="28"/>
  <c r="G129" i="28"/>
  <c r="F130" i="28"/>
  <c r="G130" i="28"/>
  <c r="F131" i="28"/>
  <c r="G131" i="28"/>
  <c r="F132" i="28"/>
  <c r="F133" i="28"/>
  <c r="G133" i="28"/>
  <c r="F134" i="28"/>
  <c r="G134" i="28"/>
  <c r="F135" i="28"/>
  <c r="G135" i="28"/>
  <c r="F136" i="28"/>
  <c r="G136" i="28"/>
  <c r="F137" i="28"/>
  <c r="G137" i="28"/>
  <c r="F138" i="28"/>
  <c r="G138" i="28"/>
  <c r="F139" i="28"/>
  <c r="G139" i="28"/>
  <c r="F140" i="28"/>
  <c r="G140" i="28"/>
  <c r="F141" i="28"/>
  <c r="G141" i="28"/>
  <c r="F142" i="28"/>
  <c r="G142" i="28"/>
  <c r="F143" i="28"/>
  <c r="G143" i="28"/>
  <c r="F144" i="28"/>
  <c r="G144" i="28"/>
  <c r="F145" i="28"/>
  <c r="G145" i="28"/>
  <c r="F146" i="28"/>
  <c r="G146" i="28"/>
  <c r="F147" i="28"/>
  <c r="G147" i="28"/>
  <c r="F148" i="28"/>
  <c r="G148" i="28"/>
  <c r="F149" i="28"/>
  <c r="G149" i="28"/>
  <c r="F150" i="28"/>
  <c r="G150" i="28"/>
  <c r="F151" i="28"/>
  <c r="G151" i="28"/>
  <c r="F152" i="28"/>
  <c r="G152" i="28"/>
  <c r="F153" i="28"/>
  <c r="G153" i="28"/>
  <c r="F154" i="28"/>
  <c r="G154" i="28"/>
  <c r="F155" i="28"/>
  <c r="G155" i="28"/>
  <c r="F156" i="28"/>
  <c r="G156" i="28"/>
  <c r="F157" i="28"/>
  <c r="G157" i="28"/>
  <c r="F158" i="28"/>
  <c r="G158" i="28"/>
  <c r="F159" i="28"/>
  <c r="G159" i="28"/>
  <c r="F160" i="28"/>
  <c r="G160" i="28"/>
  <c r="F161" i="28"/>
  <c r="G161" i="28"/>
  <c r="F162" i="28"/>
  <c r="G162" i="28"/>
  <c r="F163" i="28"/>
  <c r="G163" i="28"/>
  <c r="F164" i="28"/>
  <c r="G164" i="28"/>
  <c r="F165" i="28"/>
  <c r="G165" i="28"/>
  <c r="F166" i="28"/>
  <c r="G166" i="28"/>
  <c r="F167" i="28"/>
  <c r="G167" i="28"/>
  <c r="F168" i="28"/>
  <c r="G168" i="28"/>
  <c r="F169" i="28"/>
  <c r="G169" i="28"/>
  <c r="F170" i="28"/>
  <c r="G170" i="28"/>
  <c r="F171" i="28"/>
  <c r="G171" i="28"/>
  <c r="F172" i="28"/>
  <c r="G172" i="28"/>
  <c r="F173" i="28"/>
  <c r="G173" i="28"/>
  <c r="F174" i="28"/>
  <c r="G174" i="28"/>
  <c r="F175" i="28"/>
  <c r="G175" i="28"/>
  <c r="F176" i="28"/>
  <c r="G176" i="28"/>
  <c r="F177" i="28"/>
  <c r="G177" i="28"/>
  <c r="F178" i="28"/>
  <c r="G178" i="28"/>
  <c r="F179" i="28"/>
  <c r="G179" i="28"/>
  <c r="F180" i="28"/>
  <c r="G180" i="28"/>
  <c r="F181" i="28"/>
  <c r="G181" i="28"/>
  <c r="F182" i="28"/>
  <c r="G182" i="28"/>
  <c r="F183" i="28"/>
  <c r="G183" i="28"/>
  <c r="F184" i="28"/>
  <c r="G184" i="28"/>
  <c r="F185" i="28"/>
  <c r="G185" i="28"/>
  <c r="F186" i="28"/>
  <c r="G186" i="28"/>
  <c r="F187" i="28"/>
  <c r="G187" i="28"/>
  <c r="F188" i="28"/>
  <c r="G188" i="28"/>
  <c r="F189" i="28"/>
  <c r="G189" i="28"/>
  <c r="F190" i="28"/>
  <c r="G190" i="28"/>
  <c r="F191" i="28"/>
  <c r="G191" i="28"/>
  <c r="F192" i="28"/>
  <c r="G192" i="28"/>
  <c r="F193" i="28"/>
  <c r="G193" i="28"/>
  <c r="F194" i="28"/>
  <c r="G194" i="28"/>
  <c r="F195" i="28"/>
  <c r="G195" i="28"/>
  <c r="F196" i="28"/>
  <c r="F197" i="28"/>
  <c r="G197" i="28"/>
  <c r="F198" i="28"/>
  <c r="G198" i="28"/>
  <c r="F199" i="28"/>
  <c r="G199" i="28"/>
  <c r="F200" i="28"/>
  <c r="G200" i="28"/>
  <c r="F201" i="28"/>
  <c r="G201" i="28"/>
  <c r="F202" i="28"/>
  <c r="G202" i="28"/>
  <c r="F203" i="28"/>
  <c r="G203" i="28"/>
  <c r="F204" i="28"/>
  <c r="G204" i="28"/>
  <c r="F205" i="28"/>
  <c r="G205" i="28"/>
  <c r="F206" i="28"/>
  <c r="G206" i="28"/>
  <c r="F207" i="28"/>
  <c r="G207" i="28"/>
  <c r="F208" i="28"/>
  <c r="G208" i="28"/>
  <c r="F209" i="28"/>
  <c r="G209" i="28"/>
  <c r="F210" i="28"/>
  <c r="G210" i="28"/>
  <c r="F211" i="28"/>
  <c r="G211" i="28"/>
  <c r="F212" i="28"/>
  <c r="G212" i="28"/>
  <c r="F213" i="28"/>
  <c r="G213" i="28"/>
  <c r="F214" i="28"/>
  <c r="G214" i="28"/>
  <c r="F215" i="28"/>
  <c r="G215" i="28"/>
  <c r="F216" i="28"/>
  <c r="G216" i="28"/>
  <c r="F217" i="28"/>
  <c r="G217" i="28"/>
  <c r="F218" i="28"/>
  <c r="G218" i="28"/>
  <c r="F219" i="28"/>
  <c r="G219" i="28"/>
  <c r="F220" i="28"/>
  <c r="G220" i="28"/>
  <c r="F221" i="28"/>
  <c r="G221" i="28"/>
  <c r="F222" i="28"/>
  <c r="G222" i="28"/>
  <c r="F223" i="28"/>
  <c r="G223" i="28"/>
  <c r="F224" i="28"/>
  <c r="G224" i="28"/>
  <c r="F225" i="28"/>
  <c r="G225" i="28"/>
  <c r="F226" i="28"/>
  <c r="G226" i="28"/>
  <c r="F227" i="28"/>
  <c r="G227" i="28"/>
  <c r="F228" i="28"/>
  <c r="G228" i="28"/>
  <c r="F229" i="28"/>
  <c r="G229" i="28"/>
  <c r="F230" i="28"/>
  <c r="G230" i="28"/>
  <c r="F231" i="28"/>
  <c r="G231" i="28"/>
  <c r="F232" i="28"/>
  <c r="G232" i="28"/>
  <c r="F233" i="28"/>
  <c r="G233" i="28"/>
  <c r="F234" i="28"/>
  <c r="G234" i="28"/>
  <c r="F235" i="28"/>
  <c r="G235" i="28"/>
  <c r="F236" i="28"/>
  <c r="G236" i="28"/>
  <c r="F237" i="28"/>
  <c r="G237" i="28"/>
  <c r="F238" i="28"/>
  <c r="G238" i="28"/>
  <c r="F239" i="28"/>
  <c r="G239" i="28"/>
  <c r="F240" i="28"/>
  <c r="G240" i="28"/>
  <c r="F241" i="28"/>
  <c r="G241" i="28"/>
  <c r="F242" i="28"/>
  <c r="G242" i="28"/>
  <c r="F243" i="28"/>
  <c r="G243" i="28"/>
  <c r="F244" i="28"/>
  <c r="G244" i="28"/>
  <c r="F245" i="28"/>
  <c r="G245" i="28"/>
  <c r="F246" i="28"/>
  <c r="G246" i="28"/>
  <c r="F247" i="28"/>
  <c r="G247" i="28"/>
  <c r="F248" i="28"/>
  <c r="G248" i="28"/>
  <c r="F249" i="28"/>
  <c r="G249" i="28"/>
  <c r="F250" i="28"/>
  <c r="G250" i="28"/>
  <c r="F251" i="28"/>
  <c r="G251" i="28"/>
  <c r="F252" i="28"/>
  <c r="G252" i="28"/>
  <c r="F253" i="28"/>
  <c r="G253" i="28"/>
  <c r="F254" i="28"/>
  <c r="G254" i="28"/>
  <c r="F255" i="28"/>
  <c r="G255" i="28"/>
  <c r="F256" i="28"/>
  <c r="G256" i="28"/>
  <c r="F257" i="28"/>
  <c r="G257" i="28"/>
  <c r="F258" i="28"/>
  <c r="G258" i="28"/>
  <c r="F259" i="28"/>
  <c r="G259" i="28"/>
  <c r="F260" i="28"/>
  <c r="F261" i="28"/>
  <c r="G261" i="28"/>
  <c r="F262" i="28"/>
  <c r="G262" i="28"/>
  <c r="F263" i="28"/>
  <c r="G263" i="28"/>
  <c r="F264" i="28"/>
  <c r="G264" i="28"/>
  <c r="F265" i="28"/>
  <c r="G265" i="28"/>
  <c r="F266" i="28"/>
  <c r="G266" i="28"/>
  <c r="F267" i="28"/>
  <c r="G267" i="28"/>
  <c r="F268" i="28"/>
  <c r="G268" i="28"/>
  <c r="F269" i="28"/>
  <c r="G269" i="28"/>
  <c r="F270" i="28"/>
  <c r="G270" i="28"/>
  <c r="F271" i="28"/>
  <c r="G271" i="28"/>
  <c r="F272" i="28"/>
  <c r="G272" i="28"/>
  <c r="F273" i="28"/>
  <c r="G273" i="28"/>
  <c r="F274" i="28"/>
  <c r="G274" i="28"/>
  <c r="F275" i="28"/>
  <c r="G275" i="28"/>
  <c r="F276" i="28"/>
  <c r="G276" i="28"/>
  <c r="F277" i="28"/>
  <c r="G277" i="28"/>
  <c r="F278" i="28"/>
  <c r="G278" i="28"/>
  <c r="F279" i="28"/>
  <c r="G279" i="28"/>
  <c r="F280" i="28"/>
  <c r="G280" i="28"/>
  <c r="F281" i="28"/>
  <c r="G281" i="28"/>
  <c r="F282" i="28"/>
  <c r="G282" i="28"/>
  <c r="F283" i="28"/>
  <c r="G283" i="28"/>
  <c r="F284" i="28"/>
  <c r="G284" i="28"/>
  <c r="F285" i="28"/>
  <c r="G285" i="28"/>
  <c r="F286" i="28"/>
  <c r="G286" i="28"/>
  <c r="F287" i="28"/>
  <c r="G287" i="28"/>
  <c r="F288" i="28"/>
  <c r="G288" i="28"/>
  <c r="F289" i="28"/>
  <c r="G289" i="28"/>
  <c r="F290" i="28"/>
  <c r="G290" i="28"/>
  <c r="F291" i="28"/>
  <c r="G291" i="28"/>
  <c r="F292" i="28"/>
  <c r="G292" i="28"/>
  <c r="F293" i="28"/>
  <c r="G293" i="28"/>
  <c r="F294" i="28"/>
  <c r="G294" i="28"/>
  <c r="F295" i="28"/>
  <c r="G295" i="28"/>
  <c r="F296" i="28"/>
  <c r="G296" i="28"/>
  <c r="F297" i="28"/>
  <c r="G297" i="28"/>
  <c r="F298" i="28"/>
  <c r="G298" i="28"/>
  <c r="F299" i="28"/>
  <c r="G299" i="28"/>
  <c r="F300" i="28"/>
  <c r="G300" i="28"/>
  <c r="F301" i="28"/>
  <c r="G301" i="28"/>
  <c r="F302" i="28"/>
  <c r="G302" i="28"/>
  <c r="F303" i="28"/>
  <c r="G303" i="28"/>
  <c r="F304" i="28"/>
  <c r="G304" i="28"/>
  <c r="F305" i="28"/>
  <c r="G305" i="28"/>
  <c r="F306" i="28"/>
  <c r="G306" i="28"/>
  <c r="F307" i="28"/>
  <c r="G307" i="28"/>
  <c r="F308" i="28"/>
  <c r="G308" i="28"/>
  <c r="F309" i="28"/>
  <c r="G309" i="28"/>
  <c r="F310" i="28"/>
  <c r="G310" i="28"/>
  <c r="F311" i="28"/>
  <c r="G311" i="28"/>
  <c r="F312" i="28"/>
  <c r="G312" i="28"/>
  <c r="F313" i="28"/>
  <c r="G313" i="28"/>
  <c r="F314" i="28"/>
  <c r="G314" i="28"/>
  <c r="F315" i="28"/>
  <c r="G315" i="28"/>
  <c r="F316" i="28"/>
  <c r="G316" i="28"/>
  <c r="F317" i="28"/>
  <c r="G317" i="28"/>
  <c r="F318" i="28"/>
  <c r="G318" i="28"/>
  <c r="F319" i="28"/>
  <c r="G319" i="28"/>
  <c r="F320" i="28"/>
  <c r="G320" i="28"/>
  <c r="F321" i="28"/>
  <c r="G321" i="28"/>
  <c r="F322" i="28"/>
  <c r="G322" i="28"/>
  <c r="F323" i="28"/>
  <c r="G323" i="28"/>
  <c r="F324" i="28"/>
  <c r="G324" i="28"/>
  <c r="F325" i="28"/>
  <c r="G325" i="28"/>
  <c r="F326" i="28"/>
  <c r="G326" i="28"/>
  <c r="F327" i="28"/>
  <c r="G327" i="28"/>
  <c r="F328" i="28"/>
  <c r="G328" i="28"/>
  <c r="F329" i="28"/>
  <c r="G329" i="28"/>
  <c r="F330" i="28"/>
  <c r="G330" i="28"/>
  <c r="F331" i="28"/>
  <c r="G331" i="28"/>
  <c r="F332" i="28"/>
  <c r="G332" i="28"/>
  <c r="F333" i="28"/>
  <c r="G333" i="28"/>
  <c r="F334" i="28"/>
  <c r="G334" i="28"/>
  <c r="F335" i="28"/>
  <c r="G335" i="28"/>
  <c r="F336" i="28"/>
  <c r="G336" i="28"/>
  <c r="F337" i="28"/>
  <c r="G337" i="28"/>
  <c r="F338" i="28"/>
  <c r="G338" i="28"/>
  <c r="F339" i="28"/>
  <c r="G339" i="28"/>
  <c r="F340" i="28"/>
  <c r="G340" i="28"/>
  <c r="F341" i="28"/>
  <c r="G341" i="28"/>
  <c r="F342" i="28"/>
  <c r="G342" i="28"/>
  <c r="F343" i="28"/>
  <c r="G343" i="28"/>
  <c r="F344" i="28"/>
  <c r="G344" i="28"/>
  <c r="F345" i="28"/>
  <c r="G345" i="28"/>
  <c r="F346" i="28"/>
  <c r="G346" i="28"/>
  <c r="F347" i="28"/>
  <c r="G347" i="28"/>
  <c r="F348" i="28"/>
  <c r="G348" i="28"/>
  <c r="F349" i="28"/>
  <c r="G349" i="28"/>
  <c r="F350" i="28"/>
  <c r="G350" i="28"/>
  <c r="F351" i="28"/>
  <c r="G351" i="28"/>
  <c r="F352" i="28"/>
  <c r="G352" i="28"/>
  <c r="F353" i="28"/>
  <c r="G353" i="28"/>
  <c r="F354" i="28"/>
  <c r="G354" i="28"/>
  <c r="F355" i="28"/>
  <c r="G355" i="28"/>
  <c r="F356" i="28"/>
  <c r="G356" i="28"/>
  <c r="F357" i="28"/>
  <c r="G357" i="28"/>
  <c r="F358" i="28"/>
  <c r="G358" i="28"/>
  <c r="F359" i="28"/>
  <c r="G359" i="28"/>
  <c r="F360" i="28"/>
  <c r="G360" i="28"/>
  <c r="F361" i="28"/>
  <c r="G361" i="28"/>
  <c r="F362" i="28"/>
  <c r="G362" i="28"/>
  <c r="F363" i="28"/>
  <c r="G363" i="28"/>
  <c r="F364" i="28"/>
  <c r="G364" i="28"/>
  <c r="F365" i="28"/>
  <c r="G365" i="28"/>
  <c r="F366" i="28"/>
  <c r="G366" i="28"/>
  <c r="F367" i="28"/>
  <c r="G367" i="28"/>
  <c r="F368" i="28"/>
  <c r="G368" i="28"/>
  <c r="F369" i="28"/>
  <c r="G369" i="28"/>
  <c r="F370" i="28"/>
  <c r="G370" i="28"/>
  <c r="F371" i="28"/>
  <c r="G371" i="28"/>
  <c r="F4" i="28"/>
  <c r="G4" i="28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D83" i="28"/>
  <c r="D84" i="28"/>
  <c r="D85" i="28"/>
  <c r="D86" i="28"/>
  <c r="D87" i="28"/>
  <c r="D88" i="28"/>
  <c r="D89" i="28"/>
  <c r="D90" i="28"/>
  <c r="D91" i="28"/>
  <c r="D92" i="28"/>
  <c r="D93" i="28"/>
  <c r="D94" i="28"/>
  <c r="D95" i="28"/>
  <c r="D96" i="28"/>
  <c r="D97" i="28"/>
  <c r="D98" i="28"/>
  <c r="D99" i="28"/>
  <c r="D100" i="28"/>
  <c r="D101" i="28"/>
  <c r="D102" i="28"/>
  <c r="D103" i="28"/>
  <c r="D104" i="28"/>
  <c r="D105" i="28"/>
  <c r="D106" i="28"/>
  <c r="D107" i="28"/>
  <c r="D108" i="28"/>
  <c r="D109" i="28"/>
  <c r="D110" i="28"/>
  <c r="D111" i="28"/>
  <c r="D112" i="28"/>
  <c r="D113" i="28"/>
  <c r="D114" i="28"/>
  <c r="D115" i="28"/>
  <c r="D116" i="28"/>
  <c r="D117" i="28"/>
  <c r="D118" i="28"/>
  <c r="D119" i="28"/>
  <c r="D120" i="28"/>
  <c r="D121" i="28"/>
  <c r="D122" i="28"/>
  <c r="D123" i="28"/>
  <c r="D124" i="28"/>
  <c r="D125" i="28"/>
  <c r="D126" i="28"/>
  <c r="D127" i="28"/>
  <c r="D128" i="28"/>
  <c r="D129" i="28"/>
  <c r="D130" i="28"/>
  <c r="D131" i="28"/>
  <c r="D132" i="28"/>
  <c r="D133" i="28"/>
  <c r="D134" i="28"/>
  <c r="D135" i="28"/>
  <c r="D136" i="28"/>
  <c r="D137" i="28"/>
  <c r="D138" i="28"/>
  <c r="D139" i="28"/>
  <c r="D140" i="28"/>
  <c r="D141" i="28"/>
  <c r="D142" i="28"/>
  <c r="D143" i="28"/>
  <c r="D144" i="28"/>
  <c r="D145" i="28"/>
  <c r="D146" i="28"/>
  <c r="D147" i="28"/>
  <c r="D148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D163" i="28"/>
  <c r="D164" i="28"/>
  <c r="D165" i="28"/>
  <c r="D166" i="28"/>
  <c r="D167" i="28"/>
  <c r="D168" i="28"/>
  <c r="D169" i="28"/>
  <c r="D170" i="28"/>
  <c r="D171" i="28"/>
  <c r="D172" i="28"/>
  <c r="D173" i="28"/>
  <c r="D174" i="28"/>
  <c r="D175" i="28"/>
  <c r="D176" i="28"/>
  <c r="D177" i="28"/>
  <c r="D178" i="28"/>
  <c r="D179" i="28"/>
  <c r="D180" i="28"/>
  <c r="D181" i="28"/>
  <c r="D182" i="28"/>
  <c r="D183" i="28"/>
  <c r="D184" i="28"/>
  <c r="D185" i="28"/>
  <c r="D186" i="28"/>
  <c r="D187" i="28"/>
  <c r="D188" i="28"/>
  <c r="D189" i="28"/>
  <c r="D190" i="28"/>
  <c r="D191" i="28"/>
  <c r="D192" i="28"/>
  <c r="D193" i="28"/>
  <c r="D194" i="28"/>
  <c r="D195" i="28"/>
  <c r="D196" i="28"/>
  <c r="D197" i="28"/>
  <c r="D198" i="28"/>
  <c r="D199" i="28"/>
  <c r="D200" i="28"/>
  <c r="D201" i="28"/>
  <c r="D202" i="28"/>
  <c r="D203" i="28"/>
  <c r="D204" i="28"/>
  <c r="D205" i="28"/>
  <c r="D206" i="28"/>
  <c r="D207" i="28"/>
  <c r="D208" i="28"/>
  <c r="D209" i="28"/>
  <c r="D210" i="28"/>
  <c r="D211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226" i="28"/>
  <c r="D227" i="28"/>
  <c r="D228" i="28"/>
  <c r="D229" i="28"/>
  <c r="D230" i="28"/>
  <c r="D231" i="28"/>
  <c r="D232" i="28"/>
  <c r="D233" i="28"/>
  <c r="D234" i="28"/>
  <c r="D235" i="28"/>
  <c r="D236" i="28"/>
  <c r="D237" i="28"/>
  <c r="D238" i="28"/>
  <c r="D239" i="28"/>
  <c r="D240" i="28"/>
  <c r="D241" i="28"/>
  <c r="D242" i="28"/>
  <c r="D243" i="28"/>
  <c r="D244" i="28"/>
  <c r="D245" i="28"/>
  <c r="D246" i="28"/>
  <c r="D247" i="28"/>
  <c r="D248" i="28"/>
  <c r="D249" i="28"/>
  <c r="D250" i="28"/>
  <c r="D251" i="28"/>
  <c r="D252" i="28"/>
  <c r="D253" i="28"/>
  <c r="D254" i="28"/>
  <c r="D255" i="28"/>
  <c r="D256" i="28"/>
  <c r="D257" i="28"/>
  <c r="D258" i="28"/>
  <c r="D259" i="28"/>
  <c r="D260" i="28"/>
  <c r="D261" i="28"/>
  <c r="D262" i="28"/>
  <c r="D263" i="28"/>
  <c r="D264" i="28"/>
  <c r="D265" i="28"/>
  <c r="D266" i="28"/>
  <c r="D267" i="28"/>
  <c r="D268" i="28"/>
  <c r="D269" i="28"/>
  <c r="D270" i="28"/>
  <c r="D271" i="28"/>
  <c r="D272" i="28"/>
  <c r="D273" i="28"/>
  <c r="D274" i="28"/>
  <c r="D275" i="28"/>
  <c r="D276" i="28"/>
  <c r="D277" i="28"/>
  <c r="D278" i="28"/>
  <c r="D279" i="28"/>
  <c r="D280" i="28"/>
  <c r="D281" i="28"/>
  <c r="D282" i="28"/>
  <c r="D283" i="28"/>
  <c r="D284" i="28"/>
  <c r="D285" i="28"/>
  <c r="D286" i="28"/>
  <c r="D287" i="28"/>
  <c r="D288" i="28"/>
  <c r="D289" i="28"/>
  <c r="D290" i="28"/>
  <c r="D291" i="28"/>
  <c r="D292" i="28"/>
  <c r="D293" i="28"/>
  <c r="D294" i="28"/>
  <c r="D295" i="28"/>
  <c r="D296" i="28"/>
  <c r="D297" i="28"/>
  <c r="D298" i="28"/>
  <c r="D299" i="28"/>
  <c r="D300" i="28"/>
  <c r="D301" i="28"/>
  <c r="D302" i="28"/>
  <c r="D303" i="28"/>
  <c r="D304" i="28"/>
  <c r="D305" i="28"/>
  <c r="D306" i="28"/>
  <c r="D307" i="28"/>
  <c r="D308" i="28"/>
  <c r="D309" i="28"/>
  <c r="D310" i="28"/>
  <c r="D311" i="28"/>
  <c r="D312" i="28"/>
  <c r="D313" i="28"/>
  <c r="D314" i="28"/>
  <c r="D315" i="28"/>
  <c r="D316" i="28"/>
  <c r="D317" i="28"/>
  <c r="D318" i="28"/>
  <c r="D319" i="28"/>
  <c r="D320" i="28"/>
  <c r="D321" i="28"/>
  <c r="D322" i="28"/>
  <c r="D323" i="28"/>
  <c r="D324" i="28"/>
  <c r="D325" i="28"/>
  <c r="D326" i="28"/>
  <c r="D327" i="28"/>
  <c r="D328" i="28"/>
  <c r="D329" i="28"/>
  <c r="D330" i="28"/>
  <c r="D331" i="28"/>
  <c r="D332" i="28"/>
  <c r="D333" i="28"/>
  <c r="D334" i="28"/>
  <c r="D335" i="28"/>
  <c r="D336" i="28"/>
  <c r="D337" i="28"/>
  <c r="D338" i="28"/>
  <c r="D339" i="28"/>
  <c r="D340" i="28"/>
  <c r="D341" i="28"/>
  <c r="D342" i="28"/>
  <c r="D343" i="28"/>
  <c r="D344" i="28"/>
  <c r="D345" i="28"/>
  <c r="D346" i="28"/>
  <c r="D347" i="28"/>
  <c r="D348" i="28"/>
  <c r="D349" i="28"/>
  <c r="D350" i="28"/>
  <c r="D351" i="28"/>
  <c r="D352" i="28"/>
  <c r="D353" i="28"/>
  <c r="D354" i="28"/>
  <c r="D355" i="28"/>
  <c r="D356" i="28"/>
  <c r="D357" i="28"/>
  <c r="D358" i="28"/>
  <c r="D359" i="28"/>
  <c r="D360" i="28"/>
  <c r="D361" i="28"/>
  <c r="D362" i="28"/>
  <c r="D363" i="28"/>
  <c r="D364" i="28"/>
  <c r="D365" i="28"/>
  <c r="D366" i="28"/>
  <c r="D367" i="28"/>
  <c r="D368" i="28"/>
  <c r="D369" i="28"/>
  <c r="D370" i="28"/>
  <c r="D371" i="28"/>
  <c r="D4" i="28"/>
  <c r="P168" i="30"/>
  <c r="O168" i="30"/>
  <c r="N168" i="30"/>
  <c r="M168" i="30"/>
  <c r="L168" i="30"/>
  <c r="K168" i="30"/>
  <c r="J168" i="30"/>
  <c r="O167" i="30"/>
  <c r="N167" i="30"/>
  <c r="M167" i="30"/>
  <c r="P167" i="30"/>
  <c r="L167" i="30"/>
  <c r="K167" i="30"/>
  <c r="J167" i="30"/>
  <c r="O166" i="30"/>
  <c r="N166" i="30"/>
  <c r="M166" i="30"/>
  <c r="P166" i="30"/>
  <c r="L166" i="30"/>
  <c r="K166" i="30"/>
  <c r="J166" i="30"/>
  <c r="O165" i="30"/>
  <c r="N165" i="30"/>
  <c r="M165" i="30"/>
  <c r="P165" i="30"/>
  <c r="L165" i="30"/>
  <c r="K165" i="30"/>
  <c r="J165" i="30"/>
  <c r="P164" i="30"/>
  <c r="O164" i="30"/>
  <c r="N164" i="30"/>
  <c r="M164" i="30"/>
  <c r="L164" i="30"/>
  <c r="K164" i="30"/>
  <c r="J164" i="30"/>
  <c r="O163" i="30"/>
  <c r="N163" i="30"/>
  <c r="M163" i="30"/>
  <c r="P163" i="30"/>
  <c r="L163" i="30"/>
  <c r="K163" i="30"/>
  <c r="J163" i="30"/>
  <c r="O162" i="30"/>
  <c r="N162" i="30"/>
  <c r="P162" i="30"/>
  <c r="M162" i="30"/>
  <c r="L162" i="30"/>
  <c r="K162" i="30"/>
  <c r="J162" i="30"/>
  <c r="O161" i="30"/>
  <c r="N161" i="30"/>
  <c r="M161" i="30"/>
  <c r="P161" i="30"/>
  <c r="L161" i="30"/>
  <c r="K161" i="30"/>
  <c r="J161" i="30"/>
  <c r="P160" i="30"/>
  <c r="O160" i="30"/>
  <c r="N160" i="30"/>
  <c r="M160" i="30"/>
  <c r="L160" i="30"/>
  <c r="K160" i="30"/>
  <c r="J160" i="30"/>
  <c r="O159" i="30"/>
  <c r="N159" i="30"/>
  <c r="M159" i="30"/>
  <c r="P159" i="30"/>
  <c r="L159" i="30"/>
  <c r="K159" i="30"/>
  <c r="J159" i="30"/>
  <c r="O158" i="30"/>
  <c r="N158" i="30"/>
  <c r="P158" i="30"/>
  <c r="M158" i="30"/>
  <c r="L158" i="30"/>
  <c r="K158" i="30"/>
  <c r="J158" i="30"/>
  <c r="O157" i="30"/>
  <c r="N157" i="30"/>
  <c r="M157" i="30"/>
  <c r="P157" i="30"/>
  <c r="L157" i="30"/>
  <c r="K157" i="30"/>
  <c r="J157" i="30"/>
  <c r="P156" i="30"/>
  <c r="O156" i="30"/>
  <c r="N156" i="30"/>
  <c r="M156" i="30"/>
  <c r="L156" i="30"/>
  <c r="K156" i="30"/>
  <c r="J156" i="30"/>
  <c r="O155" i="30"/>
  <c r="N155" i="30"/>
  <c r="M155" i="30"/>
  <c r="P155" i="30"/>
  <c r="L155" i="30"/>
  <c r="K155" i="30"/>
  <c r="J155" i="30"/>
  <c r="O154" i="30"/>
  <c r="N154" i="30"/>
  <c r="P154" i="30"/>
  <c r="M154" i="30"/>
  <c r="L154" i="30"/>
  <c r="K154" i="30"/>
  <c r="J154" i="30"/>
  <c r="O153" i="30"/>
  <c r="N153" i="30"/>
  <c r="M153" i="30"/>
  <c r="P153" i="30"/>
  <c r="L153" i="30"/>
  <c r="K153" i="30"/>
  <c r="J153" i="30"/>
  <c r="P152" i="30"/>
  <c r="O152" i="30"/>
  <c r="N152" i="30"/>
  <c r="M152" i="30"/>
  <c r="L152" i="30"/>
  <c r="K152" i="30"/>
  <c r="J152" i="30"/>
  <c r="O151" i="30"/>
  <c r="N151" i="30"/>
  <c r="M151" i="30"/>
  <c r="P151" i="30"/>
  <c r="L151" i="30"/>
  <c r="K151" i="30"/>
  <c r="J151" i="30"/>
  <c r="O150" i="30"/>
  <c r="N150" i="30"/>
  <c r="P150" i="30"/>
  <c r="M150" i="30"/>
  <c r="L150" i="30"/>
  <c r="K150" i="30"/>
  <c r="J150" i="30"/>
  <c r="O149" i="30"/>
  <c r="N149" i="30"/>
  <c r="M149" i="30"/>
  <c r="P149" i="30"/>
  <c r="L149" i="30"/>
  <c r="K149" i="30"/>
  <c r="J149" i="30"/>
  <c r="P148" i="30"/>
  <c r="O148" i="30"/>
  <c r="N148" i="30"/>
  <c r="M148" i="30"/>
  <c r="L148" i="30"/>
  <c r="K148" i="30"/>
  <c r="J148" i="30"/>
  <c r="O147" i="30"/>
  <c r="N147" i="30"/>
  <c r="M147" i="30"/>
  <c r="P147" i="30"/>
  <c r="L147" i="30"/>
  <c r="K147" i="30"/>
  <c r="J147" i="30"/>
  <c r="O146" i="30"/>
  <c r="N146" i="30"/>
  <c r="P146" i="30"/>
  <c r="M146" i="30"/>
  <c r="L146" i="30"/>
  <c r="K146" i="30"/>
  <c r="J146" i="30"/>
  <c r="O145" i="30"/>
  <c r="N145" i="30"/>
  <c r="M145" i="30"/>
  <c r="P145" i="30"/>
  <c r="L145" i="30"/>
  <c r="K145" i="30"/>
  <c r="J145" i="30"/>
  <c r="P144" i="30"/>
  <c r="O144" i="30"/>
  <c r="N144" i="30"/>
  <c r="M144" i="30"/>
  <c r="L144" i="30"/>
  <c r="K144" i="30"/>
  <c r="J144" i="30"/>
  <c r="O143" i="30"/>
  <c r="N143" i="30"/>
  <c r="M143" i="30"/>
  <c r="P143" i="30"/>
  <c r="L143" i="30"/>
  <c r="K143" i="30"/>
  <c r="J143" i="30"/>
  <c r="O142" i="30"/>
  <c r="N142" i="30"/>
  <c r="P142" i="30"/>
  <c r="M142" i="30"/>
  <c r="L142" i="30"/>
  <c r="K142" i="30"/>
  <c r="J142" i="30"/>
  <c r="O141" i="30"/>
  <c r="N141" i="30"/>
  <c r="M141" i="30"/>
  <c r="P141" i="30"/>
  <c r="L141" i="30"/>
  <c r="K141" i="30"/>
  <c r="J141" i="30"/>
  <c r="P140" i="30"/>
  <c r="O140" i="30"/>
  <c r="N140" i="30"/>
  <c r="M140" i="30"/>
  <c r="L140" i="30"/>
  <c r="K140" i="30"/>
  <c r="J140" i="30"/>
  <c r="O139" i="30"/>
  <c r="N139" i="30"/>
  <c r="M139" i="30"/>
  <c r="P139" i="30"/>
  <c r="L139" i="30"/>
  <c r="K139" i="30"/>
  <c r="J139" i="30"/>
  <c r="O138" i="30"/>
  <c r="N138" i="30"/>
  <c r="P138" i="30"/>
  <c r="M138" i="30"/>
  <c r="L138" i="30"/>
  <c r="K138" i="30"/>
  <c r="J138" i="30"/>
  <c r="O137" i="30"/>
  <c r="N137" i="30"/>
  <c r="M137" i="30"/>
  <c r="P137" i="30"/>
  <c r="L137" i="30"/>
  <c r="K137" i="30"/>
  <c r="J137" i="30"/>
  <c r="P136" i="30"/>
  <c r="O136" i="30"/>
  <c r="N136" i="30"/>
  <c r="M136" i="30"/>
  <c r="L136" i="30"/>
  <c r="K136" i="30"/>
  <c r="J136" i="30"/>
  <c r="O135" i="30"/>
  <c r="N135" i="30"/>
  <c r="M135" i="30"/>
  <c r="P135" i="30"/>
  <c r="L135" i="30"/>
  <c r="K135" i="30"/>
  <c r="J135" i="30"/>
  <c r="O134" i="30"/>
  <c r="N134" i="30"/>
  <c r="P134" i="30"/>
  <c r="M134" i="30"/>
  <c r="L134" i="30"/>
  <c r="K134" i="30"/>
  <c r="J134" i="30"/>
  <c r="O133" i="30"/>
  <c r="N133" i="30"/>
  <c r="M133" i="30"/>
  <c r="P133" i="30"/>
  <c r="L133" i="30"/>
  <c r="K133" i="30"/>
  <c r="J133" i="30"/>
  <c r="P132" i="30"/>
  <c r="O132" i="30"/>
  <c r="N132" i="30"/>
  <c r="M132" i="30"/>
  <c r="L132" i="30"/>
  <c r="K132" i="30"/>
  <c r="J132" i="30"/>
  <c r="O131" i="30"/>
  <c r="N131" i="30"/>
  <c r="M131" i="30"/>
  <c r="P131" i="30"/>
  <c r="L131" i="30"/>
  <c r="K131" i="30"/>
  <c r="J131" i="30"/>
  <c r="O130" i="30"/>
  <c r="N130" i="30"/>
  <c r="P130" i="30"/>
  <c r="M130" i="30"/>
  <c r="L130" i="30"/>
  <c r="K130" i="30"/>
  <c r="J130" i="30"/>
  <c r="O129" i="30"/>
  <c r="N129" i="30"/>
  <c r="M129" i="30"/>
  <c r="P129" i="30"/>
  <c r="L129" i="30"/>
  <c r="K129" i="30"/>
  <c r="J129" i="30"/>
  <c r="P128" i="30"/>
  <c r="O128" i="30"/>
  <c r="N128" i="30"/>
  <c r="M128" i="30"/>
  <c r="L128" i="30"/>
  <c r="K128" i="30"/>
  <c r="J128" i="30"/>
  <c r="O127" i="30"/>
  <c r="N127" i="30"/>
  <c r="M127" i="30"/>
  <c r="P127" i="30"/>
  <c r="L127" i="30"/>
  <c r="K127" i="30"/>
  <c r="J127" i="30"/>
  <c r="O126" i="30"/>
  <c r="N126" i="30"/>
  <c r="P126" i="30"/>
  <c r="M126" i="30"/>
  <c r="L126" i="30"/>
  <c r="K126" i="30"/>
  <c r="J126" i="30"/>
  <c r="O125" i="30"/>
  <c r="N125" i="30"/>
  <c r="M125" i="30"/>
  <c r="P125" i="30"/>
  <c r="L125" i="30"/>
  <c r="K125" i="30"/>
  <c r="J125" i="30"/>
  <c r="P124" i="30"/>
  <c r="O124" i="30"/>
  <c r="N124" i="30"/>
  <c r="M124" i="30"/>
  <c r="L124" i="30"/>
  <c r="K124" i="30"/>
  <c r="J124" i="30"/>
  <c r="O123" i="30"/>
  <c r="N123" i="30"/>
  <c r="M123" i="30"/>
  <c r="P123" i="30"/>
  <c r="L123" i="30"/>
  <c r="K123" i="30"/>
  <c r="J123" i="30"/>
  <c r="O122" i="30"/>
  <c r="N122" i="30"/>
  <c r="P122" i="30"/>
  <c r="M122" i="30"/>
  <c r="L122" i="30"/>
  <c r="K122" i="30"/>
  <c r="J122" i="30"/>
  <c r="O121" i="30"/>
  <c r="N121" i="30"/>
  <c r="M121" i="30"/>
  <c r="P121" i="30"/>
  <c r="L121" i="30"/>
  <c r="K121" i="30"/>
  <c r="J121" i="30"/>
  <c r="P120" i="30"/>
  <c r="O120" i="30"/>
  <c r="N120" i="30"/>
  <c r="M120" i="30"/>
  <c r="L120" i="30"/>
  <c r="K120" i="30"/>
  <c r="J120" i="30"/>
  <c r="O119" i="30"/>
  <c r="N119" i="30"/>
  <c r="M119" i="30"/>
  <c r="P119" i="30"/>
  <c r="L119" i="30"/>
  <c r="K119" i="30"/>
  <c r="J119" i="30"/>
  <c r="O118" i="30"/>
  <c r="N118" i="30"/>
  <c r="P118" i="30"/>
  <c r="M118" i="30"/>
  <c r="L118" i="30"/>
  <c r="K118" i="30"/>
  <c r="J118" i="30"/>
  <c r="O117" i="30"/>
  <c r="N117" i="30"/>
  <c r="M117" i="30"/>
  <c r="P117" i="30"/>
  <c r="L117" i="30"/>
  <c r="K117" i="30"/>
  <c r="J117" i="30"/>
  <c r="P116" i="30"/>
  <c r="O116" i="30"/>
  <c r="N116" i="30"/>
  <c r="M116" i="30"/>
  <c r="L116" i="30"/>
  <c r="K116" i="30"/>
  <c r="J116" i="30"/>
  <c r="O115" i="30"/>
  <c r="N115" i="30"/>
  <c r="M115" i="30"/>
  <c r="P115" i="30"/>
  <c r="L115" i="30"/>
  <c r="K115" i="30"/>
  <c r="J115" i="30"/>
  <c r="O114" i="30"/>
  <c r="N114" i="30"/>
  <c r="P114" i="30"/>
  <c r="M114" i="30"/>
  <c r="L114" i="30"/>
  <c r="K114" i="30"/>
  <c r="J114" i="30"/>
  <c r="O113" i="30"/>
  <c r="N113" i="30"/>
  <c r="M113" i="30"/>
  <c r="P113" i="30"/>
  <c r="L113" i="30"/>
  <c r="K113" i="30"/>
  <c r="J113" i="30"/>
  <c r="P112" i="30"/>
  <c r="O112" i="30"/>
  <c r="N112" i="30"/>
  <c r="M112" i="30"/>
  <c r="L112" i="30"/>
  <c r="K112" i="30"/>
  <c r="J112" i="30"/>
  <c r="O111" i="30"/>
  <c r="N111" i="30"/>
  <c r="M111" i="30"/>
  <c r="P111" i="30"/>
  <c r="L111" i="30"/>
  <c r="K111" i="30"/>
  <c r="J111" i="30"/>
  <c r="O110" i="30"/>
  <c r="N110" i="30"/>
  <c r="P110" i="30"/>
  <c r="M110" i="30"/>
  <c r="L110" i="30"/>
  <c r="K110" i="30"/>
  <c r="J110" i="30"/>
  <c r="O109" i="30"/>
  <c r="N109" i="30"/>
  <c r="M109" i="30"/>
  <c r="P109" i="30"/>
  <c r="L109" i="30"/>
  <c r="K109" i="30"/>
  <c r="J109" i="30"/>
  <c r="P108" i="30"/>
  <c r="O108" i="30"/>
  <c r="N108" i="30"/>
  <c r="M108" i="30"/>
  <c r="L108" i="30"/>
  <c r="K108" i="30"/>
  <c r="J108" i="30"/>
  <c r="O107" i="30"/>
  <c r="N107" i="30"/>
  <c r="M107" i="30"/>
  <c r="P107" i="30"/>
  <c r="L107" i="30"/>
  <c r="K107" i="30"/>
  <c r="J107" i="30"/>
  <c r="O106" i="30"/>
  <c r="N106" i="30"/>
  <c r="P106" i="30"/>
  <c r="M106" i="30"/>
  <c r="L106" i="30"/>
  <c r="K106" i="30"/>
  <c r="J106" i="30"/>
  <c r="O105" i="30"/>
  <c r="N105" i="30"/>
  <c r="M105" i="30"/>
  <c r="P105" i="30"/>
  <c r="L105" i="30"/>
  <c r="K105" i="30"/>
  <c r="J105" i="30"/>
  <c r="P104" i="30"/>
  <c r="O104" i="30"/>
  <c r="N104" i="30"/>
  <c r="M104" i="30"/>
  <c r="L104" i="30"/>
  <c r="K104" i="30"/>
  <c r="J104" i="30"/>
  <c r="O103" i="30"/>
  <c r="N103" i="30"/>
  <c r="M103" i="30"/>
  <c r="P103" i="30"/>
  <c r="L103" i="30"/>
  <c r="K103" i="30"/>
  <c r="J103" i="30"/>
  <c r="O102" i="30"/>
  <c r="N102" i="30"/>
  <c r="P102" i="30"/>
  <c r="M102" i="30"/>
  <c r="L102" i="30"/>
  <c r="K102" i="30"/>
  <c r="J102" i="30"/>
  <c r="O101" i="30"/>
  <c r="N101" i="30"/>
  <c r="M101" i="30"/>
  <c r="P101" i="30"/>
  <c r="L101" i="30"/>
  <c r="K101" i="30"/>
  <c r="J101" i="30"/>
  <c r="P100" i="30"/>
  <c r="O100" i="30"/>
  <c r="N100" i="30"/>
  <c r="M100" i="30"/>
  <c r="L100" i="30"/>
  <c r="K100" i="30"/>
  <c r="J100" i="30"/>
  <c r="O99" i="30"/>
  <c r="N99" i="30"/>
  <c r="M99" i="30"/>
  <c r="P99" i="30"/>
  <c r="L99" i="30"/>
  <c r="K99" i="30"/>
  <c r="J99" i="30"/>
  <c r="O98" i="30"/>
  <c r="N98" i="30"/>
  <c r="P98" i="30"/>
  <c r="M98" i="30"/>
  <c r="L98" i="30"/>
  <c r="K98" i="30"/>
  <c r="J98" i="30"/>
  <c r="O97" i="30"/>
  <c r="N97" i="30"/>
  <c r="M97" i="30"/>
  <c r="P97" i="30"/>
  <c r="L97" i="30"/>
  <c r="K97" i="30"/>
  <c r="J97" i="30"/>
  <c r="P96" i="30"/>
  <c r="O96" i="30"/>
  <c r="N96" i="30"/>
  <c r="M96" i="30"/>
  <c r="L96" i="30"/>
  <c r="K96" i="30"/>
  <c r="J96" i="30"/>
  <c r="O95" i="30"/>
  <c r="N95" i="30"/>
  <c r="M95" i="30"/>
  <c r="P95" i="30"/>
  <c r="L95" i="30"/>
  <c r="K95" i="30"/>
  <c r="J95" i="30"/>
  <c r="O94" i="30"/>
  <c r="N94" i="30"/>
  <c r="P94" i="30"/>
  <c r="M94" i="30"/>
  <c r="L94" i="30"/>
  <c r="K94" i="30"/>
  <c r="J94" i="30"/>
  <c r="O93" i="30"/>
  <c r="N93" i="30"/>
  <c r="M93" i="30"/>
  <c r="P93" i="30"/>
  <c r="L93" i="30"/>
  <c r="K93" i="30"/>
  <c r="J93" i="30"/>
  <c r="P92" i="30"/>
  <c r="O92" i="30"/>
  <c r="N92" i="30"/>
  <c r="M92" i="30"/>
  <c r="L92" i="30"/>
  <c r="K92" i="30"/>
  <c r="J92" i="30"/>
  <c r="O91" i="30"/>
  <c r="N91" i="30"/>
  <c r="M91" i="30"/>
  <c r="P91" i="30"/>
  <c r="L91" i="30"/>
  <c r="K91" i="30"/>
  <c r="J91" i="30"/>
  <c r="O90" i="30"/>
  <c r="N90" i="30"/>
  <c r="P90" i="30"/>
  <c r="M90" i="30"/>
  <c r="L90" i="30"/>
  <c r="K90" i="30"/>
  <c r="J90" i="30"/>
  <c r="O89" i="30"/>
  <c r="N89" i="30"/>
  <c r="M89" i="30"/>
  <c r="P89" i="30"/>
  <c r="L89" i="30"/>
  <c r="K89" i="30"/>
  <c r="J89" i="30"/>
  <c r="P88" i="30"/>
  <c r="O88" i="30"/>
  <c r="N88" i="30"/>
  <c r="M88" i="30"/>
  <c r="L88" i="30"/>
  <c r="K88" i="30"/>
  <c r="J88" i="30"/>
  <c r="O87" i="30"/>
  <c r="N87" i="30"/>
  <c r="M87" i="30"/>
  <c r="P87" i="30"/>
  <c r="L87" i="30"/>
  <c r="K87" i="30"/>
  <c r="J87" i="30"/>
  <c r="O86" i="30"/>
  <c r="N86" i="30"/>
  <c r="M86" i="30"/>
  <c r="P86" i="30"/>
  <c r="L86" i="30"/>
  <c r="K86" i="30"/>
  <c r="J86" i="30"/>
  <c r="O85" i="30"/>
  <c r="N85" i="30"/>
  <c r="M85" i="30"/>
  <c r="P85" i="30"/>
  <c r="L85" i="30"/>
  <c r="K85" i="30"/>
  <c r="J85" i="30"/>
  <c r="P84" i="30"/>
  <c r="O84" i="30"/>
  <c r="N84" i="30"/>
  <c r="M84" i="30"/>
  <c r="L84" i="30"/>
  <c r="K84" i="30"/>
  <c r="J84" i="30"/>
  <c r="O83" i="30"/>
  <c r="N83" i="30"/>
  <c r="M83" i="30"/>
  <c r="P83" i="30"/>
  <c r="L83" i="30"/>
  <c r="K83" i="30"/>
  <c r="J83" i="30"/>
  <c r="O82" i="30"/>
  <c r="N82" i="30"/>
  <c r="M82" i="30"/>
  <c r="P82" i="30"/>
  <c r="L82" i="30"/>
  <c r="K82" i="30"/>
  <c r="J82" i="30"/>
  <c r="O81" i="30"/>
  <c r="N81" i="30"/>
  <c r="M81" i="30"/>
  <c r="P81" i="30"/>
  <c r="L81" i="30"/>
  <c r="K81" i="30"/>
  <c r="J81" i="30"/>
  <c r="P80" i="30"/>
  <c r="O80" i="30"/>
  <c r="N80" i="30"/>
  <c r="M80" i="30"/>
  <c r="L80" i="30"/>
  <c r="K80" i="30"/>
  <c r="J80" i="30"/>
  <c r="O79" i="30"/>
  <c r="N79" i="30"/>
  <c r="M79" i="30"/>
  <c r="P79" i="30"/>
  <c r="L79" i="30"/>
  <c r="K79" i="30"/>
  <c r="J79" i="30"/>
  <c r="O78" i="30"/>
  <c r="N78" i="30"/>
  <c r="M78" i="30"/>
  <c r="P78" i="30"/>
  <c r="L78" i="30"/>
  <c r="K78" i="30"/>
  <c r="J78" i="30"/>
  <c r="O77" i="30"/>
  <c r="N77" i="30"/>
  <c r="M77" i="30"/>
  <c r="P77" i="30"/>
  <c r="L77" i="30"/>
  <c r="K77" i="30"/>
  <c r="J77" i="30"/>
  <c r="P76" i="30"/>
  <c r="O76" i="30"/>
  <c r="N76" i="30"/>
  <c r="M76" i="30"/>
  <c r="L76" i="30"/>
  <c r="K76" i="30"/>
  <c r="J76" i="30"/>
  <c r="O75" i="30"/>
  <c r="N75" i="30"/>
  <c r="M75" i="30"/>
  <c r="P75" i="30"/>
  <c r="L75" i="30"/>
  <c r="K75" i="30"/>
  <c r="J75" i="30"/>
  <c r="O74" i="30"/>
  <c r="N74" i="30"/>
  <c r="M74" i="30"/>
  <c r="P74" i="30"/>
  <c r="L74" i="30"/>
  <c r="K74" i="30"/>
  <c r="J74" i="30"/>
  <c r="O73" i="30"/>
  <c r="N73" i="30"/>
  <c r="M73" i="30"/>
  <c r="P73" i="30"/>
  <c r="L73" i="30"/>
  <c r="K73" i="30"/>
  <c r="J73" i="30"/>
  <c r="P72" i="30"/>
  <c r="O72" i="30"/>
  <c r="N72" i="30"/>
  <c r="M72" i="30"/>
  <c r="L72" i="30"/>
  <c r="K72" i="30"/>
  <c r="J72" i="30"/>
  <c r="O71" i="30"/>
  <c r="N71" i="30"/>
  <c r="M71" i="30"/>
  <c r="P71" i="30"/>
  <c r="L71" i="30"/>
  <c r="K71" i="30"/>
  <c r="J71" i="30"/>
  <c r="O70" i="30"/>
  <c r="N70" i="30"/>
  <c r="M70" i="30"/>
  <c r="P70" i="30"/>
  <c r="L70" i="30"/>
  <c r="K70" i="30"/>
  <c r="J70" i="30"/>
  <c r="O69" i="30"/>
  <c r="N69" i="30"/>
  <c r="M69" i="30"/>
  <c r="P69" i="30"/>
  <c r="L69" i="30"/>
  <c r="K69" i="30"/>
  <c r="J69" i="30"/>
  <c r="P68" i="30"/>
  <c r="O68" i="30"/>
  <c r="N68" i="30"/>
  <c r="M68" i="30"/>
  <c r="L68" i="30"/>
  <c r="K68" i="30"/>
  <c r="J68" i="30"/>
  <c r="O67" i="30"/>
  <c r="N67" i="30"/>
  <c r="M67" i="30"/>
  <c r="P67" i="30"/>
  <c r="L67" i="30"/>
  <c r="K67" i="30"/>
  <c r="J67" i="30"/>
  <c r="O66" i="30"/>
  <c r="N66" i="30"/>
  <c r="M66" i="30"/>
  <c r="P66" i="30"/>
  <c r="L66" i="30"/>
  <c r="K66" i="30"/>
  <c r="J66" i="30"/>
  <c r="O65" i="30"/>
  <c r="N65" i="30"/>
  <c r="M65" i="30"/>
  <c r="P65" i="30"/>
  <c r="L65" i="30"/>
  <c r="K65" i="30"/>
  <c r="J65" i="30"/>
  <c r="P64" i="30"/>
  <c r="O64" i="30"/>
  <c r="N64" i="30"/>
  <c r="M64" i="30"/>
  <c r="L64" i="30"/>
  <c r="K64" i="30"/>
  <c r="J64" i="30"/>
  <c r="O63" i="30"/>
  <c r="N63" i="30"/>
  <c r="M63" i="30"/>
  <c r="P63" i="30"/>
  <c r="L63" i="30"/>
  <c r="K63" i="30"/>
  <c r="J63" i="30"/>
  <c r="O62" i="30"/>
  <c r="N62" i="30"/>
  <c r="P62" i="30"/>
  <c r="M62" i="30"/>
  <c r="L62" i="30"/>
  <c r="K62" i="30"/>
  <c r="J62" i="30"/>
  <c r="O61" i="30"/>
  <c r="N61" i="30"/>
  <c r="M61" i="30"/>
  <c r="P61" i="30"/>
  <c r="L61" i="30"/>
  <c r="K61" i="30"/>
  <c r="J61" i="30"/>
  <c r="P60" i="30"/>
  <c r="O60" i="30"/>
  <c r="N60" i="30"/>
  <c r="M60" i="30"/>
  <c r="L60" i="30"/>
  <c r="K60" i="30"/>
  <c r="J60" i="30"/>
  <c r="O59" i="30"/>
  <c r="N59" i="30"/>
  <c r="M59" i="30"/>
  <c r="P59" i="30"/>
  <c r="L59" i="30"/>
  <c r="K59" i="30"/>
  <c r="J59" i="30"/>
  <c r="O58" i="30"/>
  <c r="N58" i="30"/>
  <c r="P58" i="30"/>
  <c r="M58" i="30"/>
  <c r="L58" i="30"/>
  <c r="K58" i="30"/>
  <c r="J58" i="30"/>
  <c r="O57" i="30"/>
  <c r="N57" i="30"/>
  <c r="M57" i="30"/>
  <c r="P57" i="30"/>
  <c r="L57" i="30"/>
  <c r="K57" i="30"/>
  <c r="J57" i="30"/>
  <c r="P56" i="30"/>
  <c r="O56" i="30"/>
  <c r="N56" i="30"/>
  <c r="M56" i="30"/>
  <c r="L56" i="30"/>
  <c r="K56" i="30"/>
  <c r="J56" i="30"/>
  <c r="O55" i="30"/>
  <c r="N55" i="30"/>
  <c r="M55" i="30"/>
  <c r="P55" i="30"/>
  <c r="L55" i="30"/>
  <c r="K55" i="30"/>
  <c r="J55" i="30"/>
  <c r="O54" i="30"/>
  <c r="N54" i="30"/>
  <c r="P54" i="30"/>
  <c r="M54" i="30"/>
  <c r="L54" i="30"/>
  <c r="K54" i="30"/>
  <c r="J54" i="30"/>
  <c r="O53" i="30"/>
  <c r="N53" i="30"/>
  <c r="M53" i="30"/>
  <c r="P53" i="30"/>
  <c r="L53" i="30"/>
  <c r="K53" i="30"/>
  <c r="J53" i="30"/>
  <c r="P52" i="30"/>
  <c r="O52" i="30"/>
  <c r="N52" i="30"/>
  <c r="M52" i="30"/>
  <c r="L52" i="30"/>
  <c r="K52" i="30"/>
  <c r="J52" i="30"/>
  <c r="O51" i="30"/>
  <c r="N51" i="30"/>
  <c r="M51" i="30"/>
  <c r="P51" i="30"/>
  <c r="L51" i="30"/>
  <c r="K51" i="30"/>
  <c r="J51" i="30"/>
  <c r="O50" i="30"/>
  <c r="N50" i="30"/>
  <c r="P50" i="30"/>
  <c r="M50" i="30"/>
  <c r="L50" i="30"/>
  <c r="K50" i="30"/>
  <c r="J50" i="30"/>
  <c r="O49" i="30"/>
  <c r="N49" i="30"/>
  <c r="M49" i="30"/>
  <c r="P49" i="30"/>
  <c r="L49" i="30"/>
  <c r="K49" i="30"/>
  <c r="J49" i="30"/>
  <c r="P48" i="30"/>
  <c r="O48" i="30"/>
  <c r="N48" i="30"/>
  <c r="M48" i="30"/>
  <c r="L48" i="30"/>
  <c r="K48" i="30"/>
  <c r="J48" i="30"/>
  <c r="O47" i="30"/>
  <c r="N47" i="30"/>
  <c r="M47" i="30"/>
  <c r="P47" i="30"/>
  <c r="L47" i="30"/>
  <c r="K47" i="30"/>
  <c r="J47" i="30"/>
  <c r="O46" i="30"/>
  <c r="N46" i="30"/>
  <c r="P46" i="30"/>
  <c r="M46" i="30"/>
  <c r="L46" i="30"/>
  <c r="K46" i="30"/>
  <c r="J46" i="30"/>
  <c r="O45" i="30"/>
  <c r="N45" i="30"/>
  <c r="M45" i="30"/>
  <c r="P45" i="30"/>
  <c r="L45" i="30"/>
  <c r="K45" i="30"/>
  <c r="J45" i="30"/>
  <c r="P44" i="30"/>
  <c r="O44" i="30"/>
  <c r="N44" i="30"/>
  <c r="M44" i="30"/>
  <c r="L44" i="30"/>
  <c r="K44" i="30"/>
  <c r="J44" i="30"/>
  <c r="O43" i="30"/>
  <c r="N43" i="30"/>
  <c r="M43" i="30"/>
  <c r="P43" i="30"/>
  <c r="L43" i="30"/>
  <c r="K43" i="30"/>
  <c r="J43" i="30"/>
  <c r="O42" i="30"/>
  <c r="N42" i="30"/>
  <c r="P42" i="30"/>
  <c r="M42" i="30"/>
  <c r="L42" i="30"/>
  <c r="K42" i="30"/>
  <c r="J42" i="30"/>
  <c r="O41" i="30"/>
  <c r="N41" i="30"/>
  <c r="M41" i="30"/>
  <c r="P41" i="30"/>
  <c r="L41" i="30"/>
  <c r="K41" i="30"/>
  <c r="J41" i="30"/>
  <c r="P40" i="30"/>
  <c r="O40" i="30"/>
  <c r="N40" i="30"/>
  <c r="M40" i="30"/>
  <c r="L40" i="30"/>
  <c r="K40" i="30"/>
  <c r="J40" i="30"/>
  <c r="O39" i="30"/>
  <c r="N39" i="30"/>
  <c r="M39" i="30"/>
  <c r="P39" i="30"/>
  <c r="L39" i="30"/>
  <c r="K39" i="30"/>
  <c r="J39" i="30"/>
  <c r="O38" i="30"/>
  <c r="N38" i="30"/>
  <c r="P38" i="30"/>
  <c r="M38" i="30"/>
  <c r="L38" i="30"/>
  <c r="K38" i="30"/>
  <c r="J38" i="30"/>
  <c r="O37" i="30"/>
  <c r="N37" i="30"/>
  <c r="M37" i="30"/>
  <c r="P37" i="30"/>
  <c r="L37" i="30"/>
  <c r="K37" i="30"/>
  <c r="J37" i="30"/>
  <c r="P36" i="30"/>
  <c r="O36" i="30"/>
  <c r="N36" i="30"/>
  <c r="M36" i="30"/>
  <c r="L36" i="30"/>
  <c r="K36" i="30"/>
  <c r="J36" i="30"/>
  <c r="O35" i="30"/>
  <c r="N35" i="30"/>
  <c r="M35" i="30"/>
  <c r="P35" i="30"/>
  <c r="L35" i="30"/>
  <c r="K35" i="30"/>
  <c r="J35" i="30"/>
  <c r="O34" i="30"/>
  <c r="N34" i="30"/>
  <c r="P34" i="30"/>
  <c r="M34" i="30"/>
  <c r="L34" i="30"/>
  <c r="K34" i="30"/>
  <c r="J34" i="30"/>
  <c r="O33" i="30"/>
  <c r="N33" i="30"/>
  <c r="M33" i="30"/>
  <c r="P33" i="30"/>
  <c r="L33" i="30"/>
  <c r="K33" i="30"/>
  <c r="J33" i="30"/>
  <c r="P32" i="30"/>
  <c r="O32" i="30"/>
  <c r="N32" i="30"/>
  <c r="M32" i="30"/>
  <c r="L32" i="30"/>
  <c r="K32" i="30"/>
  <c r="J32" i="30"/>
  <c r="O31" i="30"/>
  <c r="N31" i="30"/>
  <c r="M31" i="30"/>
  <c r="P31" i="30"/>
  <c r="L31" i="30"/>
  <c r="K31" i="30"/>
  <c r="J31" i="30"/>
  <c r="O30" i="30"/>
  <c r="N30" i="30"/>
  <c r="P30" i="30"/>
  <c r="M30" i="30"/>
  <c r="L30" i="30"/>
  <c r="K30" i="30"/>
  <c r="J30" i="30"/>
  <c r="O29" i="30"/>
  <c r="N29" i="30"/>
  <c r="M29" i="30"/>
  <c r="P29" i="30"/>
  <c r="L29" i="30"/>
  <c r="K29" i="30"/>
  <c r="J29" i="30"/>
  <c r="P28" i="30"/>
  <c r="O28" i="30"/>
  <c r="N28" i="30"/>
  <c r="M28" i="30"/>
  <c r="L28" i="30"/>
  <c r="K28" i="30"/>
  <c r="J28" i="30"/>
  <c r="O27" i="30"/>
  <c r="N27" i="30"/>
  <c r="M27" i="30"/>
  <c r="P27" i="30"/>
  <c r="L27" i="30"/>
  <c r="K27" i="30"/>
  <c r="J27" i="30"/>
  <c r="O26" i="30"/>
  <c r="N26" i="30"/>
  <c r="P26" i="30"/>
  <c r="M26" i="30"/>
  <c r="L26" i="30"/>
  <c r="K26" i="30"/>
  <c r="J26" i="30"/>
  <c r="O25" i="30"/>
  <c r="N25" i="30"/>
  <c r="M25" i="30"/>
  <c r="P25" i="30"/>
  <c r="L25" i="30"/>
  <c r="K25" i="30"/>
  <c r="J25" i="30"/>
  <c r="P24" i="30"/>
  <c r="O24" i="30"/>
  <c r="N24" i="30"/>
  <c r="M24" i="30"/>
  <c r="L24" i="30"/>
  <c r="K24" i="30"/>
  <c r="J24" i="30"/>
  <c r="O23" i="30"/>
  <c r="N23" i="30"/>
  <c r="M23" i="30"/>
  <c r="P23" i="30"/>
  <c r="L23" i="30"/>
  <c r="K23" i="30"/>
  <c r="J23" i="30"/>
  <c r="O22" i="30"/>
  <c r="N22" i="30"/>
  <c r="M22" i="30"/>
  <c r="P22" i="30"/>
  <c r="L22" i="30"/>
  <c r="K22" i="30"/>
  <c r="J22" i="30"/>
  <c r="O21" i="30"/>
  <c r="N21" i="30"/>
  <c r="M21" i="30"/>
  <c r="P21" i="30"/>
  <c r="L21" i="30"/>
  <c r="K21" i="30"/>
  <c r="J21" i="30"/>
  <c r="P20" i="30"/>
  <c r="O20" i="30"/>
  <c r="N20" i="30"/>
  <c r="M20" i="30"/>
  <c r="L20" i="30"/>
  <c r="K20" i="30"/>
  <c r="J20" i="30"/>
  <c r="O19" i="30"/>
  <c r="N19" i="30"/>
  <c r="M19" i="30"/>
  <c r="P19" i="30"/>
  <c r="L19" i="30"/>
  <c r="K19" i="30"/>
  <c r="J19" i="30"/>
  <c r="O18" i="30"/>
  <c r="N18" i="30"/>
  <c r="M18" i="30"/>
  <c r="P18" i="30"/>
  <c r="L18" i="30"/>
  <c r="K18" i="30"/>
  <c r="J18" i="30"/>
  <c r="O17" i="30"/>
  <c r="N17" i="30"/>
  <c r="M17" i="30"/>
  <c r="P17" i="30"/>
  <c r="L17" i="30"/>
  <c r="K17" i="30"/>
  <c r="J17" i="30"/>
  <c r="P16" i="30"/>
  <c r="O16" i="30"/>
  <c r="N16" i="30"/>
  <c r="M16" i="30"/>
  <c r="L16" i="30"/>
  <c r="K16" i="30"/>
  <c r="J16" i="30"/>
  <c r="O15" i="30"/>
  <c r="N15" i="30"/>
  <c r="M15" i="30"/>
  <c r="P15" i="30"/>
  <c r="L15" i="30"/>
  <c r="K15" i="30"/>
  <c r="J15" i="30"/>
  <c r="O14" i="30"/>
  <c r="N14" i="30"/>
  <c r="M14" i="30"/>
  <c r="P14" i="30"/>
  <c r="L14" i="30"/>
  <c r="K14" i="30"/>
  <c r="J14" i="30"/>
  <c r="O13" i="30"/>
  <c r="N13" i="30"/>
  <c r="M13" i="30"/>
  <c r="P13" i="30"/>
  <c r="L13" i="30"/>
  <c r="K13" i="30"/>
  <c r="J13" i="30"/>
  <c r="P12" i="30"/>
  <c r="O12" i="30"/>
  <c r="N12" i="30"/>
  <c r="M12" i="30"/>
  <c r="L12" i="30"/>
  <c r="K12" i="30"/>
  <c r="J12" i="30"/>
  <c r="O11" i="30"/>
  <c r="N11" i="30"/>
  <c r="M11" i="30"/>
  <c r="P11" i="30"/>
  <c r="L11" i="30"/>
  <c r="K11" i="30"/>
  <c r="J11" i="30"/>
  <c r="O10" i="30"/>
  <c r="N10" i="30"/>
  <c r="M10" i="30"/>
  <c r="P10" i="30"/>
  <c r="L10" i="30"/>
  <c r="K10" i="30"/>
  <c r="J10" i="30"/>
  <c r="O9" i="30"/>
  <c r="N9" i="30"/>
  <c r="M9" i="30"/>
  <c r="P9" i="30"/>
  <c r="L9" i="30"/>
  <c r="K9" i="30"/>
  <c r="J9" i="30"/>
  <c r="P8" i="30"/>
  <c r="O8" i="30"/>
  <c r="N8" i="30"/>
  <c r="M8" i="30"/>
  <c r="L8" i="30"/>
  <c r="K8" i="30"/>
  <c r="J8" i="30"/>
  <c r="O7" i="30"/>
  <c r="N7" i="30"/>
  <c r="M7" i="30"/>
  <c r="P7" i="30"/>
  <c r="L7" i="30"/>
  <c r="K7" i="30"/>
  <c r="J7" i="30"/>
  <c r="O6" i="30"/>
  <c r="N6" i="30"/>
  <c r="M6" i="30"/>
  <c r="P6" i="30"/>
  <c r="L6" i="30"/>
  <c r="K6" i="30"/>
  <c r="J6" i="30"/>
  <c r="O5" i="30"/>
  <c r="N5" i="30"/>
  <c r="M5" i="30"/>
  <c r="P5" i="30"/>
  <c r="L5" i="30"/>
  <c r="K5" i="30"/>
  <c r="J5" i="30"/>
  <c r="P4" i="30"/>
  <c r="O4" i="30"/>
  <c r="N4" i="30"/>
  <c r="M4" i="30"/>
  <c r="L4" i="30"/>
  <c r="K4" i="30"/>
  <c r="J4" i="30"/>
  <c r="O3" i="30"/>
  <c r="N3" i="30"/>
  <c r="M3" i="30"/>
  <c r="P3" i="30"/>
  <c r="L3" i="30"/>
  <c r="K3" i="30"/>
  <c r="J3" i="30"/>
  <c r="O2" i="30"/>
  <c r="N2" i="30"/>
  <c r="P2" i="30"/>
  <c r="M2" i="30"/>
  <c r="L2" i="30"/>
  <c r="K2" i="30"/>
  <c r="J2" i="30"/>
  <c r="BZ491" i="28"/>
  <c r="BZ218" i="28"/>
  <c r="BZ41" i="28"/>
  <c r="BZ42" i="28"/>
  <c r="BZ273" i="28"/>
  <c r="BZ38" i="28"/>
  <c r="BZ6" i="28"/>
  <c r="BZ7" i="28"/>
  <c r="BZ4" i="28"/>
  <c r="BZ373" i="28"/>
  <c r="BZ236" i="28"/>
  <c r="BZ296" i="28"/>
  <c r="BZ295" i="28"/>
  <c r="BZ299" i="28"/>
  <c r="BZ294" i="28"/>
  <c r="BZ229" i="28"/>
  <c r="BZ222" i="28"/>
  <c r="BZ120" i="28"/>
  <c r="BZ170" i="28"/>
  <c r="BZ177" i="28"/>
  <c r="BZ172" i="28"/>
  <c r="BZ173" i="28"/>
  <c r="BZ174" i="28"/>
  <c r="BZ171" i="28"/>
  <c r="BZ175" i="28"/>
  <c r="BZ176" i="28"/>
  <c r="BZ122" i="28"/>
  <c r="BZ121" i="28"/>
  <c r="BZ123" i="28"/>
  <c r="BZ344" i="28"/>
  <c r="BZ345" i="28"/>
  <c r="BZ346" i="28"/>
  <c r="BZ191" i="28"/>
  <c r="BZ210" i="28"/>
  <c r="BZ228" i="28"/>
  <c r="BZ220" i="28"/>
  <c r="BZ407" i="28"/>
  <c r="BZ414" i="28"/>
  <c r="BZ169" i="28"/>
  <c r="BZ186" i="28"/>
  <c r="BZ246" i="28"/>
  <c r="BZ247" i="28"/>
  <c r="BZ203" i="28"/>
  <c r="BZ205" i="28"/>
  <c r="BZ204" i="28"/>
  <c r="BZ52" i="28"/>
  <c r="BZ163" i="28"/>
  <c r="BZ164" i="28"/>
  <c r="BZ165" i="28"/>
  <c r="BZ232" i="28"/>
  <c r="BZ231" i="28"/>
  <c r="BZ378" i="28"/>
  <c r="BZ97" i="28"/>
  <c r="BZ440" i="28"/>
  <c r="BZ8" i="28"/>
  <c r="BZ9" i="28"/>
  <c r="BZ5" i="28"/>
  <c r="BZ152" i="28"/>
  <c r="BZ129" i="28"/>
  <c r="BZ130" i="28"/>
  <c r="BZ131" i="28"/>
  <c r="BZ132" i="28"/>
  <c r="BZ289" i="28"/>
  <c r="BZ291" i="28"/>
  <c r="BZ290" i="28"/>
  <c r="BZ318" i="28"/>
  <c r="BZ288" i="28"/>
  <c r="BZ10" i="28"/>
  <c r="BZ303" i="28"/>
  <c r="BZ311" i="28"/>
  <c r="BZ462" i="28"/>
  <c r="BZ339" i="28"/>
  <c r="BZ340" i="28"/>
  <c r="BZ341" i="28"/>
  <c r="BZ342" i="28"/>
  <c r="BZ343" i="28"/>
  <c r="BZ485" i="28"/>
  <c r="BZ347" i="28"/>
  <c r="BZ481" i="28"/>
  <c r="BZ482" i="28"/>
  <c r="BZ180" i="28"/>
  <c r="BZ271" i="28"/>
  <c r="BZ11" i="28"/>
  <c r="BZ12" i="28"/>
  <c r="BZ492" i="28"/>
  <c r="BZ493" i="28"/>
  <c r="BZ226" i="28"/>
  <c r="BZ81" i="28"/>
  <c r="BZ20" i="28"/>
  <c r="BZ184" i="28"/>
  <c r="BZ272" i="28"/>
  <c r="BZ494" i="28"/>
  <c r="BZ495" i="28"/>
  <c r="BZ351" i="28"/>
  <c r="BZ354" i="28"/>
  <c r="BZ472" i="28"/>
  <c r="BZ447" i="28"/>
  <c r="BZ392" i="28"/>
  <c r="BZ479" i="28"/>
  <c r="BZ483" i="28"/>
  <c r="BZ471" i="28"/>
  <c r="BZ402" i="28"/>
  <c r="BZ393" i="28"/>
  <c r="BZ480" i="28"/>
  <c r="BZ484" i="28"/>
  <c r="BZ452" i="28"/>
  <c r="BZ459" i="28"/>
  <c r="BZ460" i="28"/>
  <c r="BZ144" i="28"/>
  <c r="BZ145" i="28"/>
  <c r="BZ146" i="28"/>
  <c r="BZ147" i="28"/>
  <c r="BZ148" i="28"/>
  <c r="BZ141" i="28"/>
  <c r="BZ124" i="28"/>
  <c r="BZ125" i="28"/>
  <c r="BZ126" i="28"/>
  <c r="BZ127" i="28"/>
  <c r="BZ496" i="28"/>
  <c r="BZ497" i="28"/>
  <c r="BZ225" i="28"/>
  <c r="BZ219" i="28"/>
  <c r="BZ350" i="28"/>
  <c r="BZ455" i="28"/>
  <c r="BZ454" i="28"/>
  <c r="BZ453" i="28"/>
  <c r="BZ317" i="28"/>
  <c r="BZ153" i="28"/>
  <c r="BZ433" i="28"/>
  <c r="BZ262" i="28"/>
  <c r="BZ263" i="28"/>
  <c r="BZ200" i="28"/>
  <c r="BZ197" i="28"/>
  <c r="BZ167" i="28"/>
  <c r="BZ421" i="28"/>
  <c r="BZ214" i="28"/>
  <c r="BZ408" i="28"/>
  <c r="BZ238" i="28"/>
  <c r="BZ23" i="28"/>
  <c r="BZ24" i="28"/>
  <c r="BZ25" i="28"/>
  <c r="BZ26" i="28"/>
  <c r="BZ27" i="28"/>
  <c r="BZ28" i="28"/>
  <c r="BZ29" i="28"/>
  <c r="BZ30" i="28"/>
  <c r="BZ31" i="28"/>
  <c r="BZ32" i="28"/>
  <c r="BZ427" i="28"/>
  <c r="BZ155" i="28"/>
  <c r="BZ316" i="28"/>
  <c r="BZ313" i="28"/>
  <c r="BZ256" i="28"/>
  <c r="BZ312" i="28"/>
  <c r="BZ158" i="28"/>
  <c r="BZ338" i="28"/>
  <c r="BZ106" i="28"/>
  <c r="BZ443" i="28"/>
  <c r="BZ442" i="28"/>
  <c r="BZ48" i="28"/>
  <c r="BZ403" i="28"/>
  <c r="BZ108" i="28"/>
  <c r="BZ105" i="28"/>
  <c r="BZ107" i="28"/>
  <c r="BZ89" i="28"/>
  <c r="BZ381" i="28"/>
  <c r="BZ383" i="28"/>
  <c r="BZ92" i="28"/>
  <c r="BZ87" i="28"/>
  <c r="BZ118" i="28"/>
  <c r="BZ168" i="28"/>
  <c r="BZ143" i="28"/>
  <c r="BZ142" i="28"/>
  <c r="BZ198" i="28"/>
  <c r="BZ199" i="28"/>
  <c r="BZ201" i="28"/>
  <c r="BZ202" i="28"/>
  <c r="BZ244" i="28"/>
  <c r="BZ217" i="28"/>
  <c r="BZ379" i="28"/>
  <c r="BZ90" i="28"/>
  <c r="BZ159" i="28"/>
  <c r="BZ160" i="28"/>
  <c r="BZ320" i="28"/>
  <c r="BZ51" i="28"/>
  <c r="BZ111" i="28"/>
  <c r="BZ154" i="28"/>
  <c r="BZ156" i="28"/>
  <c r="BZ302" i="28"/>
  <c r="BZ300" i="28"/>
  <c r="BZ215" i="28"/>
  <c r="BZ213" i="28"/>
  <c r="BZ382" i="28"/>
  <c r="BZ321" i="28"/>
  <c r="BZ211" i="28"/>
  <c r="BZ212" i="28"/>
  <c r="BZ457" i="28"/>
  <c r="BZ456" i="28"/>
  <c r="BZ240" i="28"/>
  <c r="BZ56" i="28"/>
  <c r="BZ330" i="28"/>
  <c r="BZ66" i="28"/>
  <c r="BZ64" i="28"/>
  <c r="BZ157" i="28"/>
  <c r="BZ161" i="28"/>
  <c r="BZ57" i="28"/>
  <c r="BZ55" i="28"/>
  <c r="BZ372" i="28"/>
  <c r="BZ355" i="28"/>
  <c r="BZ235" i="28"/>
  <c r="BZ151" i="28"/>
  <c r="BZ242" i="28"/>
  <c r="BZ243" i="28"/>
  <c r="BZ245" i="28"/>
  <c r="BZ227" i="28"/>
  <c r="BZ275" i="28"/>
  <c r="BZ267" i="28"/>
  <c r="BZ277" i="28"/>
  <c r="BZ276" i="28"/>
  <c r="BZ269" i="28"/>
  <c r="BZ310" i="28"/>
  <c r="BZ356" i="28"/>
  <c r="BZ444" i="28"/>
  <c r="BZ388" i="28"/>
  <c r="BZ248" i="28"/>
  <c r="BZ249" i="28"/>
  <c r="BZ181" i="28"/>
  <c r="BZ185" i="28"/>
  <c r="BZ428" i="28"/>
  <c r="BZ415" i="28"/>
  <c r="BZ178" i="28"/>
  <c r="BZ101" i="28"/>
  <c r="BZ100" i="28"/>
  <c r="BZ187" i="28"/>
  <c r="BZ182" i="28"/>
  <c r="BZ188" i="28"/>
  <c r="BZ179" i="28"/>
  <c r="BZ209" i="28"/>
  <c r="BZ162" i="28"/>
  <c r="BZ324" i="28"/>
  <c r="BZ190" i="28"/>
  <c r="BZ255" i="28"/>
  <c r="BZ293" i="28"/>
  <c r="BZ396" i="28"/>
  <c r="BZ292" i="28"/>
  <c r="BZ21" i="28"/>
  <c r="BZ17" i="28"/>
  <c r="BZ416" i="28"/>
  <c r="BZ419" i="28"/>
  <c r="BZ420" i="28"/>
  <c r="BZ192" i="28"/>
  <c r="BZ195" i="28"/>
  <c r="BZ196" i="28"/>
  <c r="BZ413" i="28"/>
  <c r="BZ112" i="28"/>
  <c r="BZ104" i="28"/>
  <c r="BZ102" i="28"/>
  <c r="BZ117" i="28"/>
  <c r="BZ279" i="28"/>
  <c r="BZ265" i="28"/>
  <c r="BZ84" i="28"/>
  <c r="BZ65" i="28"/>
  <c r="BZ501" i="28"/>
  <c r="BZ500" i="28"/>
  <c r="BZ400" i="28"/>
  <c r="BZ99" i="28"/>
  <c r="BZ387" i="28"/>
  <c r="BZ86" i="28"/>
  <c r="BZ95" i="28"/>
  <c r="BZ389" i="28"/>
  <c r="BZ399" i="28"/>
  <c r="BZ113" i="28"/>
  <c r="BZ69" i="28"/>
  <c r="BZ68" i="28"/>
  <c r="BZ67" i="28"/>
  <c r="BZ134" i="28"/>
  <c r="BZ430" i="28"/>
  <c r="BZ431" i="28"/>
  <c r="BZ61" i="28"/>
  <c r="BZ326" i="28"/>
  <c r="BZ327" i="28"/>
  <c r="BZ328" i="28"/>
  <c r="BZ445" i="28"/>
  <c r="BZ166" i="28"/>
  <c r="BZ301" i="28"/>
  <c r="BZ230" i="28"/>
  <c r="BZ409" i="28"/>
  <c r="BZ206" i="28"/>
  <c r="BZ207" i="28"/>
  <c r="BZ250" i="28"/>
  <c r="BZ82" i="28"/>
  <c r="BZ422" i="28"/>
  <c r="BZ425" i="28"/>
  <c r="BZ54" i="28"/>
  <c r="BZ395" i="28"/>
  <c r="BZ337" i="28"/>
  <c r="BZ410" i="28"/>
  <c r="BZ16" i="28"/>
  <c r="BZ331" i="28"/>
  <c r="BZ268" i="28"/>
  <c r="BZ309" i="28"/>
  <c r="BZ251" i="28"/>
  <c r="BZ252" i="28"/>
  <c r="BZ432" i="28"/>
  <c r="BZ308" i="28"/>
  <c r="BZ384" i="28"/>
  <c r="BZ385" i="28"/>
  <c r="BZ386" i="28"/>
  <c r="BZ322" i="28"/>
  <c r="BZ221" i="28"/>
  <c r="BZ315" i="28"/>
  <c r="BZ314" i="28"/>
  <c r="BZ183" i="28"/>
  <c r="BZ434" i="28"/>
  <c r="BZ329" i="28"/>
  <c r="BZ332" i="28"/>
  <c r="BZ426" i="28"/>
  <c r="BZ418" i="28"/>
  <c r="BZ374" i="28"/>
  <c r="BZ336" i="28"/>
  <c r="BZ47" i="28"/>
  <c r="BZ53" i="28"/>
  <c r="BZ49" i="28"/>
  <c r="BZ50" i="28"/>
  <c r="BZ446" i="28"/>
  <c r="BZ412" i="28"/>
  <c r="BZ239" i="28"/>
  <c r="BZ438" i="28"/>
  <c r="BZ437" i="28"/>
  <c r="BZ45" i="28"/>
  <c r="BZ266" i="28"/>
  <c r="BZ264" i="28"/>
  <c r="BZ278" i="28"/>
  <c r="BZ325" i="28"/>
  <c r="BZ216" i="28"/>
  <c r="BZ319" i="28"/>
  <c r="BZ85" i="28"/>
  <c r="BZ411" i="28"/>
  <c r="BZ270" i="28"/>
  <c r="BZ448" i="28"/>
  <c r="BZ13" i="28"/>
  <c r="BZ464" i="28"/>
  <c r="BZ463" i="28"/>
  <c r="BZ15" i="28"/>
  <c r="BZ435" i="28"/>
  <c r="BZ436" i="28"/>
  <c r="BZ405" i="28"/>
  <c r="BZ283" i="28"/>
  <c r="BZ284" i="28"/>
  <c r="BZ394" i="28"/>
  <c r="BZ487" i="28"/>
  <c r="BZ489" i="28"/>
  <c r="BZ486" i="28"/>
  <c r="BZ488" i="28"/>
  <c r="BZ109" i="28"/>
  <c r="BZ110" i="28"/>
  <c r="BZ116" i="28"/>
  <c r="BZ119" i="28"/>
  <c r="BZ115" i="28"/>
  <c r="BZ297" i="28"/>
  <c r="BZ298" i="28"/>
  <c r="BZ150" i="28"/>
  <c r="BZ323" i="28"/>
  <c r="BZ477" i="28"/>
  <c r="BZ476" i="28"/>
  <c r="BZ241" i="28"/>
  <c r="BZ357" i="28"/>
  <c r="BZ358" i="28"/>
  <c r="BZ63" i="28"/>
  <c r="BZ62" i="28"/>
  <c r="BZ335" i="28"/>
  <c r="BZ423" i="28"/>
  <c r="BZ424" i="28"/>
  <c r="BZ149" i="28"/>
  <c r="BZ137" i="28"/>
  <c r="BZ135" i="28"/>
  <c r="BZ136" i="28"/>
  <c r="BZ93" i="28"/>
  <c r="BZ334" i="28"/>
  <c r="BZ333" i="28"/>
  <c r="BZ377" i="28"/>
  <c r="BZ253" i="28"/>
  <c r="BZ254" i="28"/>
  <c r="BZ233" i="28"/>
  <c r="BZ285" i="28"/>
  <c r="BZ286" i="28"/>
  <c r="BZ281" i="28"/>
  <c r="BZ282" i="28"/>
  <c r="BZ280" i="28"/>
  <c r="BZ376" i="28"/>
  <c r="BZ359" i="28"/>
  <c r="BZ360" i="28"/>
  <c r="BZ361" i="28"/>
  <c r="BZ362" i="28"/>
  <c r="BZ363" i="28"/>
  <c r="BZ364" i="28"/>
  <c r="BZ365" i="28"/>
  <c r="BZ366" i="28"/>
  <c r="BZ367" i="28"/>
  <c r="BZ368" i="28"/>
  <c r="BZ369" i="28"/>
  <c r="BZ370" i="28"/>
  <c r="BZ371" i="28"/>
  <c r="BZ234" i="28"/>
  <c r="BZ473" i="28"/>
  <c r="BZ502" i="28"/>
  <c r="BZ503" i="28"/>
  <c r="BZ429" i="28"/>
  <c r="BZ417" i="28"/>
  <c r="BZ375" i="28"/>
  <c r="BZ237" i="28"/>
  <c r="BZ353" i="28"/>
  <c r="BZ352" i="28"/>
  <c r="BZ223" i="28"/>
  <c r="BZ138" i="28"/>
  <c r="BZ139" i="28"/>
  <c r="BZ140" i="28"/>
  <c r="BZ208" i="28"/>
  <c r="BZ22" i="28"/>
  <c r="BZ59" i="28"/>
  <c r="BZ60" i="28"/>
  <c r="BZ404" i="28"/>
  <c r="BZ128" i="28"/>
  <c r="BZ274" i="28"/>
  <c r="BZ451" i="28"/>
  <c r="BZ450" i="28"/>
  <c r="BZ449" i="28"/>
  <c r="BZ58" i="28"/>
  <c r="BZ114" i="28"/>
  <c r="BZ18" i="28"/>
  <c r="BZ348" i="28"/>
  <c r="BZ349" i="28"/>
  <c r="BZ133" i="28"/>
  <c r="BZ189" i="28"/>
  <c r="BZ98" i="28"/>
  <c r="BZ406" i="28"/>
  <c r="BZ287" i="28"/>
  <c r="BZ103" i="28"/>
  <c r="BZ304" i="28"/>
  <c r="BZ94" i="28"/>
  <c r="BZ96" i="28"/>
  <c r="BZ380" i="28"/>
  <c r="BZ398" i="28"/>
  <c r="BZ91" i="28"/>
  <c r="BZ397" i="28"/>
  <c r="BZ88" i="28"/>
  <c r="BZ33" i="28"/>
  <c r="BZ34" i="28"/>
  <c r="BZ35" i="28"/>
  <c r="BZ36" i="28"/>
  <c r="BZ257" i="28"/>
  <c r="BZ43" i="28"/>
  <c r="BZ80" i="28"/>
  <c r="BZ78" i="28"/>
  <c r="BZ307" i="28"/>
  <c r="BZ37" i="28"/>
  <c r="BZ44" i="28"/>
  <c r="BZ475" i="28"/>
  <c r="BZ79" i="28"/>
  <c r="BZ77" i="28"/>
  <c r="BZ14" i="28"/>
  <c r="BZ70" i="28"/>
  <c r="BZ71" i="28"/>
  <c r="BZ72" i="28"/>
  <c r="BZ73" i="28"/>
  <c r="BZ74" i="28"/>
  <c r="BZ194" i="28"/>
  <c r="BZ193" i="28"/>
  <c r="BZ498" i="28"/>
  <c r="BZ499" i="28"/>
  <c r="BZ461" i="28"/>
  <c r="BZ305" i="28"/>
  <c r="BZ306" i="28"/>
  <c r="BZ39" i="28"/>
  <c r="BZ40" i="28"/>
  <c r="BZ478" i="28"/>
  <c r="BZ76" i="28"/>
  <c r="BZ260" i="28"/>
  <c r="BZ259" i="28"/>
  <c r="BZ261" i="28"/>
  <c r="BZ258" i="28"/>
  <c r="BZ75" i="28"/>
  <c r="BZ19" i="28"/>
  <c r="BZ439" i="28"/>
  <c r="BZ83" i="28"/>
  <c r="BZ46" i="28"/>
  <c r="BZ468" i="28"/>
  <c r="BZ390" i="28"/>
  <c r="BZ391" i="28"/>
  <c r="BZ490" i="28"/>
  <c r="BZ441" i="28"/>
  <c r="BZ466" i="28"/>
  <c r="BZ465" i="28"/>
  <c r="BZ467" i="28"/>
  <c r="BZ470" i="28"/>
  <c r="BZ469" i="28"/>
  <c r="BZ474" i="28"/>
  <c r="BZ458" i="28"/>
  <c r="BZ401" i="28"/>
  <c r="BZ224" i="28"/>
  <c r="BY491" i="28"/>
  <c r="BY218" i="28"/>
  <c r="BY41" i="28"/>
  <c r="BY42" i="28"/>
  <c r="BY273" i="28"/>
  <c r="BY38" i="28"/>
  <c r="BY6" i="28"/>
  <c r="BY7" i="28"/>
  <c r="BY4" i="28"/>
  <c r="BY373" i="28"/>
  <c r="BY236" i="28"/>
  <c r="BY296" i="28"/>
  <c r="BY295" i="28"/>
  <c r="BY299" i="28"/>
  <c r="BY294" i="28"/>
  <c r="BY229" i="28"/>
  <c r="BY222" i="28"/>
  <c r="BY120" i="28"/>
  <c r="BY170" i="28"/>
  <c r="BY177" i="28"/>
  <c r="BY172" i="28"/>
  <c r="BY173" i="28"/>
  <c r="BY174" i="28"/>
  <c r="BY171" i="28"/>
  <c r="BY175" i="28"/>
  <c r="BY176" i="28"/>
  <c r="BY122" i="28"/>
  <c r="BY121" i="28"/>
  <c r="BY123" i="28"/>
  <c r="BY344" i="28"/>
  <c r="BY345" i="28"/>
  <c r="BY346" i="28"/>
  <c r="BY191" i="28"/>
  <c r="BY210" i="28"/>
  <c r="BY228" i="28"/>
  <c r="BY220" i="28"/>
  <c r="BY407" i="28"/>
  <c r="BY414" i="28"/>
  <c r="BY169" i="28"/>
  <c r="BY186" i="28"/>
  <c r="BY246" i="28"/>
  <c r="BY247" i="28"/>
  <c r="BY203" i="28"/>
  <c r="BY205" i="28"/>
  <c r="BY204" i="28"/>
  <c r="BY52" i="28"/>
  <c r="BY163" i="28"/>
  <c r="BY164" i="28"/>
  <c r="BY165" i="28"/>
  <c r="BY232" i="28"/>
  <c r="BY231" i="28"/>
  <c r="BY378" i="28"/>
  <c r="BY97" i="28"/>
  <c r="BY440" i="28"/>
  <c r="BY8" i="28"/>
  <c r="BY9" i="28"/>
  <c r="BY5" i="28"/>
  <c r="BY152" i="28"/>
  <c r="BY129" i="28"/>
  <c r="BY130" i="28"/>
  <c r="BY131" i="28"/>
  <c r="BY132" i="28"/>
  <c r="BY289" i="28"/>
  <c r="BY291" i="28"/>
  <c r="BY290" i="28"/>
  <c r="BY318" i="28"/>
  <c r="BY288" i="28"/>
  <c r="BY10" i="28"/>
  <c r="BY303" i="28"/>
  <c r="BY311" i="28"/>
  <c r="BY462" i="28"/>
  <c r="BY339" i="28"/>
  <c r="BY340" i="28"/>
  <c r="BY341" i="28"/>
  <c r="BY342" i="28"/>
  <c r="BY343" i="28"/>
  <c r="BY485" i="28"/>
  <c r="BY347" i="28"/>
  <c r="BY481" i="28"/>
  <c r="BY482" i="28"/>
  <c r="BY180" i="28"/>
  <c r="BY271" i="28"/>
  <c r="BY11" i="28"/>
  <c r="BY12" i="28"/>
  <c r="BY492" i="28"/>
  <c r="BY493" i="28"/>
  <c r="BY226" i="28"/>
  <c r="BY81" i="28"/>
  <c r="BY20" i="28"/>
  <c r="BY184" i="28"/>
  <c r="BY272" i="28"/>
  <c r="BY494" i="28"/>
  <c r="BY495" i="28"/>
  <c r="BY351" i="28"/>
  <c r="BY354" i="28"/>
  <c r="BY472" i="28"/>
  <c r="BY447" i="28"/>
  <c r="BY392" i="28"/>
  <c r="BY479" i="28"/>
  <c r="BY483" i="28"/>
  <c r="BY471" i="28"/>
  <c r="BY402" i="28"/>
  <c r="BY393" i="28"/>
  <c r="BY480" i="28"/>
  <c r="BY484" i="28"/>
  <c r="BY452" i="28"/>
  <c r="BY459" i="28"/>
  <c r="BY460" i="28"/>
  <c r="BY144" i="28"/>
  <c r="BY145" i="28"/>
  <c r="BY146" i="28"/>
  <c r="BY147" i="28"/>
  <c r="BY148" i="28"/>
  <c r="BY141" i="28"/>
  <c r="BY124" i="28"/>
  <c r="BY125" i="28"/>
  <c r="BY126" i="28"/>
  <c r="BY127" i="28"/>
  <c r="BY496" i="28"/>
  <c r="BY497" i="28"/>
  <c r="BY225" i="28"/>
  <c r="BY219" i="28"/>
  <c r="BY350" i="28"/>
  <c r="BY455" i="28"/>
  <c r="BY454" i="28"/>
  <c r="BY453" i="28"/>
  <c r="BY317" i="28"/>
  <c r="BY153" i="28"/>
  <c r="BY433" i="28"/>
  <c r="BY262" i="28"/>
  <c r="BY263" i="28"/>
  <c r="BY200" i="28"/>
  <c r="BY197" i="28"/>
  <c r="BY167" i="28"/>
  <c r="BY421" i="28"/>
  <c r="BY214" i="28"/>
  <c r="BY408" i="28"/>
  <c r="BY238" i="28"/>
  <c r="BY23" i="28"/>
  <c r="BY24" i="28"/>
  <c r="BY25" i="28"/>
  <c r="BY26" i="28"/>
  <c r="BY27" i="28"/>
  <c r="BY28" i="28"/>
  <c r="BY29" i="28"/>
  <c r="BY30" i="28"/>
  <c r="BY31" i="28"/>
  <c r="BY32" i="28"/>
  <c r="BY427" i="28"/>
  <c r="BY155" i="28"/>
  <c r="BY316" i="28"/>
  <c r="BY313" i="28"/>
  <c r="BY256" i="28"/>
  <c r="BY312" i="28"/>
  <c r="BY158" i="28"/>
  <c r="BY338" i="28"/>
  <c r="BY106" i="28"/>
  <c r="BY443" i="28"/>
  <c r="BY442" i="28"/>
  <c r="BY48" i="28"/>
  <c r="BY403" i="28"/>
  <c r="BY108" i="28"/>
  <c r="BY105" i="28"/>
  <c r="BY107" i="28"/>
  <c r="BY89" i="28"/>
  <c r="BY381" i="28"/>
  <c r="BY383" i="28"/>
  <c r="BY92" i="28"/>
  <c r="BY87" i="28"/>
  <c r="BY118" i="28"/>
  <c r="BY168" i="28"/>
  <c r="BY143" i="28"/>
  <c r="BY142" i="28"/>
  <c r="BY198" i="28"/>
  <c r="BY199" i="28"/>
  <c r="BY201" i="28"/>
  <c r="BY202" i="28"/>
  <c r="BY244" i="28"/>
  <c r="BY217" i="28"/>
  <c r="BY379" i="28"/>
  <c r="BY90" i="28"/>
  <c r="BY159" i="28"/>
  <c r="BY160" i="28"/>
  <c r="BY320" i="28"/>
  <c r="BY51" i="28"/>
  <c r="BY111" i="28"/>
  <c r="BY154" i="28"/>
  <c r="BY156" i="28"/>
  <c r="BY302" i="28"/>
  <c r="BY300" i="28"/>
  <c r="BY215" i="28"/>
  <c r="BY213" i="28"/>
  <c r="BY382" i="28"/>
  <c r="BY321" i="28"/>
  <c r="BY211" i="28"/>
  <c r="BY212" i="28"/>
  <c r="BY457" i="28"/>
  <c r="BY456" i="28"/>
  <c r="BY240" i="28"/>
  <c r="BY56" i="28"/>
  <c r="BY330" i="28"/>
  <c r="BY66" i="28"/>
  <c r="BY64" i="28"/>
  <c r="BY157" i="28"/>
  <c r="BY161" i="28"/>
  <c r="BY57" i="28"/>
  <c r="BY55" i="28"/>
  <c r="BY372" i="28"/>
  <c r="BY355" i="28"/>
  <c r="BY235" i="28"/>
  <c r="BY151" i="28"/>
  <c r="BY242" i="28"/>
  <c r="BY243" i="28"/>
  <c r="BY245" i="28"/>
  <c r="BY227" i="28"/>
  <c r="BY275" i="28"/>
  <c r="BY267" i="28"/>
  <c r="BY277" i="28"/>
  <c r="BY276" i="28"/>
  <c r="BY269" i="28"/>
  <c r="BY310" i="28"/>
  <c r="BY356" i="28"/>
  <c r="BY444" i="28"/>
  <c r="BY388" i="28"/>
  <c r="BY248" i="28"/>
  <c r="BY249" i="28"/>
  <c r="BY181" i="28"/>
  <c r="BY185" i="28"/>
  <c r="BY428" i="28"/>
  <c r="BY415" i="28"/>
  <c r="BY178" i="28"/>
  <c r="BY101" i="28"/>
  <c r="BY100" i="28"/>
  <c r="BY187" i="28"/>
  <c r="BY182" i="28"/>
  <c r="BY188" i="28"/>
  <c r="BY179" i="28"/>
  <c r="BY209" i="28"/>
  <c r="BY162" i="28"/>
  <c r="BY324" i="28"/>
  <c r="BY190" i="28"/>
  <c r="BY255" i="28"/>
  <c r="BY293" i="28"/>
  <c r="BY396" i="28"/>
  <c r="BY292" i="28"/>
  <c r="BY21" i="28"/>
  <c r="BY17" i="28"/>
  <c r="BY416" i="28"/>
  <c r="BY419" i="28"/>
  <c r="BY420" i="28"/>
  <c r="BY192" i="28"/>
  <c r="BY195" i="28"/>
  <c r="BY196" i="28"/>
  <c r="BY413" i="28"/>
  <c r="BY112" i="28"/>
  <c r="BY104" i="28"/>
  <c r="BY102" i="28"/>
  <c r="BY117" i="28"/>
  <c r="BY279" i="28"/>
  <c r="BY265" i="28"/>
  <c r="BY84" i="28"/>
  <c r="BY65" i="28"/>
  <c r="BY501" i="28"/>
  <c r="BY500" i="28"/>
  <c r="BY400" i="28"/>
  <c r="BY99" i="28"/>
  <c r="BY387" i="28"/>
  <c r="BY86" i="28"/>
  <c r="BY95" i="28"/>
  <c r="BY389" i="28"/>
  <c r="BY399" i="28"/>
  <c r="BY113" i="28"/>
  <c r="BY69" i="28"/>
  <c r="BY68" i="28"/>
  <c r="BY67" i="28"/>
  <c r="BY134" i="28"/>
  <c r="BY430" i="28"/>
  <c r="BY431" i="28"/>
  <c r="BY61" i="28"/>
  <c r="BY326" i="28"/>
  <c r="BY327" i="28"/>
  <c r="BY328" i="28"/>
  <c r="BY445" i="28"/>
  <c r="BY166" i="28"/>
  <c r="BY301" i="28"/>
  <c r="BY230" i="28"/>
  <c r="BY409" i="28"/>
  <c r="BY206" i="28"/>
  <c r="BY207" i="28"/>
  <c r="BY250" i="28"/>
  <c r="BY82" i="28"/>
  <c r="BY422" i="28"/>
  <c r="BY425" i="28"/>
  <c r="BY54" i="28"/>
  <c r="BY395" i="28"/>
  <c r="BY337" i="28"/>
  <c r="BY410" i="28"/>
  <c r="BY16" i="28"/>
  <c r="BY331" i="28"/>
  <c r="BY268" i="28"/>
  <c r="BY309" i="28"/>
  <c r="BY251" i="28"/>
  <c r="BY252" i="28"/>
  <c r="BY432" i="28"/>
  <c r="BY308" i="28"/>
  <c r="BY384" i="28"/>
  <c r="BY385" i="28"/>
  <c r="BY386" i="28"/>
  <c r="BY322" i="28"/>
  <c r="BY221" i="28"/>
  <c r="BY315" i="28"/>
  <c r="BY314" i="28"/>
  <c r="BY183" i="28"/>
  <c r="BY434" i="28"/>
  <c r="BY329" i="28"/>
  <c r="BY332" i="28"/>
  <c r="BY426" i="28"/>
  <c r="BY418" i="28"/>
  <c r="BY374" i="28"/>
  <c r="BY336" i="28"/>
  <c r="BY47" i="28"/>
  <c r="BY53" i="28"/>
  <c r="BY49" i="28"/>
  <c r="BY50" i="28"/>
  <c r="BY446" i="28"/>
  <c r="BY412" i="28"/>
  <c r="BY239" i="28"/>
  <c r="BY438" i="28"/>
  <c r="BY437" i="28"/>
  <c r="BY45" i="28"/>
  <c r="BY266" i="28"/>
  <c r="BY264" i="28"/>
  <c r="BY278" i="28"/>
  <c r="BY325" i="28"/>
  <c r="BY216" i="28"/>
  <c r="BY319" i="28"/>
  <c r="BY85" i="28"/>
  <c r="BY411" i="28"/>
  <c r="BY270" i="28"/>
  <c r="BY448" i="28"/>
  <c r="BY13" i="28"/>
  <c r="BY464" i="28"/>
  <c r="BY463" i="28"/>
  <c r="BY15" i="28"/>
  <c r="BY435" i="28"/>
  <c r="BY436" i="28"/>
  <c r="BY405" i="28"/>
  <c r="BY283" i="28"/>
  <c r="BY284" i="28"/>
  <c r="BY394" i="28"/>
  <c r="BY487" i="28"/>
  <c r="BY489" i="28"/>
  <c r="BY486" i="28"/>
  <c r="BY488" i="28"/>
  <c r="BY109" i="28"/>
  <c r="BY110" i="28"/>
  <c r="BY116" i="28"/>
  <c r="BY119" i="28"/>
  <c r="BY115" i="28"/>
  <c r="BY297" i="28"/>
  <c r="BY298" i="28"/>
  <c r="BY150" i="28"/>
  <c r="BY323" i="28"/>
  <c r="BY477" i="28"/>
  <c r="BY476" i="28"/>
  <c r="BY241" i="28"/>
  <c r="BY357" i="28"/>
  <c r="BY358" i="28"/>
  <c r="BY63" i="28"/>
  <c r="BY62" i="28"/>
  <c r="BY335" i="28"/>
  <c r="BY423" i="28"/>
  <c r="BY424" i="28"/>
  <c r="BY149" i="28"/>
  <c r="BY137" i="28"/>
  <c r="BY135" i="28"/>
  <c r="BY136" i="28"/>
  <c r="BY93" i="28"/>
  <c r="BY334" i="28"/>
  <c r="BY333" i="28"/>
  <c r="BY377" i="28"/>
  <c r="BY253" i="28"/>
  <c r="BY254" i="28"/>
  <c r="BY233" i="28"/>
  <c r="BY285" i="28"/>
  <c r="BY286" i="28"/>
  <c r="BY281" i="28"/>
  <c r="BY282" i="28"/>
  <c r="BY280" i="28"/>
  <c r="BY376" i="28"/>
  <c r="BY359" i="28"/>
  <c r="BY360" i="28"/>
  <c r="BY361" i="28"/>
  <c r="BY362" i="28"/>
  <c r="BY363" i="28"/>
  <c r="BY364" i="28"/>
  <c r="BY365" i="28"/>
  <c r="BY366" i="28"/>
  <c r="BY367" i="28"/>
  <c r="BY368" i="28"/>
  <c r="BY369" i="28"/>
  <c r="BY370" i="28"/>
  <c r="BY371" i="28"/>
  <c r="BY234" i="28"/>
  <c r="BY473" i="28"/>
  <c r="BY502" i="28"/>
  <c r="BY503" i="28"/>
  <c r="BY429" i="28"/>
  <c r="BY417" i="28"/>
  <c r="BY375" i="28"/>
  <c r="BY237" i="28"/>
  <c r="BY353" i="28"/>
  <c r="BY352" i="28"/>
  <c r="BY223" i="28"/>
  <c r="BY138" i="28"/>
  <c r="BY139" i="28"/>
  <c r="BY140" i="28"/>
  <c r="BY208" i="28"/>
  <c r="BY22" i="28"/>
  <c r="BY59" i="28"/>
  <c r="BY60" i="28"/>
  <c r="BY404" i="28"/>
  <c r="BY128" i="28"/>
  <c r="BY274" i="28"/>
  <c r="BY451" i="28"/>
  <c r="BY450" i="28"/>
  <c r="BY449" i="28"/>
  <c r="BY58" i="28"/>
  <c r="BY114" i="28"/>
  <c r="BY18" i="28"/>
  <c r="BY348" i="28"/>
  <c r="BY349" i="28"/>
  <c r="BY133" i="28"/>
  <c r="BY189" i="28"/>
  <c r="BY98" i="28"/>
  <c r="BY406" i="28"/>
  <c r="BY287" i="28"/>
  <c r="BY103" i="28"/>
  <c r="BY304" i="28"/>
  <c r="BY94" i="28"/>
  <c r="BY96" i="28"/>
  <c r="BY380" i="28"/>
  <c r="BY398" i="28"/>
  <c r="BY91" i="28"/>
  <c r="BY397" i="28"/>
  <c r="BY88" i="28"/>
  <c r="BY33" i="28"/>
  <c r="BY34" i="28"/>
  <c r="BY35" i="28"/>
  <c r="BY36" i="28"/>
  <c r="BY257" i="28"/>
  <c r="BY43" i="28"/>
  <c r="BY80" i="28"/>
  <c r="BY78" i="28"/>
  <c r="BY307" i="28"/>
  <c r="BY37" i="28"/>
  <c r="BY44" i="28"/>
  <c r="BY475" i="28"/>
  <c r="BY79" i="28"/>
  <c r="BY77" i="28"/>
  <c r="BY14" i="28"/>
  <c r="BY70" i="28"/>
  <c r="BY71" i="28"/>
  <c r="BY72" i="28"/>
  <c r="BY73" i="28"/>
  <c r="BY74" i="28"/>
  <c r="BY194" i="28"/>
  <c r="BY193" i="28"/>
  <c r="BY498" i="28"/>
  <c r="BY499" i="28"/>
  <c r="BY461" i="28"/>
  <c r="BY305" i="28"/>
  <c r="BY306" i="28"/>
  <c r="BY39" i="28"/>
  <c r="BY40" i="28"/>
  <c r="BY478" i="28"/>
  <c r="BY76" i="28"/>
  <c r="BY260" i="28"/>
  <c r="BY259" i="28"/>
  <c r="BY261" i="28"/>
  <c r="BY258" i="28"/>
  <c r="BY75" i="28"/>
  <c r="BY19" i="28"/>
  <c r="BY439" i="28"/>
  <c r="BY83" i="28"/>
  <c r="BY46" i="28"/>
  <c r="BY468" i="28"/>
  <c r="BY390" i="28"/>
  <c r="BY391" i="28"/>
  <c r="BY490" i="28"/>
  <c r="BY441" i="28"/>
  <c r="BY466" i="28"/>
  <c r="BY465" i="28"/>
  <c r="BY467" i="28"/>
  <c r="BY470" i="28"/>
  <c r="BY469" i="28"/>
  <c r="BY474" i="28"/>
  <c r="BY458" i="28"/>
  <c r="BY401" i="28"/>
  <c r="BY224" i="28"/>
  <c r="BX235" i="28"/>
  <c r="BX151" i="28"/>
  <c r="BX224" i="28"/>
  <c r="BX168" i="28"/>
  <c r="BX275" i="28"/>
  <c r="BX267" i="28"/>
  <c r="BX277" i="28"/>
  <c r="BX276" i="28"/>
  <c r="BX269" i="28"/>
  <c r="BX356" i="28"/>
  <c r="BX444" i="28"/>
  <c r="BX388" i="28"/>
  <c r="BX248" i="28"/>
  <c r="BX249" i="28"/>
  <c r="BX428" i="28"/>
  <c r="BX415" i="28"/>
  <c r="BX101" i="28"/>
  <c r="BX100" i="28"/>
  <c r="BX178" i="28"/>
  <c r="BX187" i="28"/>
  <c r="BX182" i="28"/>
  <c r="BX179" i="28"/>
  <c r="BX209" i="28"/>
  <c r="BX324" i="28"/>
  <c r="BX190" i="28"/>
  <c r="BX255" i="28"/>
  <c r="BX218" i="28"/>
  <c r="BX214" i="28"/>
  <c r="BX408" i="28"/>
  <c r="BX198" i="28"/>
  <c r="BX199" i="28"/>
  <c r="BX201" i="28"/>
  <c r="BX202" i="28"/>
  <c r="BX293" i="28"/>
  <c r="BX396" i="28"/>
  <c r="BX292" i="28"/>
  <c r="BX16" i="28"/>
  <c r="BX21" i="28"/>
  <c r="BX17" i="28"/>
  <c r="BX416" i="28"/>
  <c r="BX419" i="28"/>
  <c r="BX420" i="28"/>
  <c r="BX192" i="28"/>
  <c r="BX273" i="28"/>
  <c r="BX195" i="28"/>
  <c r="BX196" i="28"/>
  <c r="BX112" i="28"/>
  <c r="BX104" i="28"/>
  <c r="BX102" i="28"/>
  <c r="BX117" i="28"/>
  <c r="BX279" i="28"/>
  <c r="BX265" i="28"/>
  <c r="BX23" i="28"/>
  <c r="BX24" i="28"/>
  <c r="BX25" i="28"/>
  <c r="BX26" i="28"/>
  <c r="BX27" i="28"/>
  <c r="BX28" i="28"/>
  <c r="BX29" i="28"/>
  <c r="BX30" i="28"/>
  <c r="BX31" i="28"/>
  <c r="BX32" i="28"/>
  <c r="BX501" i="28"/>
  <c r="BX500" i="28"/>
  <c r="BX400" i="28"/>
  <c r="BX84" i="28"/>
  <c r="BX65" i="28"/>
  <c r="BX99" i="28"/>
  <c r="BX387" i="28"/>
  <c r="BX86" i="28"/>
  <c r="BX95" i="28"/>
  <c r="BX389" i="28"/>
  <c r="BX399" i="28"/>
  <c r="BX113" i="28"/>
  <c r="BX134" i="28"/>
  <c r="BX445" i="28"/>
  <c r="BX326" i="28"/>
  <c r="BX327" i="28"/>
  <c r="BX328" i="28"/>
  <c r="BX230" i="28"/>
  <c r="BX38" i="28"/>
  <c r="BX6" i="28"/>
  <c r="BX7" i="28"/>
  <c r="BX4" i="28"/>
  <c r="BX373" i="28"/>
  <c r="BX236" i="28"/>
  <c r="BX409" i="28"/>
  <c r="BX250" i="28"/>
  <c r="BX82" i="28"/>
  <c r="BX422" i="28"/>
  <c r="BX425" i="28"/>
  <c r="BX54" i="28"/>
  <c r="BX296" i="28"/>
  <c r="BX295" i="28"/>
  <c r="BX299" i="28"/>
  <c r="BX294" i="28"/>
  <c r="BX337" i="28"/>
  <c r="BX410" i="28"/>
  <c r="BX251" i="28"/>
  <c r="BX252" i="28"/>
  <c r="BX432" i="28"/>
  <c r="BX308" i="28"/>
  <c r="BX384" i="28"/>
  <c r="BX385" i="28"/>
  <c r="BX386" i="28"/>
  <c r="BX379" i="28"/>
  <c r="BX90" i="28"/>
  <c r="BX222" i="28"/>
  <c r="BX322" i="28"/>
  <c r="BX315" i="28"/>
  <c r="BX221" i="28"/>
  <c r="BX314" i="28"/>
  <c r="BX183" i="28"/>
  <c r="BX434" i="28"/>
  <c r="BX329" i="28"/>
  <c r="BX332" i="28"/>
  <c r="BX426" i="28"/>
  <c r="BX418" i="28"/>
  <c r="BX374" i="28"/>
  <c r="BX336" i="28"/>
  <c r="BX120" i="28"/>
  <c r="BX170" i="28"/>
  <c r="BX177" i="28"/>
  <c r="BX172" i="28"/>
  <c r="BX173" i="28"/>
  <c r="BX174" i="28"/>
  <c r="BX171" i="28"/>
  <c r="BX175" i="28"/>
  <c r="BX176" i="28"/>
  <c r="BX122" i="28"/>
  <c r="BX121" i="28"/>
  <c r="BX123" i="28"/>
  <c r="BX344" i="28"/>
  <c r="BX345" i="28"/>
  <c r="BX346" i="28"/>
  <c r="BX191" i="28"/>
  <c r="BX47" i="28"/>
  <c r="BX53" i="28"/>
  <c r="BX49" i="28"/>
  <c r="BX50" i="28"/>
  <c r="BX446" i="28"/>
  <c r="BX239" i="28"/>
  <c r="BX412" i="28"/>
  <c r="BX438" i="28"/>
  <c r="BX437" i="28"/>
  <c r="BX228" i="28"/>
  <c r="BX220" i="28"/>
  <c r="BX407" i="28"/>
  <c r="BX169" i="28"/>
  <c r="BX320" i="28"/>
  <c r="BX266" i="28"/>
  <c r="BX264" i="28"/>
  <c r="BX278" i="28"/>
  <c r="BX325" i="28"/>
  <c r="BX216" i="28"/>
  <c r="BX203" i="28"/>
  <c r="BX205" i="28"/>
  <c r="BX204" i="28"/>
  <c r="BX111" i="28"/>
  <c r="BX319" i="28"/>
  <c r="BX85" i="28"/>
  <c r="BX411" i="28"/>
  <c r="BX448" i="28"/>
  <c r="BX13" i="28"/>
  <c r="BX464" i="28"/>
  <c r="BX463" i="28"/>
  <c r="BX15" i="28"/>
  <c r="BX435" i="28"/>
  <c r="BX436" i="28"/>
  <c r="BX427" i="28"/>
  <c r="BX405" i="28"/>
  <c r="BX283" i="28"/>
  <c r="BX284" i="28"/>
  <c r="BX394" i="28"/>
  <c r="BX487" i="28"/>
  <c r="BX489" i="28"/>
  <c r="BX486" i="28"/>
  <c r="BX488" i="28"/>
  <c r="BX109" i="28"/>
  <c r="BX110" i="28"/>
  <c r="BX116" i="28"/>
  <c r="BX119" i="28"/>
  <c r="BX115" i="28"/>
  <c r="BX154" i="28"/>
  <c r="BX156" i="28"/>
  <c r="BX56" i="28"/>
  <c r="BX297" i="28"/>
  <c r="BX298" i="28"/>
  <c r="BX150" i="28"/>
  <c r="BX323" i="28"/>
  <c r="BX477" i="28"/>
  <c r="BX476" i="28"/>
  <c r="BX241" i="28"/>
  <c r="BX357" i="28"/>
  <c r="BX358" i="28"/>
  <c r="BX63" i="28"/>
  <c r="BX62" i="28"/>
  <c r="BX335" i="28"/>
  <c r="BX149" i="28"/>
  <c r="BX163" i="28"/>
  <c r="BX164" i="28"/>
  <c r="BX165" i="28"/>
  <c r="BX232" i="28"/>
  <c r="BX231" i="28"/>
  <c r="BX316" i="28"/>
  <c r="BX313" i="28"/>
  <c r="BX256" i="28"/>
  <c r="BX155" i="28"/>
  <c r="BX312" i="28"/>
  <c r="BX330" i="28"/>
  <c r="BX333" i="28"/>
  <c r="BX253" i="28"/>
  <c r="BX254" i="28"/>
  <c r="BX233" i="28"/>
  <c r="BX285" i="28"/>
  <c r="BX286" i="28"/>
  <c r="BX281" i="28"/>
  <c r="BX282" i="28"/>
  <c r="BX280" i="28"/>
  <c r="BX376" i="28"/>
  <c r="BX302" i="28"/>
  <c r="BX300" i="28"/>
  <c r="BX502" i="28"/>
  <c r="BX503" i="28"/>
  <c r="BX429" i="28"/>
  <c r="BX158" i="28"/>
  <c r="BX215" i="28"/>
  <c r="BX66" i="28"/>
  <c r="BX64" i="28"/>
  <c r="BX237" i="28"/>
  <c r="BX157" i="28"/>
  <c r="BX161" i="28"/>
  <c r="BX22" i="28"/>
  <c r="BX59" i="28"/>
  <c r="BX60" i="28"/>
  <c r="BX223" i="28"/>
  <c r="BX404" i="28"/>
  <c r="BX128" i="28"/>
  <c r="BX274" i="28"/>
  <c r="BX58" i="28"/>
  <c r="BX114" i="28"/>
  <c r="BX348" i="28"/>
  <c r="BX349" i="28"/>
  <c r="BX189" i="28"/>
  <c r="BX98" i="28"/>
  <c r="BX153" i="28"/>
  <c r="BX440" i="28"/>
  <c r="BX8" i="28"/>
  <c r="BX9" i="28"/>
  <c r="BX5" i="28"/>
  <c r="BX152" i="28"/>
  <c r="BX129" i="28"/>
  <c r="BX130" i="28"/>
  <c r="BX131" i="28"/>
  <c r="BX132" i="28"/>
  <c r="BX289" i="28"/>
  <c r="BX291" i="28"/>
  <c r="BX290" i="28"/>
  <c r="BX318" i="28"/>
  <c r="BX288" i="28"/>
  <c r="BX10" i="28"/>
  <c r="BX303" i="28"/>
  <c r="BX311" i="28"/>
  <c r="BX462" i="28"/>
  <c r="BX339" i="28"/>
  <c r="BX340" i="28"/>
  <c r="BX341" i="28"/>
  <c r="BX342" i="28"/>
  <c r="BX343" i="28"/>
  <c r="BX485" i="28"/>
  <c r="BX347" i="28"/>
  <c r="BX481" i="28"/>
  <c r="BX482" i="28"/>
  <c r="BX180" i="28"/>
  <c r="BX271" i="28"/>
  <c r="BX11" i="28"/>
  <c r="BX12" i="28"/>
  <c r="BX492" i="28"/>
  <c r="BX493" i="28"/>
  <c r="BX226" i="28"/>
  <c r="BX81" i="28"/>
  <c r="BX20" i="28"/>
  <c r="BX184" i="28"/>
  <c r="BX272" i="28"/>
  <c r="BX494" i="28"/>
  <c r="BX495" i="28"/>
  <c r="BX351" i="28"/>
  <c r="BX354" i="28"/>
  <c r="BX472" i="28"/>
  <c r="BX447" i="28"/>
  <c r="BX392" i="28"/>
  <c r="BX479" i="28"/>
  <c r="BX483" i="28"/>
  <c r="BX471" i="28"/>
  <c r="BX402" i="28"/>
  <c r="BX393" i="28"/>
  <c r="BX480" i="28"/>
  <c r="BX484" i="28"/>
  <c r="BX452" i="28"/>
  <c r="BX459" i="28"/>
  <c r="BX460" i="28"/>
  <c r="BX144" i="28"/>
  <c r="BX145" i="28"/>
  <c r="BX146" i="28"/>
  <c r="BX147" i="28"/>
  <c r="BX148" i="28"/>
  <c r="BX141" i="28"/>
  <c r="BX124" i="28"/>
  <c r="BX125" i="28"/>
  <c r="BX126" i="28"/>
  <c r="BX127" i="28"/>
  <c r="BX496" i="28"/>
  <c r="BX497" i="28"/>
  <c r="BX225" i="28"/>
  <c r="BX219" i="28"/>
  <c r="BX350" i="28"/>
  <c r="BX455" i="28"/>
  <c r="BX454" i="28"/>
  <c r="BX453" i="28"/>
  <c r="BX317" i="28"/>
  <c r="BX262" i="28"/>
  <c r="BX263" i="28"/>
  <c r="BX167" i="28"/>
  <c r="BX338" i="28"/>
  <c r="BX443" i="28"/>
  <c r="BX442" i="28"/>
  <c r="BX48" i="28"/>
  <c r="BX403" i="28"/>
  <c r="BX89" i="28"/>
  <c r="BX381" i="28"/>
  <c r="BX383" i="28"/>
  <c r="BX92" i="28"/>
  <c r="BX87" i="28"/>
  <c r="BX118" i="28"/>
  <c r="BX321" i="28"/>
  <c r="BX211" i="28"/>
  <c r="BX212" i="28"/>
  <c r="BX103" i="28"/>
  <c r="BX304" i="28"/>
  <c r="BX94" i="28"/>
  <c r="BX96" i="28"/>
  <c r="BX380" i="28"/>
  <c r="BX398" i="28"/>
  <c r="BX91" i="28"/>
  <c r="BX397" i="28"/>
  <c r="BX88" i="28"/>
  <c r="BX421" i="28"/>
  <c r="BX240" i="28"/>
  <c r="BX55" i="28"/>
  <c r="BX372" i="28"/>
  <c r="BX57" i="28"/>
  <c r="BX309" i="28"/>
  <c r="BX217" i="28"/>
  <c r="BX208" i="28"/>
  <c r="BX377" i="28"/>
  <c r="BX423" i="28"/>
  <c r="BX424" i="28"/>
  <c r="BX234" i="28"/>
  <c r="BX378" i="28"/>
  <c r="BX106" i="28"/>
  <c r="BX108" i="28"/>
  <c r="BX105" i="28"/>
  <c r="BX107" i="28"/>
  <c r="BX433" i="28"/>
  <c r="BX247" i="28"/>
  <c r="BX430" i="28"/>
  <c r="BX431" i="28"/>
  <c r="BX41" i="28"/>
  <c r="BX42" i="28"/>
  <c r="BX185" i="28"/>
  <c r="BX270" i="28"/>
  <c r="BX310" i="28"/>
  <c r="BX301" i="28"/>
  <c r="BX242" i="28"/>
  <c r="BX243" i="28"/>
  <c r="BX245" i="28"/>
  <c r="BX227" i="28"/>
  <c r="BX33" i="28"/>
  <c r="BX34" i="28"/>
  <c r="BX35" i="28"/>
  <c r="BX36" i="28"/>
  <c r="BX143" i="28"/>
  <c r="BX97" i="28"/>
  <c r="BX451" i="28"/>
  <c r="BX450" i="28"/>
  <c r="BX449" i="28"/>
  <c r="BX200" i="28"/>
  <c r="BX197" i="28"/>
  <c r="BX162" i="28"/>
  <c r="BX413" i="28"/>
  <c r="BX334" i="28"/>
  <c r="BX414" i="28"/>
  <c r="BX51" i="28"/>
  <c r="BX166" i="28"/>
  <c r="BX491" i="28"/>
  <c r="BX69" i="28"/>
  <c r="BX68" i="28"/>
  <c r="BX67" i="28"/>
  <c r="BX210" i="28"/>
  <c r="BX395" i="28"/>
  <c r="BX133" i="28"/>
  <c r="BX137" i="28"/>
  <c r="BX135" i="28"/>
  <c r="BX136" i="28"/>
  <c r="BX406" i="28"/>
  <c r="BX213" i="28"/>
  <c r="BX52" i="28"/>
  <c r="BX61" i="28"/>
  <c r="BX138" i="28"/>
  <c r="BX139" i="28"/>
  <c r="BX140" i="28"/>
  <c r="BX206" i="28"/>
  <c r="BX207" i="28"/>
  <c r="BX159" i="28"/>
  <c r="BX160" i="28"/>
  <c r="BX181" i="28"/>
  <c r="BX331" i="28"/>
  <c r="BX268" i="28"/>
  <c r="BX457" i="28"/>
  <c r="BX456" i="28"/>
  <c r="BX287" i="28"/>
  <c r="BX229" i="28"/>
  <c r="BX353" i="28"/>
  <c r="BX352" i="28"/>
  <c r="BX45" i="28"/>
  <c r="BX359" i="28"/>
  <c r="BX360" i="28"/>
  <c r="BX361" i="28"/>
  <c r="BX362" i="28"/>
  <c r="BX363" i="28"/>
  <c r="BX364" i="28"/>
  <c r="BX365" i="28"/>
  <c r="BX366" i="28"/>
  <c r="BX367" i="28"/>
  <c r="BX368" i="28"/>
  <c r="BX369" i="28"/>
  <c r="BX370" i="28"/>
  <c r="BX371" i="28"/>
  <c r="BX417" i="28"/>
  <c r="BX382" i="28"/>
  <c r="BX473" i="28"/>
  <c r="BX238" i="28"/>
  <c r="BX244" i="28"/>
  <c r="BX375" i="28"/>
  <c r="BX246" i="28"/>
  <c r="BX93" i="28"/>
  <c r="BX18" i="28"/>
  <c r="BX142" i="28"/>
  <c r="BX188" i="28"/>
  <c r="BX186" i="28"/>
  <c r="BX355" i="28"/>
  <c r="J377" i="28"/>
  <c r="J253" i="28"/>
  <c r="J254" i="28"/>
  <c r="J233" i="28"/>
  <c r="J285" i="28"/>
  <c r="J286" i="28"/>
  <c r="J281" i="28"/>
  <c r="J282" i="28"/>
  <c r="J280" i="28"/>
  <c r="J376" i="28"/>
  <c r="J359" i="28"/>
  <c r="J360" i="28"/>
  <c r="J361" i="28"/>
  <c r="J362" i="28"/>
  <c r="J363" i="28"/>
  <c r="J364" i="28"/>
  <c r="J365" i="28"/>
  <c r="J366" i="28"/>
  <c r="J367" i="28"/>
  <c r="J368" i="28"/>
  <c r="J369" i="28"/>
  <c r="J370" i="28"/>
  <c r="J371" i="28"/>
  <c r="J234" i="28"/>
  <c r="J473" i="28"/>
  <c r="J502" i="28"/>
  <c r="J503" i="28"/>
  <c r="J429" i="28"/>
  <c r="J417" i="28"/>
  <c r="J375" i="28"/>
  <c r="J237" i="28"/>
  <c r="J353" i="28"/>
  <c r="J352" i="28"/>
  <c r="J223" i="28"/>
  <c r="J138" i="28"/>
  <c r="J139" i="28"/>
  <c r="J140" i="28"/>
  <c r="J208" i="28"/>
  <c r="J22" i="28"/>
  <c r="J59" i="28"/>
  <c r="J60" i="28"/>
  <c r="J404" i="28"/>
  <c r="J128" i="28"/>
  <c r="J274" i="28"/>
  <c r="J449" i="28"/>
  <c r="J451" i="28"/>
  <c r="J450" i="28"/>
  <c r="J58" i="28"/>
  <c r="J114" i="28"/>
  <c r="J18" i="28"/>
  <c r="J348" i="28"/>
  <c r="J349" i="28"/>
  <c r="J133" i="28"/>
  <c r="J189" i="28"/>
  <c r="J98" i="28"/>
  <c r="J406" i="28"/>
  <c r="J287" i="28"/>
  <c r="J103" i="28"/>
  <c r="J304" i="28"/>
  <c r="J94" i="28"/>
  <c r="J96" i="28"/>
  <c r="J380" i="28"/>
  <c r="J398" i="28"/>
  <c r="J91" i="28"/>
  <c r="J397" i="28"/>
  <c r="J88" i="28"/>
  <c r="J33" i="28"/>
  <c r="J34" i="28"/>
  <c r="J35" i="28"/>
  <c r="J36" i="28"/>
  <c r="J461" i="28"/>
  <c r="J305" i="28"/>
  <c r="J306" i="28"/>
  <c r="J474" i="28"/>
  <c r="J390" i="28"/>
  <c r="J391" i="28"/>
  <c r="J458" i="28"/>
  <c r="J466" i="28"/>
  <c r="J465" i="28"/>
  <c r="J80" i="28"/>
  <c r="J468" i="28"/>
  <c r="J39" i="28"/>
  <c r="J40" i="28"/>
  <c r="J70" i="28"/>
  <c r="J71" i="28"/>
  <c r="J72" i="28"/>
  <c r="J73" i="28"/>
  <c r="J74" i="28"/>
  <c r="J194" i="28"/>
  <c r="J490" i="28"/>
  <c r="J467" i="28"/>
  <c r="J37" i="28"/>
  <c r="J307" i="28"/>
  <c r="J77" i="28"/>
  <c r="J19" i="28"/>
  <c r="J46" i="28"/>
  <c r="J75" i="28"/>
  <c r="J76" i="28"/>
  <c r="J401" i="28"/>
  <c r="J475" i="28"/>
  <c r="J478" i="28"/>
  <c r="J260" i="28"/>
  <c r="J193" i="28"/>
  <c r="J498" i="28"/>
  <c r="J499" i="28"/>
  <c r="J470" i="28"/>
  <c r="J469" i="28"/>
  <c r="J43" i="28"/>
  <c r="J44" i="28"/>
  <c r="J257" i="28"/>
  <c r="J259" i="28"/>
  <c r="J261" i="28"/>
  <c r="J258" i="28"/>
  <c r="J14" i="28"/>
  <c r="J439" i="28"/>
  <c r="J78" i="28"/>
  <c r="J79" i="28"/>
  <c r="J441" i="28"/>
  <c r="J83" i="28"/>
  <c r="T401" i="28"/>
  <c r="T402" i="28"/>
  <c r="T403" i="28"/>
  <c r="T404" i="28"/>
  <c r="T405" i="28"/>
  <c r="T406" i="28"/>
  <c r="T407" i="28"/>
  <c r="T408" i="28"/>
  <c r="T409" i="28"/>
  <c r="T410" i="28"/>
  <c r="T411" i="28"/>
  <c r="T412" i="28"/>
  <c r="T413" i="28"/>
  <c r="T414" i="28"/>
  <c r="T415" i="28"/>
  <c r="T416" i="28"/>
  <c r="T417" i="28"/>
  <c r="T418" i="28"/>
  <c r="T419" i="28"/>
  <c r="T420" i="28"/>
  <c r="T421" i="28"/>
  <c r="T422" i="28"/>
  <c r="T423" i="28"/>
  <c r="T424" i="28"/>
  <c r="T425" i="28"/>
  <c r="T426" i="28"/>
  <c r="T427" i="28"/>
  <c r="T428" i="28"/>
  <c r="T429" i="28"/>
  <c r="T430" i="28"/>
  <c r="T431" i="28"/>
  <c r="T432" i="28"/>
  <c r="T433" i="28"/>
  <c r="T434" i="28"/>
  <c r="T435" i="28"/>
  <c r="T436" i="28"/>
  <c r="T437" i="28"/>
  <c r="T438" i="28"/>
  <c r="T439" i="28"/>
  <c r="T440" i="28"/>
  <c r="T441" i="28"/>
  <c r="T442" i="28"/>
  <c r="T443" i="28"/>
  <c r="T444" i="28"/>
  <c r="T445" i="28"/>
  <c r="T446" i="28"/>
  <c r="T447" i="28"/>
  <c r="T448" i="28"/>
  <c r="T449" i="28"/>
  <c r="T450" i="28"/>
  <c r="T451" i="28"/>
  <c r="T452" i="28"/>
  <c r="T453" i="28"/>
  <c r="T454" i="28"/>
  <c r="T455" i="28"/>
  <c r="T456" i="28"/>
  <c r="T457" i="28"/>
  <c r="T458" i="28"/>
  <c r="T459" i="28"/>
  <c r="T460" i="28"/>
  <c r="T461" i="28"/>
  <c r="T462" i="28"/>
  <c r="T463" i="28"/>
  <c r="T464" i="28"/>
  <c r="T465" i="28"/>
  <c r="T466" i="28"/>
  <c r="T467" i="28"/>
  <c r="T468" i="28"/>
  <c r="T469" i="28"/>
  <c r="T470" i="28"/>
  <c r="T471" i="28"/>
  <c r="T472" i="28"/>
  <c r="T473" i="28"/>
  <c r="T474" i="28"/>
  <c r="T475" i="28"/>
  <c r="T476" i="28"/>
  <c r="T477" i="28"/>
  <c r="T478" i="28"/>
  <c r="T479" i="28"/>
  <c r="T480" i="28"/>
  <c r="T481" i="28"/>
  <c r="T482" i="28"/>
  <c r="T483" i="28"/>
  <c r="T484" i="28"/>
  <c r="T485" i="28"/>
  <c r="T486" i="28"/>
  <c r="T487" i="28"/>
  <c r="T488" i="28"/>
  <c r="T489" i="28"/>
  <c r="T490" i="28"/>
  <c r="T491" i="28"/>
  <c r="T492" i="28"/>
  <c r="T493" i="28"/>
  <c r="T494" i="28"/>
  <c r="T495" i="28"/>
  <c r="T496" i="28"/>
  <c r="T497" i="28"/>
  <c r="T498" i="28"/>
  <c r="T499" i="28"/>
  <c r="T500" i="28"/>
  <c r="T501" i="28"/>
  <c r="T502" i="28"/>
  <c r="T503" i="28"/>
  <c r="T4" i="28"/>
  <c r="T5" i="28"/>
  <c r="T6" i="28"/>
  <c r="T7" i="28"/>
  <c r="T8" i="28"/>
  <c r="T9" i="28"/>
  <c r="T10" i="28"/>
  <c r="T11" i="28"/>
  <c r="T12" i="28"/>
  <c r="T13" i="28"/>
  <c r="T14" i="28"/>
  <c r="T15" i="28"/>
  <c r="T16" i="28"/>
  <c r="T17" i="28"/>
  <c r="T18" i="28"/>
  <c r="T19" i="28"/>
  <c r="T20" i="28"/>
  <c r="T21" i="28"/>
  <c r="T22" i="28"/>
  <c r="T23" i="28"/>
  <c r="T24" i="28"/>
  <c r="T25" i="28"/>
  <c r="T26" i="28"/>
  <c r="T27" i="28"/>
  <c r="T28" i="28"/>
  <c r="T29" i="28"/>
  <c r="T30" i="28"/>
  <c r="T31" i="28"/>
  <c r="T32" i="28"/>
  <c r="T33" i="28"/>
  <c r="T34" i="28"/>
  <c r="T35" i="28"/>
  <c r="T36" i="28"/>
  <c r="T37" i="28"/>
  <c r="T38" i="28"/>
  <c r="T39" i="28"/>
  <c r="T40" i="28"/>
  <c r="T41" i="28"/>
  <c r="T42" i="28"/>
  <c r="T43" i="28"/>
  <c r="T44" i="28"/>
  <c r="T45" i="28"/>
  <c r="T46" i="28"/>
  <c r="T47" i="28"/>
  <c r="T48" i="28"/>
  <c r="T49" i="28"/>
  <c r="T50" i="28"/>
  <c r="T51" i="28"/>
  <c r="T52" i="28"/>
  <c r="T53" i="28"/>
  <c r="T54" i="28"/>
  <c r="T55" i="28"/>
  <c r="T56" i="28"/>
  <c r="T57" i="28"/>
  <c r="T58" i="28"/>
  <c r="T59" i="28"/>
  <c r="T60" i="28"/>
  <c r="T61" i="28"/>
  <c r="T62" i="28"/>
  <c r="T63" i="28"/>
  <c r="T64" i="28"/>
  <c r="T65" i="28"/>
  <c r="T66" i="28"/>
  <c r="T67" i="28"/>
  <c r="T68" i="28"/>
  <c r="T69" i="28"/>
  <c r="T70" i="28"/>
  <c r="T71" i="28"/>
  <c r="T72" i="28"/>
  <c r="T73" i="28"/>
  <c r="T74" i="28"/>
  <c r="T75" i="28"/>
  <c r="T76" i="28"/>
  <c r="T77" i="28"/>
  <c r="T78" i="28"/>
  <c r="T79" i="28"/>
  <c r="T80" i="28"/>
  <c r="T81" i="28"/>
  <c r="T82" i="28"/>
  <c r="T83" i="28"/>
  <c r="T84" i="28"/>
  <c r="T85" i="28"/>
  <c r="T86" i="28"/>
  <c r="T87" i="28"/>
  <c r="T88" i="28"/>
  <c r="T89" i="28"/>
  <c r="T90" i="28"/>
  <c r="T91" i="28"/>
  <c r="T92" i="28"/>
  <c r="T93" i="28"/>
  <c r="T94" i="28"/>
  <c r="T95" i="28"/>
  <c r="T96" i="28"/>
  <c r="T97" i="28"/>
  <c r="T98" i="28"/>
  <c r="T99" i="28"/>
  <c r="T100" i="28"/>
  <c r="T101" i="28"/>
  <c r="T102" i="28"/>
  <c r="T103" i="28"/>
  <c r="T104" i="28"/>
  <c r="T105" i="28"/>
  <c r="T106" i="28"/>
  <c r="T107" i="28"/>
  <c r="T108" i="28"/>
  <c r="T109" i="28"/>
  <c r="T110" i="28"/>
  <c r="T111" i="28"/>
  <c r="T112" i="28"/>
  <c r="T113" i="28"/>
  <c r="T114" i="28"/>
  <c r="T115" i="28"/>
  <c r="T116" i="28"/>
  <c r="T117" i="28"/>
  <c r="T118" i="28"/>
  <c r="T119" i="28"/>
  <c r="T120" i="28"/>
  <c r="T121" i="28"/>
  <c r="T122" i="28"/>
  <c r="T123" i="28"/>
  <c r="T124" i="28"/>
  <c r="T125" i="28"/>
  <c r="T126" i="28"/>
  <c r="T127" i="28"/>
  <c r="T128" i="28"/>
  <c r="T129" i="28"/>
  <c r="T130" i="28"/>
  <c r="T131" i="28"/>
  <c r="T132" i="28"/>
  <c r="T133" i="28"/>
  <c r="T134" i="28"/>
  <c r="T135" i="28"/>
  <c r="T136" i="28"/>
  <c r="T137" i="28"/>
  <c r="T138" i="28"/>
  <c r="T139" i="28"/>
  <c r="T140" i="28"/>
  <c r="T141" i="28"/>
  <c r="T142" i="28"/>
  <c r="T143" i="28"/>
  <c r="T144" i="28"/>
  <c r="T145" i="28"/>
  <c r="T146" i="28"/>
  <c r="T147" i="28"/>
  <c r="T148" i="28"/>
  <c r="T149" i="28"/>
  <c r="T150" i="28"/>
  <c r="T151" i="28"/>
  <c r="T152" i="28"/>
  <c r="T153" i="28"/>
  <c r="T154" i="28"/>
  <c r="T155" i="28"/>
  <c r="T156" i="28"/>
  <c r="T157" i="28"/>
  <c r="T158" i="28"/>
  <c r="T159" i="28"/>
  <c r="T160" i="28"/>
  <c r="T161" i="28"/>
  <c r="T162" i="28"/>
  <c r="T163" i="28"/>
  <c r="T164" i="28"/>
  <c r="T165" i="28"/>
  <c r="T166" i="28"/>
  <c r="T167" i="28"/>
  <c r="T168" i="28"/>
  <c r="T169" i="28"/>
  <c r="T170" i="28"/>
  <c r="T171" i="28"/>
  <c r="T172" i="28"/>
  <c r="T173" i="28"/>
  <c r="T174" i="28"/>
  <c r="T175" i="28"/>
  <c r="T176" i="28"/>
  <c r="T177" i="28"/>
  <c r="T178" i="28"/>
  <c r="T179" i="28"/>
  <c r="T180" i="28"/>
  <c r="T181" i="28"/>
  <c r="T182" i="28"/>
  <c r="T183" i="28"/>
  <c r="T184" i="28"/>
  <c r="T185" i="28"/>
  <c r="T186" i="28"/>
  <c r="T187" i="28"/>
  <c r="T188" i="28"/>
  <c r="T189" i="28"/>
  <c r="T190" i="28"/>
  <c r="T191" i="28"/>
  <c r="T192" i="28"/>
  <c r="T193" i="28"/>
  <c r="T194" i="28"/>
  <c r="T195" i="28"/>
  <c r="T196" i="28"/>
  <c r="T197" i="28"/>
  <c r="T198" i="28"/>
  <c r="T199" i="28"/>
  <c r="T200" i="28"/>
  <c r="T201" i="28"/>
  <c r="T202" i="28"/>
  <c r="T203" i="28"/>
  <c r="T204" i="28"/>
  <c r="T205" i="28"/>
  <c r="T206" i="28"/>
  <c r="T207" i="28"/>
  <c r="T208" i="28"/>
  <c r="T209" i="28"/>
  <c r="T210" i="28"/>
  <c r="T211" i="28"/>
  <c r="T212" i="28"/>
  <c r="T213" i="28"/>
  <c r="T214" i="28"/>
  <c r="T215" i="28"/>
  <c r="T216" i="28"/>
  <c r="T217" i="28"/>
  <c r="T218" i="28"/>
  <c r="T219" i="28"/>
  <c r="T220" i="28"/>
  <c r="T221" i="28"/>
  <c r="T222" i="28"/>
  <c r="T223" i="28"/>
  <c r="T224" i="28"/>
  <c r="T225" i="28"/>
  <c r="T226" i="28"/>
  <c r="T227" i="28"/>
  <c r="T228" i="28"/>
  <c r="T229" i="28"/>
  <c r="T230" i="28"/>
  <c r="T231" i="28"/>
  <c r="T232" i="28"/>
  <c r="T233" i="28"/>
  <c r="T234" i="28"/>
  <c r="T235" i="28"/>
  <c r="T236" i="28"/>
  <c r="T237" i="28"/>
  <c r="T238" i="28"/>
  <c r="T239" i="28"/>
  <c r="T240" i="28"/>
  <c r="T241" i="28"/>
  <c r="T242" i="28"/>
  <c r="T243" i="28"/>
  <c r="T244" i="28"/>
  <c r="T245" i="28"/>
  <c r="T246" i="28"/>
  <c r="T247" i="28"/>
  <c r="T248" i="28"/>
  <c r="T249" i="28"/>
  <c r="T250" i="28"/>
  <c r="T251" i="28"/>
  <c r="T252" i="28"/>
  <c r="T253" i="28"/>
  <c r="T254" i="28"/>
  <c r="T255" i="28"/>
  <c r="T256" i="28"/>
  <c r="T257" i="28"/>
  <c r="T258" i="28"/>
  <c r="T259" i="28"/>
  <c r="T260" i="28"/>
  <c r="T261" i="28"/>
  <c r="T262" i="28"/>
  <c r="T263" i="28"/>
  <c r="T264" i="28"/>
  <c r="T265" i="28"/>
  <c r="T266" i="28"/>
  <c r="T267" i="28"/>
  <c r="T268" i="28"/>
  <c r="T269" i="28"/>
  <c r="T270" i="28"/>
  <c r="T271" i="28"/>
  <c r="T272" i="28"/>
  <c r="T273" i="28"/>
  <c r="T274" i="28"/>
  <c r="T275" i="28"/>
  <c r="T276" i="28"/>
  <c r="T277" i="28"/>
  <c r="T278" i="28"/>
  <c r="T279" i="28"/>
  <c r="T280" i="28"/>
  <c r="T281" i="28"/>
  <c r="T282" i="28"/>
  <c r="T283" i="28"/>
  <c r="T284" i="28"/>
  <c r="T285" i="28"/>
  <c r="T286" i="28"/>
  <c r="T287" i="28"/>
  <c r="T288" i="28"/>
  <c r="T289" i="28"/>
  <c r="T290" i="28"/>
  <c r="T291" i="28"/>
  <c r="T292" i="28"/>
  <c r="T293" i="28"/>
  <c r="T294" i="28"/>
  <c r="T295" i="28"/>
  <c r="T296" i="28"/>
  <c r="T297" i="28"/>
  <c r="T298" i="28"/>
  <c r="T299" i="28"/>
  <c r="T300" i="28"/>
  <c r="T301" i="28"/>
  <c r="T302" i="28"/>
  <c r="T303" i="28"/>
  <c r="T304" i="28"/>
  <c r="T305" i="28"/>
  <c r="T306" i="28"/>
  <c r="T307" i="28"/>
  <c r="T308" i="28"/>
  <c r="T309" i="28"/>
  <c r="T310" i="28"/>
  <c r="T311" i="28"/>
  <c r="T312" i="28"/>
  <c r="T313" i="28"/>
  <c r="T314" i="28"/>
  <c r="T315" i="28"/>
  <c r="T316" i="28"/>
  <c r="T317" i="28"/>
  <c r="T318" i="28"/>
  <c r="T319" i="28"/>
  <c r="T320" i="28"/>
  <c r="T321" i="28"/>
  <c r="T322" i="28"/>
  <c r="T323" i="28"/>
  <c r="T324" i="28"/>
  <c r="T325" i="28"/>
  <c r="T326" i="28"/>
  <c r="T327" i="28"/>
  <c r="T328" i="28"/>
  <c r="T329" i="28"/>
  <c r="T330" i="28"/>
  <c r="T331" i="28"/>
  <c r="T332" i="28"/>
  <c r="T333" i="28"/>
  <c r="T334" i="28"/>
  <c r="T335" i="28"/>
  <c r="T336" i="28"/>
  <c r="T337" i="28"/>
  <c r="T338" i="28"/>
  <c r="T339" i="28"/>
  <c r="T340" i="28"/>
  <c r="T341" i="28"/>
  <c r="T342" i="28"/>
  <c r="T343" i="28"/>
  <c r="T344" i="28"/>
  <c r="T345" i="28"/>
  <c r="T346" i="28"/>
  <c r="T347" i="28"/>
  <c r="T348" i="28"/>
  <c r="T349" i="28"/>
  <c r="T350" i="28"/>
  <c r="T351" i="28"/>
  <c r="T352" i="28"/>
  <c r="T353" i="28"/>
  <c r="T354" i="28"/>
  <c r="T355" i="28"/>
  <c r="T356" i="28"/>
  <c r="T357" i="28"/>
  <c r="T358" i="28"/>
  <c r="T359" i="28"/>
  <c r="T360" i="28"/>
  <c r="T361" i="28"/>
  <c r="T362" i="28"/>
  <c r="T363" i="28"/>
  <c r="T364" i="28"/>
  <c r="T365" i="28"/>
  <c r="T366" i="28"/>
  <c r="T367" i="28"/>
  <c r="T368" i="28"/>
  <c r="T369" i="28"/>
  <c r="T370" i="28"/>
  <c r="T371" i="28"/>
  <c r="T372" i="28"/>
  <c r="T373" i="28"/>
  <c r="T374" i="28"/>
  <c r="T375" i="28"/>
  <c r="T376" i="28"/>
  <c r="T377" i="28"/>
  <c r="T378" i="28"/>
  <c r="T379" i="28"/>
  <c r="T380" i="28"/>
  <c r="T381" i="28"/>
  <c r="T382" i="28"/>
  <c r="T383" i="28"/>
  <c r="T387" i="28"/>
  <c r="T388" i="28"/>
  <c r="T389" i="28"/>
  <c r="T390" i="28"/>
  <c r="T391" i="28"/>
  <c r="T392" i="28"/>
  <c r="T393" i="28"/>
  <c r="T394" i="28"/>
  <c r="T395" i="28"/>
  <c r="T396" i="28"/>
  <c r="T397" i="28"/>
  <c r="T398" i="28"/>
  <c r="T399" i="28"/>
  <c r="T400" i="28"/>
  <c r="R390" i="28"/>
  <c r="R391" i="28"/>
  <c r="R392" i="28"/>
  <c r="R393" i="28"/>
  <c r="R394" i="28"/>
  <c r="R395" i="28"/>
  <c r="R396" i="28"/>
  <c r="R397" i="28"/>
  <c r="R398" i="28"/>
  <c r="R399" i="28"/>
  <c r="R400" i="28"/>
  <c r="R385" i="28"/>
  <c r="R386" i="28"/>
  <c r="R401" i="28"/>
  <c r="R402" i="28"/>
  <c r="R403" i="28"/>
  <c r="R404" i="28"/>
  <c r="R405" i="28"/>
  <c r="R406" i="28"/>
  <c r="R407" i="28"/>
  <c r="R408" i="28"/>
  <c r="R409" i="28"/>
  <c r="R410" i="28"/>
  <c r="R411" i="28"/>
  <c r="R412" i="28"/>
  <c r="R413" i="28"/>
  <c r="R414" i="28"/>
  <c r="R415" i="28"/>
  <c r="R416" i="28"/>
  <c r="R417" i="28"/>
  <c r="R418" i="28"/>
  <c r="R419" i="28"/>
  <c r="R420" i="28"/>
  <c r="R421" i="28"/>
  <c r="R422" i="28"/>
  <c r="R423" i="28"/>
  <c r="R424" i="28"/>
  <c r="R425" i="28"/>
  <c r="R426" i="28"/>
  <c r="R427" i="28"/>
  <c r="R428" i="28"/>
  <c r="R429" i="28"/>
  <c r="R430" i="28"/>
  <c r="R431" i="28"/>
  <c r="R432" i="28"/>
  <c r="R433" i="28"/>
  <c r="R434" i="28"/>
  <c r="R435" i="28"/>
  <c r="R436" i="28"/>
  <c r="R437" i="28"/>
  <c r="R438" i="28"/>
  <c r="R439" i="28"/>
  <c r="R440" i="28"/>
  <c r="R441" i="28"/>
  <c r="R442" i="28"/>
  <c r="R443" i="28"/>
  <c r="R444" i="28"/>
  <c r="R445" i="28"/>
  <c r="R446" i="28"/>
  <c r="R447" i="28"/>
  <c r="R448" i="28"/>
  <c r="R449" i="28"/>
  <c r="R450" i="28"/>
  <c r="R451" i="28"/>
  <c r="R452" i="28"/>
  <c r="R453" i="28"/>
  <c r="R454" i="28"/>
  <c r="R455" i="28"/>
  <c r="R456" i="28"/>
  <c r="R457" i="28"/>
  <c r="R458" i="28"/>
  <c r="R459" i="28"/>
  <c r="R460" i="28"/>
  <c r="R461" i="28"/>
  <c r="R462" i="28"/>
  <c r="R463" i="28"/>
  <c r="R464" i="28"/>
  <c r="R465" i="28"/>
  <c r="R466" i="28"/>
  <c r="R467" i="28"/>
  <c r="R468" i="28"/>
  <c r="R469" i="28"/>
  <c r="R470" i="28"/>
  <c r="R471" i="28"/>
  <c r="R472" i="28"/>
  <c r="R473" i="28"/>
  <c r="R474" i="28"/>
  <c r="R475" i="28"/>
  <c r="R476" i="28"/>
  <c r="R477" i="28"/>
  <c r="R478" i="28"/>
  <c r="R479" i="28"/>
  <c r="R480" i="28"/>
  <c r="R481" i="28"/>
  <c r="R482" i="28"/>
  <c r="R483" i="28"/>
  <c r="R484" i="28"/>
  <c r="R485" i="28"/>
  <c r="R486" i="28"/>
  <c r="R487" i="28"/>
  <c r="R488" i="28"/>
  <c r="R489" i="28"/>
  <c r="R490" i="28"/>
  <c r="R491" i="28"/>
  <c r="R492" i="28"/>
  <c r="R493" i="28"/>
  <c r="R494" i="28"/>
  <c r="R495" i="28"/>
  <c r="R496" i="28"/>
  <c r="R497" i="28"/>
  <c r="R498" i="28"/>
  <c r="R499" i="28"/>
  <c r="R500" i="28"/>
  <c r="R501" i="28"/>
  <c r="R502" i="28"/>
  <c r="R503" i="28"/>
  <c r="R4" i="28"/>
  <c r="R5" i="28"/>
  <c r="R6" i="28"/>
  <c r="R7" i="28"/>
  <c r="R8" i="28"/>
  <c r="R9" i="28"/>
  <c r="R10" i="28"/>
  <c r="R11" i="28"/>
  <c r="R12" i="28"/>
  <c r="R13" i="28"/>
  <c r="R14" i="28"/>
  <c r="R15" i="28"/>
  <c r="R16" i="28"/>
  <c r="R17" i="28"/>
  <c r="R18" i="28"/>
  <c r="R19" i="28"/>
  <c r="R20" i="28"/>
  <c r="R21" i="28"/>
  <c r="R22" i="28"/>
  <c r="R23" i="28"/>
  <c r="R24" i="28"/>
  <c r="R25" i="28"/>
  <c r="R26" i="28"/>
  <c r="R27" i="28"/>
  <c r="R28" i="28"/>
  <c r="R29" i="28"/>
  <c r="R30" i="28"/>
  <c r="R31" i="28"/>
  <c r="R32" i="28"/>
  <c r="R33" i="28"/>
  <c r="R34" i="28"/>
  <c r="R35" i="28"/>
  <c r="R36" i="28"/>
  <c r="R37" i="28"/>
  <c r="R38" i="28"/>
  <c r="R39" i="28"/>
  <c r="R40" i="28"/>
  <c r="R41" i="28"/>
  <c r="R42" i="28"/>
  <c r="R43" i="28"/>
  <c r="R44" i="28"/>
  <c r="R45" i="28"/>
  <c r="R46" i="28"/>
  <c r="R47" i="28"/>
  <c r="R48" i="28"/>
  <c r="R49" i="28"/>
  <c r="R50" i="28"/>
  <c r="R51" i="28"/>
  <c r="R52" i="28"/>
  <c r="R53" i="28"/>
  <c r="R54" i="28"/>
  <c r="R55" i="28"/>
  <c r="R56" i="28"/>
  <c r="R57" i="28"/>
  <c r="R58" i="28"/>
  <c r="R59" i="28"/>
  <c r="R60" i="28"/>
  <c r="R61" i="28"/>
  <c r="R62" i="28"/>
  <c r="R63" i="28"/>
  <c r="R64" i="28"/>
  <c r="R65" i="28"/>
  <c r="R66" i="28"/>
  <c r="R67" i="28"/>
  <c r="R68" i="28"/>
  <c r="R69" i="28"/>
  <c r="R70" i="28"/>
  <c r="R71" i="28"/>
  <c r="R72" i="28"/>
  <c r="R73" i="28"/>
  <c r="R74" i="28"/>
  <c r="R75" i="28"/>
  <c r="R76" i="28"/>
  <c r="R77" i="28"/>
  <c r="R78" i="28"/>
  <c r="R79" i="28"/>
  <c r="R80" i="28"/>
  <c r="R81" i="28"/>
  <c r="R82" i="28"/>
  <c r="R83" i="28"/>
  <c r="R84" i="28"/>
  <c r="R85" i="28"/>
  <c r="R86" i="28"/>
  <c r="R87" i="28"/>
  <c r="R88" i="28"/>
  <c r="R89" i="28"/>
  <c r="R90" i="28"/>
  <c r="R91" i="28"/>
  <c r="R92" i="28"/>
  <c r="R93" i="28"/>
  <c r="R94" i="28"/>
  <c r="R95" i="28"/>
  <c r="R96" i="28"/>
  <c r="R97" i="28"/>
  <c r="R98" i="28"/>
  <c r="R99" i="28"/>
  <c r="R100" i="28"/>
  <c r="R101" i="28"/>
  <c r="R102" i="28"/>
  <c r="R103" i="28"/>
  <c r="R104" i="28"/>
  <c r="R105" i="28"/>
  <c r="R106" i="28"/>
  <c r="R107" i="28"/>
  <c r="R108" i="28"/>
  <c r="R109" i="28"/>
  <c r="R110" i="28"/>
  <c r="R111" i="28"/>
  <c r="R112" i="28"/>
  <c r="R113" i="28"/>
  <c r="R114" i="28"/>
  <c r="R115" i="28"/>
  <c r="R116" i="28"/>
  <c r="R117" i="28"/>
  <c r="R118" i="28"/>
  <c r="R119" i="28"/>
  <c r="R120" i="28"/>
  <c r="R121" i="28"/>
  <c r="R122" i="28"/>
  <c r="R123" i="28"/>
  <c r="R124" i="28"/>
  <c r="R125" i="28"/>
  <c r="R126" i="28"/>
  <c r="R127" i="28"/>
  <c r="R128" i="28"/>
  <c r="R129" i="28"/>
  <c r="R130" i="28"/>
  <c r="R131" i="28"/>
  <c r="R132" i="28"/>
  <c r="R133" i="28"/>
  <c r="R134" i="28"/>
  <c r="R135" i="28"/>
  <c r="R136" i="28"/>
  <c r="R137" i="28"/>
  <c r="R138" i="28"/>
  <c r="R139" i="28"/>
  <c r="R140" i="28"/>
  <c r="R141" i="28"/>
  <c r="R142" i="28"/>
  <c r="R143" i="28"/>
  <c r="R144" i="28"/>
  <c r="R145" i="28"/>
  <c r="R146" i="28"/>
  <c r="R147" i="28"/>
  <c r="R148" i="28"/>
  <c r="R149" i="28"/>
  <c r="R150" i="28"/>
  <c r="R151" i="28"/>
  <c r="R152" i="28"/>
  <c r="R153" i="28"/>
  <c r="R154" i="28"/>
  <c r="R155" i="28"/>
  <c r="R156" i="28"/>
  <c r="R157" i="28"/>
  <c r="R158" i="28"/>
  <c r="R159" i="28"/>
  <c r="R160" i="28"/>
  <c r="R161" i="28"/>
  <c r="R162" i="28"/>
  <c r="R163" i="28"/>
  <c r="R164" i="28"/>
  <c r="R165" i="28"/>
  <c r="R166" i="28"/>
  <c r="R167" i="28"/>
  <c r="R168" i="28"/>
  <c r="R169" i="28"/>
  <c r="R170" i="28"/>
  <c r="R171" i="28"/>
  <c r="R172" i="28"/>
  <c r="R173" i="28"/>
  <c r="R174" i="28"/>
  <c r="R175" i="28"/>
  <c r="R176" i="28"/>
  <c r="R177" i="28"/>
  <c r="R178" i="28"/>
  <c r="R179" i="28"/>
  <c r="R180" i="28"/>
  <c r="R181" i="28"/>
  <c r="R182" i="28"/>
  <c r="R183" i="28"/>
  <c r="R184" i="28"/>
  <c r="R185" i="28"/>
  <c r="R186" i="28"/>
  <c r="R187" i="28"/>
  <c r="R188" i="28"/>
  <c r="R189" i="28"/>
  <c r="R190" i="28"/>
  <c r="R191" i="28"/>
  <c r="R192" i="28"/>
  <c r="R193" i="28"/>
  <c r="R194" i="28"/>
  <c r="R195" i="28"/>
  <c r="R196" i="28"/>
  <c r="R197" i="28"/>
  <c r="R198" i="28"/>
  <c r="R199" i="28"/>
  <c r="R200" i="28"/>
  <c r="R201" i="28"/>
  <c r="R202" i="28"/>
  <c r="R203" i="28"/>
  <c r="R204" i="28"/>
  <c r="R205" i="28"/>
  <c r="R206" i="28"/>
  <c r="R207" i="28"/>
  <c r="R208" i="28"/>
  <c r="R209" i="28"/>
  <c r="R210" i="28"/>
  <c r="R211" i="28"/>
  <c r="R212" i="28"/>
  <c r="R213" i="28"/>
  <c r="R214" i="28"/>
  <c r="R215" i="28"/>
  <c r="R216" i="28"/>
  <c r="R217" i="28"/>
  <c r="R218" i="28"/>
  <c r="R219" i="28"/>
  <c r="R220" i="28"/>
  <c r="R221" i="28"/>
  <c r="R222" i="28"/>
  <c r="R223" i="28"/>
  <c r="R224" i="28"/>
  <c r="R225" i="28"/>
  <c r="R226" i="28"/>
  <c r="R227" i="28"/>
  <c r="R228" i="28"/>
  <c r="R229" i="28"/>
  <c r="R230" i="28"/>
  <c r="R231" i="28"/>
  <c r="R232" i="28"/>
  <c r="R233" i="28"/>
  <c r="R234" i="28"/>
  <c r="R235" i="28"/>
  <c r="R236" i="28"/>
  <c r="R237" i="28"/>
  <c r="R238" i="28"/>
  <c r="R239" i="28"/>
  <c r="R240" i="28"/>
  <c r="R241" i="28"/>
  <c r="R242" i="28"/>
  <c r="R243" i="28"/>
  <c r="R244" i="28"/>
  <c r="R245" i="28"/>
  <c r="R246" i="28"/>
  <c r="R247" i="28"/>
  <c r="R248" i="28"/>
  <c r="R249" i="28"/>
  <c r="R250" i="28"/>
  <c r="R251" i="28"/>
  <c r="R252" i="28"/>
  <c r="R253" i="28"/>
  <c r="R254" i="28"/>
  <c r="R255" i="28"/>
  <c r="R256" i="28"/>
  <c r="R257" i="28"/>
  <c r="R258" i="28"/>
  <c r="R259" i="28"/>
  <c r="R260" i="28"/>
  <c r="R261" i="28"/>
  <c r="R262" i="28"/>
  <c r="R263" i="28"/>
  <c r="R264" i="28"/>
  <c r="R265" i="28"/>
  <c r="R266" i="28"/>
  <c r="R267" i="28"/>
  <c r="R268" i="28"/>
  <c r="R269" i="28"/>
  <c r="R270" i="28"/>
  <c r="R271" i="28"/>
  <c r="R272" i="28"/>
  <c r="R273" i="28"/>
  <c r="R274" i="28"/>
  <c r="R275" i="28"/>
  <c r="R276" i="28"/>
  <c r="R277" i="28"/>
  <c r="R278" i="28"/>
  <c r="R279" i="28"/>
  <c r="R280" i="28"/>
  <c r="R281" i="28"/>
  <c r="R282" i="28"/>
  <c r="R283" i="28"/>
  <c r="R284" i="28"/>
  <c r="R285" i="28"/>
  <c r="R286" i="28"/>
  <c r="R287" i="28"/>
  <c r="R288" i="28"/>
  <c r="R289" i="28"/>
  <c r="R290" i="28"/>
  <c r="R291" i="28"/>
  <c r="R292" i="28"/>
  <c r="R293" i="28"/>
  <c r="R294" i="28"/>
  <c r="R295" i="28"/>
  <c r="R296" i="28"/>
  <c r="R297" i="28"/>
  <c r="R298" i="28"/>
  <c r="R299" i="28"/>
  <c r="R300" i="28"/>
  <c r="R301" i="28"/>
  <c r="R302" i="28"/>
  <c r="R303" i="28"/>
  <c r="R304" i="28"/>
  <c r="R305" i="28"/>
  <c r="R306" i="28"/>
  <c r="R307" i="28"/>
  <c r="R308" i="28"/>
  <c r="R309" i="28"/>
  <c r="R310" i="28"/>
  <c r="R311" i="28"/>
  <c r="R312" i="28"/>
  <c r="R313" i="28"/>
  <c r="R314" i="28"/>
  <c r="R315" i="28"/>
  <c r="R316" i="28"/>
  <c r="R317" i="28"/>
  <c r="R318" i="28"/>
  <c r="R319" i="28"/>
  <c r="R320" i="28"/>
  <c r="R321" i="28"/>
  <c r="R322" i="28"/>
  <c r="R323" i="28"/>
  <c r="R324" i="28"/>
  <c r="R325" i="28"/>
  <c r="R326" i="28"/>
  <c r="R327" i="28"/>
  <c r="R328" i="28"/>
  <c r="R329" i="28"/>
  <c r="R330" i="28"/>
  <c r="R331" i="28"/>
  <c r="R332" i="28"/>
  <c r="R333" i="28"/>
  <c r="R334" i="28"/>
  <c r="R335" i="28"/>
  <c r="R336" i="28"/>
  <c r="R337" i="28"/>
  <c r="R338" i="28"/>
  <c r="R339" i="28"/>
  <c r="R340" i="28"/>
  <c r="R341" i="28"/>
  <c r="R342" i="28"/>
  <c r="R343" i="28"/>
  <c r="R344" i="28"/>
  <c r="R345" i="28"/>
  <c r="R346" i="28"/>
  <c r="R347" i="28"/>
  <c r="R348" i="28"/>
  <c r="R349" i="28"/>
  <c r="R350" i="28"/>
  <c r="R351" i="28"/>
  <c r="R352" i="28"/>
  <c r="R353" i="28"/>
  <c r="R354" i="28"/>
  <c r="R355" i="28"/>
  <c r="R356" i="28"/>
  <c r="R357" i="28"/>
  <c r="R358" i="28"/>
  <c r="R359" i="28"/>
  <c r="R360" i="28"/>
  <c r="R361" i="28"/>
  <c r="R362" i="28"/>
  <c r="R363" i="28"/>
  <c r="R364" i="28"/>
  <c r="R365" i="28"/>
  <c r="R366" i="28"/>
  <c r="R367" i="28"/>
  <c r="R368" i="28"/>
  <c r="R369" i="28"/>
  <c r="R370" i="28"/>
  <c r="R371" i="28"/>
  <c r="R372" i="28"/>
  <c r="R373" i="28"/>
  <c r="R374" i="28"/>
  <c r="R375" i="28"/>
  <c r="R376" i="28"/>
  <c r="R377" i="28"/>
  <c r="R378" i="28"/>
  <c r="R379" i="28"/>
  <c r="R380" i="28"/>
  <c r="R381" i="28"/>
  <c r="R382" i="28"/>
  <c r="R383" i="28"/>
  <c r="R384" i="28"/>
  <c r="R387" i="28"/>
  <c r="R388" i="28"/>
  <c r="R389" i="2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2" i="8"/>
  <c r="N401" i="28"/>
  <c r="K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K439" i="28"/>
  <c r="N440" i="28"/>
  <c r="N441" i="28"/>
  <c r="K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K458" i="28"/>
  <c r="N459" i="28"/>
  <c r="N460" i="28"/>
  <c r="N461" i="28"/>
  <c r="K461" i="28"/>
  <c r="N462" i="28"/>
  <c r="N463" i="28"/>
  <c r="N464" i="28"/>
  <c r="N465" i="28"/>
  <c r="K465" i="28"/>
  <c r="N466" i="28"/>
  <c r="K466" i="28"/>
  <c r="N467" i="28"/>
  <c r="K467" i="28"/>
  <c r="N468" i="28"/>
  <c r="K468" i="28"/>
  <c r="N469" i="28"/>
  <c r="K469" i="28"/>
  <c r="N470" i="28"/>
  <c r="K470" i="28"/>
  <c r="N471" i="28"/>
  <c r="N472" i="28"/>
  <c r="N473" i="28"/>
  <c r="N474" i="28"/>
  <c r="K474" i="28"/>
  <c r="N475" i="28"/>
  <c r="K475" i="28"/>
  <c r="N476" i="28"/>
  <c r="N477" i="28"/>
  <c r="N478" i="28"/>
  <c r="K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K490" i="28"/>
  <c r="N491" i="28"/>
  <c r="N492" i="28"/>
  <c r="N493" i="28"/>
  <c r="N494" i="28"/>
  <c r="N495" i="28"/>
  <c r="N496" i="28"/>
  <c r="N497" i="28"/>
  <c r="N498" i="28"/>
  <c r="K498" i="28"/>
  <c r="N499" i="28"/>
  <c r="K499" i="28"/>
  <c r="N500" i="28"/>
  <c r="N501" i="28"/>
  <c r="N502" i="28"/>
  <c r="N503" i="28"/>
  <c r="N4" i="28"/>
  <c r="N5" i="28"/>
  <c r="N6" i="28"/>
  <c r="N7" i="28"/>
  <c r="N8" i="28"/>
  <c r="N9" i="28"/>
  <c r="N10" i="28"/>
  <c r="N11" i="28"/>
  <c r="N12" i="28"/>
  <c r="N13" i="28"/>
  <c r="N14" i="28"/>
  <c r="K14" i="28"/>
  <c r="N15" i="28"/>
  <c r="N16" i="28"/>
  <c r="N17" i="28"/>
  <c r="N18" i="28"/>
  <c r="N19" i="28"/>
  <c r="K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K37" i="28"/>
  <c r="N38" i="28"/>
  <c r="N39" i="28"/>
  <c r="K39" i="28"/>
  <c r="N40" i="28"/>
  <c r="K40" i="28"/>
  <c r="N41" i="28"/>
  <c r="N42" i="28"/>
  <c r="N43" i="28"/>
  <c r="K43" i="28"/>
  <c r="N44" i="28"/>
  <c r="K44" i="28"/>
  <c r="N45" i="28"/>
  <c r="N46" i="28"/>
  <c r="K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K70" i="28"/>
  <c r="N71" i="28"/>
  <c r="K71" i="28"/>
  <c r="N72" i="28"/>
  <c r="K72" i="28"/>
  <c r="N73" i="28"/>
  <c r="K73" i="28"/>
  <c r="N74" i="28"/>
  <c r="K74" i="28"/>
  <c r="N75" i="28"/>
  <c r="K75" i="28"/>
  <c r="N76" i="28"/>
  <c r="K76" i="28"/>
  <c r="N77" i="28"/>
  <c r="K77" i="28"/>
  <c r="N78" i="28"/>
  <c r="K78" i="28"/>
  <c r="N79" i="28"/>
  <c r="K79" i="28"/>
  <c r="N80" i="28"/>
  <c r="K80" i="28"/>
  <c r="N81" i="28"/>
  <c r="N82" i="28"/>
  <c r="N83" i="28"/>
  <c r="K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K193" i="28"/>
  <c r="N194" i="28"/>
  <c r="K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K257" i="28"/>
  <c r="N258" i="28"/>
  <c r="K258" i="28"/>
  <c r="N259" i="28"/>
  <c r="K259" i="28"/>
  <c r="N260" i="28"/>
  <c r="K260" i="28"/>
  <c r="N261" i="28"/>
  <c r="K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K305" i="28"/>
  <c r="N306" i="28"/>
  <c r="K306" i="28"/>
  <c r="N307" i="28"/>
  <c r="K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7" i="28"/>
  <c r="N388" i="28"/>
  <c r="N389" i="28"/>
  <c r="N390" i="28"/>
  <c r="K390" i="28"/>
  <c r="N391" i="28"/>
  <c r="K391" i="28"/>
  <c r="N392" i="28"/>
  <c r="N393" i="28"/>
  <c r="N394" i="28"/>
  <c r="N395" i="28"/>
  <c r="N396" i="28"/>
  <c r="N397" i="28"/>
  <c r="N398" i="28"/>
  <c r="N399" i="28"/>
  <c r="N400" i="28"/>
  <c r="N385" i="28"/>
  <c r="N386" i="28"/>
  <c r="C239" i="28"/>
  <c r="C292" i="28"/>
  <c r="C372" i="28"/>
  <c r="C264" i="28"/>
  <c r="C274" i="28"/>
  <c r="C54" i="28"/>
  <c r="C373" i="28"/>
  <c r="C374" i="28"/>
  <c r="C375" i="28"/>
  <c r="C376" i="28"/>
  <c r="C377" i="28"/>
  <c r="C378" i="28"/>
  <c r="C47" i="28"/>
  <c r="C53" i="28"/>
  <c r="C242" i="28"/>
  <c r="C280" i="28"/>
  <c r="K280" i="28"/>
  <c r="C281" i="28"/>
  <c r="K281" i="28"/>
  <c r="C282" i="28"/>
  <c r="K282" i="28"/>
  <c r="C379" i="28"/>
  <c r="C380" i="28"/>
  <c r="K380" i="28"/>
  <c r="C381" i="28"/>
  <c r="C86" i="28"/>
  <c r="C382" i="28"/>
  <c r="C383" i="28"/>
  <c r="C384" i="28"/>
  <c r="C385" i="28"/>
  <c r="C386" i="28"/>
  <c r="C62" i="28"/>
  <c r="C220" i="28"/>
  <c r="C197" i="28"/>
  <c r="C387" i="28"/>
  <c r="C388" i="28"/>
  <c r="C389" i="28"/>
  <c r="C87" i="28"/>
  <c r="C198" i="28"/>
  <c r="C199" i="28"/>
  <c r="C210" i="28"/>
  <c r="C166" i="28"/>
  <c r="C167" i="28"/>
  <c r="C392" i="28"/>
  <c r="C393" i="28"/>
  <c r="C275" i="28"/>
  <c r="C394" i="28"/>
  <c r="C395" i="28"/>
  <c r="C293" i="28"/>
  <c r="C214" i="28"/>
  <c r="C133" i="28"/>
  <c r="K133" i="28"/>
  <c r="C283" i="28"/>
  <c r="C284" i="28"/>
  <c r="C320" i="28"/>
  <c r="C300" i="28"/>
  <c r="C312" i="28"/>
  <c r="C396" i="28"/>
  <c r="C180" i="28"/>
  <c r="C397" i="28"/>
  <c r="C398" i="28"/>
  <c r="K398" i="28"/>
  <c r="C399" i="28"/>
  <c r="C88" i="28"/>
  <c r="K88" i="28"/>
  <c r="C89" i="28"/>
  <c r="C400" i="28"/>
  <c r="C181" i="28"/>
  <c r="C331" i="28"/>
  <c r="C402" i="28"/>
  <c r="C134" i="28"/>
  <c r="C235" i="28"/>
  <c r="C240" i="28"/>
  <c r="C223" i="28"/>
  <c r="K223" i="28"/>
  <c r="C120" i="28"/>
  <c r="C215" i="28"/>
  <c r="C162" i="28"/>
  <c r="C230" i="28"/>
  <c r="C222" i="28"/>
  <c r="C236" i="28"/>
  <c r="C237" i="28"/>
  <c r="K237" i="28"/>
  <c r="C216" i="28"/>
  <c r="C217" i="28"/>
  <c r="C221" i="28"/>
  <c r="C200" i="28"/>
  <c r="C168" i="28"/>
  <c r="C151" i="28"/>
  <c r="C357" i="28"/>
  <c r="C142" i="28"/>
  <c r="C218" i="28"/>
  <c r="C403" i="28"/>
  <c r="C325" i="28"/>
  <c r="C321" i="28"/>
  <c r="C294" i="28"/>
  <c r="C304" i="28"/>
  <c r="K304" i="28"/>
  <c r="C404" i="28"/>
  <c r="K404" i="28"/>
  <c r="C405" i="28"/>
  <c r="C326" i="28"/>
  <c r="C327" i="28"/>
  <c r="C328" i="28"/>
  <c r="C265" i="28"/>
  <c r="C266" i="28"/>
  <c r="C295" i="28"/>
  <c r="C211" i="28"/>
  <c r="C337" i="28"/>
  <c r="C296" i="28"/>
  <c r="C272" i="28"/>
  <c r="C182" i="28"/>
  <c r="C208" i="28"/>
  <c r="K208" i="28"/>
  <c r="C153" i="28"/>
  <c r="C183" i="28"/>
  <c r="C184" i="28"/>
  <c r="C332" i="28"/>
  <c r="C313" i="28"/>
  <c r="C267" i="28"/>
  <c r="C276" i="28"/>
  <c r="C277" i="28"/>
  <c r="C322" i="28"/>
  <c r="C268" i="28"/>
  <c r="C278" i="28"/>
  <c r="C59" i="28"/>
  <c r="K59" i="28"/>
  <c r="C406" i="28"/>
  <c r="K406" i="28"/>
  <c r="C407" i="28"/>
  <c r="C408" i="28"/>
  <c r="C409" i="28"/>
  <c r="C410" i="28"/>
  <c r="C60" i="28"/>
  <c r="K60" i="28"/>
  <c r="C411" i="28"/>
  <c r="C412" i="28"/>
  <c r="C63" i="28"/>
  <c r="C413" i="28"/>
  <c r="C414" i="28"/>
  <c r="C415" i="28"/>
  <c r="C64" i="28"/>
  <c r="C55" i="28"/>
  <c r="C48" i="28"/>
  <c r="C243" i="28"/>
  <c r="C314" i="28"/>
  <c r="C213" i="28"/>
  <c r="C416" i="28"/>
  <c r="C417" i="28"/>
  <c r="K417" i="28"/>
  <c r="C241" i="28"/>
  <c r="C418" i="28"/>
  <c r="C49" i="28"/>
  <c r="C419" i="28"/>
  <c r="C420" i="28"/>
  <c r="C231" i="28"/>
  <c r="C227" i="28"/>
  <c r="C238" i="28"/>
  <c r="C333" i="28"/>
  <c r="C421" i="28"/>
  <c r="C422" i="28"/>
  <c r="C423" i="28"/>
  <c r="C424" i="28"/>
  <c r="C425" i="28"/>
  <c r="C228" i="28"/>
  <c r="C315" i="28"/>
  <c r="C169" i="28"/>
  <c r="C50" i="28"/>
  <c r="C426" i="28"/>
  <c r="C427" i="28"/>
  <c r="C65" i="28"/>
  <c r="C428" i="28"/>
  <c r="C334" i="28"/>
  <c r="C429" i="28"/>
  <c r="K429" i="28"/>
  <c r="C232" i="28"/>
  <c r="C229" i="28"/>
  <c r="C244" i="28"/>
  <c r="C233" i="28"/>
  <c r="K233" i="28"/>
  <c r="C234" i="28"/>
  <c r="C245" i="28"/>
  <c r="C93" i="28"/>
  <c r="C113" i="28"/>
  <c r="C98" i="28"/>
  <c r="K98" i="28"/>
  <c r="C103" i="28"/>
  <c r="K103" i="28"/>
  <c r="C114" i="28"/>
  <c r="K114" i="28"/>
  <c r="C84" i="28"/>
  <c r="C85" i="28"/>
  <c r="C100" i="28"/>
  <c r="C104" i="28"/>
  <c r="C94" i="28"/>
  <c r="K94" i="28"/>
  <c r="C95" i="28"/>
  <c r="C115" i="28"/>
  <c r="C116" i="28"/>
  <c r="C105" i="28"/>
  <c r="C90" i="28"/>
  <c r="C106" i="28"/>
  <c r="C91" i="28"/>
  <c r="K91" i="28"/>
  <c r="C430" i="28"/>
  <c r="C431" i="28"/>
  <c r="C251" i="28"/>
  <c r="C252" i="28"/>
  <c r="C262" i="28"/>
  <c r="C263" i="28"/>
  <c r="C432" i="28"/>
  <c r="C253" i="28"/>
  <c r="C254" i="28"/>
  <c r="K254" i="28"/>
  <c r="C246" i="28"/>
  <c r="C256" i="28"/>
  <c r="C247" i="28"/>
  <c r="C248" i="28"/>
  <c r="C249" i="28"/>
  <c r="C433" i="28"/>
  <c r="C316" i="28"/>
  <c r="C22" i="28"/>
  <c r="K22" i="28"/>
  <c r="C82" i="28"/>
  <c r="C157" i="28"/>
  <c r="C209" i="28"/>
  <c r="C56" i="28"/>
  <c r="C323" i="28"/>
  <c r="C51" i="28"/>
  <c r="C212" i="28"/>
  <c r="C358" i="28"/>
  <c r="C297" i="28"/>
  <c r="C201" i="28"/>
  <c r="C202" i="28"/>
  <c r="C189" i="28"/>
  <c r="K189" i="28"/>
  <c r="C158" i="28"/>
  <c r="C154" i="28"/>
  <c r="C269" i="28"/>
  <c r="C434" i="28"/>
  <c r="C285" i="28"/>
  <c r="C286" i="28"/>
  <c r="C435" i="28"/>
  <c r="C436" i="28"/>
  <c r="C437" i="28"/>
  <c r="C438" i="28"/>
  <c r="C13" i="28"/>
  <c r="C96" i="28"/>
  <c r="K96" i="28"/>
  <c r="C101" i="28"/>
  <c r="C117" i="28"/>
  <c r="C118" i="28"/>
  <c r="C440" i="28"/>
  <c r="C250" i="28"/>
  <c r="C107" i="28"/>
  <c r="C99" i="28"/>
  <c r="C255" i="28"/>
  <c r="C190" i="28"/>
  <c r="C119" i="28"/>
  <c r="C108" i="28"/>
  <c r="C170" i="28"/>
  <c r="C191" i="28"/>
  <c r="C344" i="28"/>
  <c r="C171" i="28"/>
  <c r="C345" i="28"/>
  <c r="C172" i="28"/>
  <c r="C173" i="28"/>
  <c r="C174" i="28"/>
  <c r="C195" i="28"/>
  <c r="C196" i="28"/>
  <c r="C175" i="28"/>
  <c r="C176" i="28"/>
  <c r="C177" i="28"/>
  <c r="C185" i="28"/>
  <c r="C121" i="28"/>
  <c r="C135" i="28"/>
  <c r="C178" i="28"/>
  <c r="C122" i="28"/>
  <c r="C136" i="28"/>
  <c r="C137" i="28"/>
  <c r="C123" i="28"/>
  <c r="C206" i="28"/>
  <c r="C207" i="28"/>
  <c r="C442" i="28"/>
  <c r="C443" i="28"/>
  <c r="C444" i="28"/>
  <c r="C279" i="28"/>
  <c r="C224" i="28"/>
  <c r="C445" i="28"/>
  <c r="C446" i="28"/>
  <c r="C348" i="28"/>
  <c r="K348" i="28"/>
  <c r="C349" i="28"/>
  <c r="K349" i="28"/>
  <c r="C163" i="28"/>
  <c r="C164" i="28"/>
  <c r="C165" i="28"/>
  <c r="C159" i="28"/>
  <c r="C160" i="28"/>
  <c r="C447" i="28"/>
  <c r="C351" i="28"/>
  <c r="C448" i="28"/>
  <c r="C225" i="28"/>
  <c r="C449" i="28"/>
  <c r="K449" i="28"/>
  <c r="C450" i="28"/>
  <c r="K450" i="28"/>
  <c r="C451" i="28"/>
  <c r="K451" i="28"/>
  <c r="C352" i="28"/>
  <c r="K352" i="28"/>
  <c r="C353" i="28"/>
  <c r="C354" i="28"/>
  <c r="C452" i="28"/>
  <c r="C453" i="28"/>
  <c r="C454" i="28"/>
  <c r="C455" i="28"/>
  <c r="C155" i="28"/>
  <c r="C456" i="28"/>
  <c r="C457" i="28"/>
  <c r="C459" i="28"/>
  <c r="C460" i="28"/>
  <c r="C462" i="28"/>
  <c r="C463" i="28"/>
  <c r="C464" i="28"/>
  <c r="C338" i="28"/>
  <c r="C355" i="28"/>
  <c r="C15" i="28"/>
  <c r="C287" i="28"/>
  <c r="K287" i="28"/>
  <c r="C346" i="28"/>
  <c r="C330" i="28"/>
  <c r="C138" i="28"/>
  <c r="K138" i="28"/>
  <c r="C139" i="28"/>
  <c r="K139" i="28"/>
  <c r="C140" i="28"/>
  <c r="K140" i="28"/>
  <c r="C141" i="28"/>
  <c r="C359" i="28"/>
  <c r="K359" i="28"/>
  <c r="C360" i="28"/>
  <c r="K360" i="28"/>
  <c r="C361" i="28"/>
  <c r="K361" i="28"/>
  <c r="C362" i="28"/>
  <c r="K362" i="28"/>
  <c r="C363" i="28"/>
  <c r="K363" i="28"/>
  <c r="C364" i="28"/>
  <c r="K364" i="28"/>
  <c r="C365" i="28"/>
  <c r="K365" i="28"/>
  <c r="C366" i="28"/>
  <c r="K366" i="28"/>
  <c r="C367" i="28"/>
  <c r="K367" i="28"/>
  <c r="C368" i="28"/>
  <c r="K368" i="28"/>
  <c r="C369" i="28"/>
  <c r="K369" i="28"/>
  <c r="C370" i="28"/>
  <c r="K370" i="28"/>
  <c r="C371" i="28"/>
  <c r="K371" i="28"/>
  <c r="C471" i="28"/>
  <c r="C472" i="28"/>
  <c r="C143" i="28"/>
  <c r="C144" i="28"/>
  <c r="C145" i="28"/>
  <c r="C146" i="28"/>
  <c r="C147" i="28"/>
  <c r="C148" i="28"/>
  <c r="C186" i="28"/>
  <c r="C187" i="28"/>
  <c r="C58" i="28"/>
  <c r="K58" i="28"/>
  <c r="C308" i="28"/>
  <c r="C324" i="28"/>
  <c r="C66" i="28"/>
  <c r="C52" i="28"/>
  <c r="C124" i="28"/>
  <c r="C125" i="28"/>
  <c r="C126" i="28"/>
  <c r="C127" i="28"/>
  <c r="C329" i="28"/>
  <c r="C298" i="28"/>
  <c r="C335" i="28"/>
  <c r="C473" i="28"/>
  <c r="K473" i="28"/>
  <c r="C203" i="28"/>
  <c r="C356" i="28"/>
  <c r="C273" i="28"/>
  <c r="C350" i="28"/>
  <c r="C219" i="28"/>
  <c r="C204" i="28"/>
  <c r="C270" i="28"/>
  <c r="C156" i="28"/>
  <c r="C336" i="28"/>
  <c r="C128" i="28"/>
  <c r="K128" i="28"/>
  <c r="C188" i="28"/>
  <c r="C149" i="28"/>
  <c r="C179" i="28"/>
  <c r="C161" i="28"/>
  <c r="C150" i="28"/>
  <c r="C303" i="28"/>
  <c r="C301" i="28"/>
  <c r="C57" i="28"/>
  <c r="C61" i="28"/>
  <c r="C192" i="28"/>
  <c r="C16" i="28"/>
  <c r="C317" i="28"/>
  <c r="C67" i="28"/>
  <c r="C23" i="28"/>
  <c r="C24" i="28"/>
  <c r="C25" i="28"/>
  <c r="C26" i="28"/>
  <c r="C27" i="28"/>
  <c r="C28" i="28"/>
  <c r="C29" i="28"/>
  <c r="C30" i="28"/>
  <c r="C31" i="28"/>
  <c r="C32" i="28"/>
  <c r="C38" i="28"/>
  <c r="C476" i="28"/>
  <c r="C477" i="28"/>
  <c r="C68" i="28"/>
  <c r="C33" i="28"/>
  <c r="K33" i="28"/>
  <c r="C34" i="28"/>
  <c r="K34" i="28"/>
  <c r="C35" i="28"/>
  <c r="K35" i="28"/>
  <c r="C36" i="28"/>
  <c r="K36" i="28"/>
  <c r="C81" i="28"/>
  <c r="C17" i="28"/>
  <c r="C11" i="28"/>
  <c r="C12" i="28"/>
  <c r="C97" i="28"/>
  <c r="C102" i="28"/>
  <c r="C18" i="28"/>
  <c r="K18" i="28"/>
  <c r="C69" i="28"/>
  <c r="C288" i="28"/>
  <c r="C318" i="28"/>
  <c r="C479" i="28"/>
  <c r="C480" i="28"/>
  <c r="C271" i="28"/>
  <c r="C152" i="28"/>
  <c r="C289" i="28"/>
  <c r="C481" i="28"/>
  <c r="C482" i="28"/>
  <c r="C483" i="28"/>
  <c r="C484" i="28"/>
  <c r="C302" i="28"/>
  <c r="C20" i="28"/>
  <c r="C21" i="28"/>
  <c r="C485" i="28"/>
  <c r="C486" i="28"/>
  <c r="C487" i="28"/>
  <c r="C488" i="28"/>
  <c r="C489" i="28"/>
  <c r="C491" i="28"/>
  <c r="C492" i="28"/>
  <c r="C299" i="28"/>
  <c r="C4" i="28"/>
  <c r="C5" i="28"/>
  <c r="C6" i="28"/>
  <c r="C7" i="28"/>
  <c r="C8" i="28"/>
  <c r="C9" i="28"/>
  <c r="C319" i="28"/>
  <c r="C10" i="28"/>
  <c r="C309" i="28"/>
  <c r="C310" i="28"/>
  <c r="C347" i="28"/>
  <c r="C129" i="28"/>
  <c r="C130" i="28"/>
  <c r="C131" i="28"/>
  <c r="C132" i="28"/>
  <c r="C290" i="28"/>
  <c r="C291" i="28"/>
  <c r="C311" i="28"/>
  <c r="C339" i="28"/>
  <c r="C340" i="28"/>
  <c r="C341" i="28"/>
  <c r="C342" i="28"/>
  <c r="C343" i="28"/>
  <c r="C226" i="28"/>
  <c r="C493" i="28"/>
  <c r="C494" i="28"/>
  <c r="C495" i="28"/>
  <c r="C496" i="28"/>
  <c r="C497" i="28"/>
  <c r="C205" i="28"/>
  <c r="C92" i="28"/>
  <c r="C109" i="28"/>
  <c r="C45" i="28"/>
  <c r="C110" i="28"/>
  <c r="C111" i="28"/>
  <c r="C112" i="28"/>
  <c r="C41" i="28"/>
  <c r="C42" i="28"/>
  <c r="C500" i="28"/>
  <c r="C501" i="28"/>
  <c r="C502" i="28"/>
  <c r="K502" i="28"/>
  <c r="C503" i="28"/>
  <c r="K503" i="28"/>
  <c r="K376" i="28"/>
  <c r="K253" i="28"/>
  <c r="K286" i="28"/>
  <c r="K274" i="28"/>
  <c r="K353" i="28"/>
  <c r="K285" i="28"/>
  <c r="K234" i="28"/>
  <c r="K377" i="28"/>
  <c r="K397" i="28"/>
  <c r="K375" i="28"/>
  <c r="D1436" i="7"/>
  <c r="D1435" i="7"/>
  <c r="D1434" i="7"/>
  <c r="D1433" i="7"/>
  <c r="D1432" i="7"/>
  <c r="D1431" i="7"/>
  <c r="D1430" i="7"/>
  <c r="D1429" i="7"/>
  <c r="D1428" i="7"/>
  <c r="D1427" i="7"/>
  <c r="D1426" i="7"/>
  <c r="D1425" i="7"/>
  <c r="D1424" i="7"/>
  <c r="D1423" i="7"/>
  <c r="D1422" i="7"/>
  <c r="D1421" i="7"/>
  <c r="D1420" i="7"/>
  <c r="D1419" i="7"/>
  <c r="D1418" i="7"/>
  <c r="D1417" i="7"/>
  <c r="D1416" i="7"/>
  <c r="D1415" i="7"/>
  <c r="D1414" i="7"/>
  <c r="D1413" i="7"/>
  <c r="D1412" i="7"/>
  <c r="D1411" i="7"/>
  <c r="D1410" i="7"/>
  <c r="D1409" i="7"/>
  <c r="D1408" i="7"/>
  <c r="D1407" i="7"/>
  <c r="D1406" i="7"/>
  <c r="D1405" i="7"/>
  <c r="D1404" i="7"/>
  <c r="D1403" i="7"/>
  <c r="D1402" i="7"/>
  <c r="D1401" i="7"/>
  <c r="D1400" i="7"/>
  <c r="D1399" i="7"/>
  <c r="D1398" i="7"/>
  <c r="D1397" i="7"/>
  <c r="D1396" i="7"/>
  <c r="D1395" i="7"/>
  <c r="D1394" i="7"/>
  <c r="D1393" i="7"/>
  <c r="D1392" i="7"/>
  <c r="D1391" i="7"/>
  <c r="D1390" i="7"/>
  <c r="D1389" i="7"/>
  <c r="D1388" i="7"/>
  <c r="D1387" i="7"/>
  <c r="D1386" i="7"/>
  <c r="D1385" i="7"/>
  <c r="D1384" i="7"/>
  <c r="D1383" i="7"/>
  <c r="D1382" i="7"/>
  <c r="D1381" i="7"/>
  <c r="D1380" i="7"/>
  <c r="D1379" i="7"/>
  <c r="D1378" i="7"/>
  <c r="D1377" i="7"/>
  <c r="D1376" i="7"/>
  <c r="D1375" i="7"/>
  <c r="D1374" i="7"/>
  <c r="D1373" i="7"/>
  <c r="D1372" i="7"/>
  <c r="D1371" i="7"/>
  <c r="D1370" i="7"/>
  <c r="D1369" i="7"/>
  <c r="D1368" i="7"/>
  <c r="D1367" i="7"/>
  <c r="D1366" i="7"/>
  <c r="D1365" i="7"/>
  <c r="D1364" i="7"/>
  <c r="D1363" i="7"/>
  <c r="D1362" i="7"/>
  <c r="D1361" i="7"/>
  <c r="D1360" i="7"/>
  <c r="D1359" i="7"/>
  <c r="D1358" i="7"/>
  <c r="D1357" i="7"/>
  <c r="D1356" i="7"/>
  <c r="D1355" i="7"/>
  <c r="D1354" i="7"/>
  <c r="D1353" i="7"/>
  <c r="D1352" i="7"/>
  <c r="D1351" i="7"/>
  <c r="D1350" i="7"/>
  <c r="D1349" i="7"/>
  <c r="D1348" i="7"/>
  <c r="D1347" i="7"/>
  <c r="D1346" i="7"/>
  <c r="D1345" i="7"/>
  <c r="D1344" i="7"/>
  <c r="D1343" i="7"/>
  <c r="D1342" i="7"/>
  <c r="D1341" i="7"/>
  <c r="D1340" i="7"/>
  <c r="D1339" i="7"/>
  <c r="D1338" i="7"/>
  <c r="D1337" i="7"/>
  <c r="D1336" i="7"/>
  <c r="D1335" i="7"/>
  <c r="D1334" i="7"/>
  <c r="D1333" i="7"/>
  <c r="D1332" i="7"/>
  <c r="D1331" i="7"/>
  <c r="D1330" i="7"/>
  <c r="D1329" i="7"/>
  <c r="D1328" i="7"/>
  <c r="D1327" i="7"/>
  <c r="D1326" i="7"/>
  <c r="D1325" i="7"/>
  <c r="D1324" i="7"/>
  <c r="D1323" i="7"/>
  <c r="D1322" i="7"/>
  <c r="D1321" i="7"/>
  <c r="D1320" i="7"/>
  <c r="D1319" i="7"/>
  <c r="D1318" i="7"/>
  <c r="D1317" i="7"/>
  <c r="D1316" i="7"/>
  <c r="D1315" i="7"/>
  <c r="D1314" i="7"/>
  <c r="D1313" i="7"/>
  <c r="D1312" i="7"/>
  <c r="D1311" i="7"/>
  <c r="D1310" i="7"/>
  <c r="D1309" i="7"/>
  <c r="D1308" i="7"/>
  <c r="D1307" i="7"/>
  <c r="D1306" i="7"/>
  <c r="D1305" i="7"/>
  <c r="D1304" i="7"/>
  <c r="D1303" i="7"/>
  <c r="D1302" i="7"/>
  <c r="D1301" i="7"/>
  <c r="D1300" i="7"/>
  <c r="D1299" i="7"/>
  <c r="D1298" i="7"/>
  <c r="D1297" i="7"/>
  <c r="D1296" i="7"/>
  <c r="D1295" i="7"/>
  <c r="D1294" i="7"/>
  <c r="D1293" i="7"/>
  <c r="D1292" i="7"/>
  <c r="D1291" i="7"/>
  <c r="D1290" i="7"/>
  <c r="D1289" i="7"/>
  <c r="D1288" i="7"/>
  <c r="D1287" i="7"/>
  <c r="D1286" i="7"/>
  <c r="D1285" i="7"/>
  <c r="D1284" i="7"/>
  <c r="D1283" i="7"/>
  <c r="D1282" i="7"/>
  <c r="D1281" i="7"/>
  <c r="D1280" i="7"/>
  <c r="D1279" i="7"/>
  <c r="D1278" i="7"/>
  <c r="D1277" i="7"/>
  <c r="D1276" i="7"/>
  <c r="D1275" i="7"/>
  <c r="D1274" i="7"/>
  <c r="D1273" i="7"/>
  <c r="D1272" i="7"/>
  <c r="D1271" i="7"/>
  <c r="D1270" i="7"/>
  <c r="D1269" i="7"/>
  <c r="D1268" i="7"/>
  <c r="D1267" i="7"/>
  <c r="D1266" i="7"/>
  <c r="D1265" i="7"/>
  <c r="D1264" i="7"/>
  <c r="D1263" i="7"/>
  <c r="D1262" i="7"/>
  <c r="D1261" i="7"/>
  <c r="D1260" i="7"/>
  <c r="D1259" i="7"/>
  <c r="D1258" i="7"/>
  <c r="D1257" i="7"/>
  <c r="D1256" i="7"/>
  <c r="D1255" i="7"/>
  <c r="D1254" i="7"/>
  <c r="D1253" i="7"/>
  <c r="D1252" i="7"/>
  <c r="D1251" i="7"/>
  <c r="D1250" i="7"/>
  <c r="D1249" i="7"/>
  <c r="D1248" i="7"/>
  <c r="D1247" i="7"/>
  <c r="D1246" i="7"/>
  <c r="D1245" i="7"/>
  <c r="D1244" i="7"/>
  <c r="D1243" i="7"/>
  <c r="D1242" i="7"/>
  <c r="D1241" i="7"/>
  <c r="D1240" i="7"/>
  <c r="D1239" i="7"/>
  <c r="D1238" i="7"/>
  <c r="D1237" i="7"/>
  <c r="D1236" i="7"/>
  <c r="D1235" i="7"/>
  <c r="D1234" i="7"/>
  <c r="D1233" i="7"/>
  <c r="D1232" i="7"/>
  <c r="D1231" i="7"/>
  <c r="D1230" i="7"/>
  <c r="D1229" i="7"/>
  <c r="D1228" i="7"/>
  <c r="D1227" i="7"/>
  <c r="D1226" i="7"/>
  <c r="D1225" i="7"/>
  <c r="D1224" i="7"/>
  <c r="D1223" i="7"/>
  <c r="D1222" i="7"/>
  <c r="D1221" i="7"/>
  <c r="D1220" i="7"/>
  <c r="D1219" i="7"/>
  <c r="D1218" i="7"/>
  <c r="D1217" i="7"/>
  <c r="D1216" i="7"/>
  <c r="D1215" i="7"/>
  <c r="D1214" i="7"/>
  <c r="D1213" i="7"/>
  <c r="D1212" i="7"/>
  <c r="D1211" i="7"/>
  <c r="D1210" i="7"/>
  <c r="D1209" i="7"/>
  <c r="D1208" i="7"/>
  <c r="D1207" i="7"/>
  <c r="D1206" i="7"/>
  <c r="D1205" i="7"/>
  <c r="D1204" i="7"/>
  <c r="D1203" i="7"/>
  <c r="D1202" i="7"/>
  <c r="D1201" i="7"/>
  <c r="D1200" i="7"/>
  <c r="D1199" i="7"/>
  <c r="D1198" i="7"/>
  <c r="D1197" i="7"/>
  <c r="D1196" i="7"/>
  <c r="D1195" i="7"/>
  <c r="D1194" i="7"/>
  <c r="D1193" i="7"/>
  <c r="D1192" i="7"/>
  <c r="D1191" i="7"/>
  <c r="D1190" i="7"/>
  <c r="D1189" i="7"/>
  <c r="D1188" i="7"/>
  <c r="D1187" i="7"/>
  <c r="D1186" i="7"/>
  <c r="D1185" i="7"/>
  <c r="D1184" i="7"/>
  <c r="D1183" i="7"/>
  <c r="D1182" i="7"/>
  <c r="D1181" i="7"/>
  <c r="D1180" i="7"/>
  <c r="D1179" i="7"/>
  <c r="D1178" i="7"/>
  <c r="D1177" i="7"/>
  <c r="D1176" i="7"/>
  <c r="D1175" i="7"/>
  <c r="D1174" i="7"/>
  <c r="D1173" i="7"/>
  <c r="D1172" i="7"/>
  <c r="D1171" i="7"/>
  <c r="D1170" i="7"/>
  <c r="D1169" i="7"/>
  <c r="D1168" i="7"/>
  <c r="D1167" i="7"/>
  <c r="D1166" i="7"/>
  <c r="D1165" i="7"/>
  <c r="D1164" i="7"/>
  <c r="D1163" i="7"/>
  <c r="D1162" i="7"/>
  <c r="D1161" i="7"/>
  <c r="D1160" i="7"/>
  <c r="D1159" i="7"/>
  <c r="D1158" i="7"/>
  <c r="D1157" i="7"/>
  <c r="D1156" i="7"/>
  <c r="D1155" i="7"/>
  <c r="D1154" i="7"/>
  <c r="D1153" i="7"/>
  <c r="D1152" i="7"/>
  <c r="D1151" i="7"/>
  <c r="D1150" i="7"/>
  <c r="D1149" i="7"/>
  <c r="D1148" i="7"/>
  <c r="D1147" i="7"/>
  <c r="D1146" i="7"/>
  <c r="D1145" i="7"/>
  <c r="D1144" i="7"/>
  <c r="D1143" i="7"/>
  <c r="D1142" i="7"/>
  <c r="D1141" i="7"/>
  <c r="D1140" i="7"/>
  <c r="D1139" i="7"/>
  <c r="D1138" i="7"/>
  <c r="D1137" i="7"/>
  <c r="D1136" i="7"/>
  <c r="D1135" i="7"/>
  <c r="D1134" i="7"/>
  <c r="D1133" i="7"/>
  <c r="D1132" i="7"/>
  <c r="D1131" i="7"/>
  <c r="D1130" i="7"/>
  <c r="D1129" i="7"/>
  <c r="D1128" i="7"/>
  <c r="D1127" i="7"/>
  <c r="D1126" i="7"/>
  <c r="D1125" i="7"/>
  <c r="D1124" i="7"/>
  <c r="D1123" i="7"/>
  <c r="D1122" i="7"/>
  <c r="D1121" i="7"/>
  <c r="D1120" i="7"/>
  <c r="D1119" i="7"/>
  <c r="D1118" i="7"/>
  <c r="D1117" i="7"/>
  <c r="D1116" i="7"/>
  <c r="D1115" i="7"/>
  <c r="D1114" i="7"/>
  <c r="D1113" i="7"/>
  <c r="D1112" i="7"/>
  <c r="D1111" i="7"/>
  <c r="D1110" i="7"/>
  <c r="D1109" i="7"/>
  <c r="D1108" i="7"/>
  <c r="D1107" i="7"/>
  <c r="D1106" i="7"/>
  <c r="D1105" i="7"/>
  <c r="D1104" i="7"/>
  <c r="D1103" i="7"/>
  <c r="D1102" i="7"/>
  <c r="D1101" i="7"/>
  <c r="D1100" i="7"/>
  <c r="D1099" i="7"/>
  <c r="D1098" i="7"/>
  <c r="D1097" i="7"/>
  <c r="D1096" i="7"/>
  <c r="D1095" i="7"/>
  <c r="D1094" i="7"/>
  <c r="D1093" i="7"/>
  <c r="D1092" i="7"/>
  <c r="D1091" i="7"/>
  <c r="D1090" i="7"/>
  <c r="D1089" i="7"/>
  <c r="D1088" i="7"/>
  <c r="D1087" i="7"/>
  <c r="D1086" i="7"/>
  <c r="D1085" i="7"/>
  <c r="D1084" i="7"/>
  <c r="D1083" i="7"/>
  <c r="D1082" i="7"/>
  <c r="D1081" i="7"/>
  <c r="D1080" i="7"/>
  <c r="D1079" i="7"/>
  <c r="D1078" i="7"/>
  <c r="D1077" i="7"/>
  <c r="D1076" i="7"/>
  <c r="D1075" i="7"/>
  <c r="D1074" i="7"/>
  <c r="D1073" i="7"/>
  <c r="D1072" i="7"/>
  <c r="D1071" i="7"/>
  <c r="D1070" i="7"/>
  <c r="D1069" i="7"/>
  <c r="D1068" i="7"/>
  <c r="D1067" i="7"/>
  <c r="D1066" i="7"/>
  <c r="D1065" i="7"/>
  <c r="D1064" i="7"/>
  <c r="D1063" i="7"/>
  <c r="D1062" i="7"/>
  <c r="D1061" i="7"/>
  <c r="D1060" i="7"/>
  <c r="D1059" i="7"/>
  <c r="D1058" i="7"/>
  <c r="D1057" i="7"/>
  <c r="D1056" i="7"/>
  <c r="D1055" i="7"/>
  <c r="D1054" i="7"/>
  <c r="D1053" i="7"/>
  <c r="D1052" i="7"/>
  <c r="D1051" i="7"/>
  <c r="D1050" i="7"/>
  <c r="D1049" i="7"/>
  <c r="D1048" i="7"/>
  <c r="D1047" i="7"/>
  <c r="D1046" i="7"/>
  <c r="D1045" i="7"/>
  <c r="D1044" i="7"/>
  <c r="D1043" i="7"/>
  <c r="D1042" i="7"/>
  <c r="D1041" i="7"/>
  <c r="D1040" i="7"/>
  <c r="D1039" i="7"/>
  <c r="D1038" i="7"/>
  <c r="D1037" i="7"/>
  <c r="D1036" i="7"/>
  <c r="D1035" i="7"/>
  <c r="D1034" i="7"/>
  <c r="D1033" i="7"/>
  <c r="D1032" i="7"/>
  <c r="D1031" i="7"/>
  <c r="D1030" i="7"/>
  <c r="D1029" i="7"/>
  <c r="D1028" i="7"/>
  <c r="D1027" i="7"/>
  <c r="D1026" i="7"/>
  <c r="D1025" i="7"/>
  <c r="D1024" i="7"/>
  <c r="D1023" i="7"/>
  <c r="D1022" i="7"/>
  <c r="D1021" i="7"/>
  <c r="D1020" i="7"/>
  <c r="D1019" i="7"/>
  <c r="D1018" i="7"/>
  <c r="D1017" i="7"/>
  <c r="D1016" i="7"/>
  <c r="D1015" i="7"/>
  <c r="D1014" i="7"/>
  <c r="D1013" i="7"/>
  <c r="D1012" i="7"/>
  <c r="D1011" i="7"/>
  <c r="D1010" i="7"/>
  <c r="D1009" i="7"/>
  <c r="D1008" i="7"/>
  <c r="D1007" i="7"/>
  <c r="D1006" i="7"/>
  <c r="D1005" i="7"/>
  <c r="D1004" i="7"/>
  <c r="D1003" i="7"/>
  <c r="D1002" i="7"/>
  <c r="D1001" i="7"/>
  <c r="D1000" i="7"/>
  <c r="D999" i="7"/>
  <c r="D998" i="7"/>
  <c r="D997" i="7"/>
  <c r="D996" i="7"/>
  <c r="D995" i="7"/>
  <c r="D994" i="7"/>
  <c r="D993" i="7"/>
  <c r="D992" i="7"/>
  <c r="D991" i="7"/>
  <c r="D990" i="7"/>
  <c r="D989" i="7"/>
  <c r="D988" i="7"/>
  <c r="D987" i="7"/>
  <c r="D986" i="7"/>
  <c r="D985" i="7"/>
  <c r="D984" i="7"/>
  <c r="D983" i="7"/>
  <c r="D982" i="7"/>
  <c r="D981" i="7"/>
  <c r="D980" i="7"/>
  <c r="D979" i="7"/>
  <c r="D978" i="7"/>
  <c r="D977" i="7"/>
  <c r="D976" i="7"/>
  <c r="D975" i="7"/>
  <c r="D974" i="7"/>
  <c r="D973" i="7"/>
  <c r="D972" i="7"/>
  <c r="D971" i="7"/>
  <c r="D970" i="7"/>
  <c r="D969" i="7"/>
  <c r="D968" i="7"/>
  <c r="D967" i="7"/>
  <c r="D966" i="7"/>
  <c r="D965" i="7"/>
  <c r="D964" i="7"/>
  <c r="D963" i="7"/>
  <c r="D962" i="7"/>
  <c r="D961" i="7"/>
  <c r="D960" i="7"/>
  <c r="D959" i="7"/>
  <c r="D958" i="7"/>
  <c r="D957" i="7"/>
  <c r="D956" i="7"/>
  <c r="D955" i="7"/>
  <c r="D954" i="7"/>
  <c r="D953" i="7"/>
  <c r="D952" i="7"/>
  <c r="D951" i="7"/>
  <c r="D950" i="7"/>
  <c r="D949" i="7"/>
  <c r="D948" i="7"/>
  <c r="D947" i="7"/>
  <c r="D946" i="7"/>
  <c r="D945" i="7"/>
  <c r="D944" i="7"/>
  <c r="D943" i="7"/>
  <c r="D942" i="7"/>
  <c r="D941" i="7"/>
  <c r="D940" i="7"/>
  <c r="D939" i="7"/>
  <c r="D938" i="7"/>
  <c r="D937" i="7"/>
  <c r="D936" i="7"/>
  <c r="D935" i="7"/>
  <c r="D934" i="7"/>
  <c r="D933" i="7"/>
  <c r="D932" i="7"/>
  <c r="D931" i="7"/>
  <c r="D930" i="7"/>
  <c r="D929" i="7"/>
  <c r="D928" i="7"/>
  <c r="D927" i="7"/>
  <c r="D926" i="7"/>
  <c r="D925" i="7"/>
  <c r="D924" i="7"/>
  <c r="D923" i="7"/>
  <c r="D922" i="7"/>
  <c r="D921" i="7"/>
  <c r="D920" i="7"/>
  <c r="D919" i="7"/>
  <c r="D918" i="7"/>
  <c r="D917" i="7"/>
  <c r="D916" i="7"/>
  <c r="D915" i="7"/>
  <c r="D914" i="7"/>
  <c r="D913" i="7"/>
  <c r="D912" i="7"/>
  <c r="D911" i="7"/>
  <c r="D910" i="7"/>
  <c r="D909" i="7"/>
  <c r="D908" i="7"/>
  <c r="D907" i="7"/>
  <c r="D906" i="7"/>
  <c r="D905" i="7"/>
  <c r="D904" i="7"/>
  <c r="D903" i="7"/>
  <c r="D902" i="7"/>
  <c r="D901" i="7"/>
  <c r="D900" i="7"/>
  <c r="D899" i="7"/>
  <c r="D898" i="7"/>
  <c r="D897" i="7"/>
  <c r="D896" i="7"/>
  <c r="D895" i="7"/>
  <c r="D894" i="7"/>
  <c r="D893" i="7"/>
  <c r="D892" i="7"/>
  <c r="D891" i="7"/>
  <c r="D890" i="7"/>
  <c r="D889" i="7"/>
  <c r="D888" i="7"/>
  <c r="D887" i="7"/>
  <c r="D886" i="7"/>
  <c r="D885" i="7"/>
  <c r="D884" i="7"/>
  <c r="D883" i="7"/>
  <c r="D882" i="7"/>
  <c r="D881" i="7"/>
  <c r="D880" i="7"/>
  <c r="D879" i="7"/>
  <c r="D878" i="7"/>
  <c r="D877" i="7"/>
  <c r="D876" i="7"/>
  <c r="D875" i="7"/>
  <c r="D874" i="7"/>
  <c r="D873" i="7"/>
  <c r="D872" i="7"/>
  <c r="D871" i="7"/>
  <c r="D870" i="7"/>
  <c r="D869" i="7"/>
  <c r="D868" i="7"/>
  <c r="D867" i="7"/>
  <c r="D866" i="7"/>
  <c r="D865" i="7"/>
  <c r="D864" i="7"/>
  <c r="D863" i="7"/>
  <c r="D862" i="7"/>
  <c r="D861" i="7"/>
  <c r="D860" i="7"/>
  <c r="D859" i="7"/>
  <c r="D858" i="7"/>
  <c r="D857" i="7"/>
  <c r="D856" i="7"/>
  <c r="D855" i="7"/>
  <c r="D854" i="7"/>
  <c r="D853" i="7"/>
  <c r="D852" i="7"/>
  <c r="D851" i="7"/>
  <c r="D850" i="7"/>
  <c r="D849" i="7"/>
  <c r="D848" i="7"/>
  <c r="D847" i="7"/>
  <c r="D846" i="7"/>
  <c r="D845" i="7"/>
  <c r="D844" i="7"/>
  <c r="D843" i="7"/>
  <c r="D842" i="7"/>
  <c r="D841" i="7"/>
  <c r="D840" i="7"/>
  <c r="D839" i="7"/>
  <c r="D838" i="7"/>
  <c r="D837" i="7"/>
  <c r="D836" i="7"/>
  <c r="D835" i="7"/>
  <c r="D834" i="7"/>
  <c r="D833" i="7"/>
  <c r="D832" i="7"/>
  <c r="D831" i="7"/>
  <c r="D830" i="7"/>
  <c r="D829" i="7"/>
  <c r="D828" i="7"/>
  <c r="D827" i="7"/>
  <c r="D826" i="7"/>
  <c r="D825" i="7"/>
  <c r="D824" i="7"/>
  <c r="D823" i="7"/>
  <c r="D822" i="7"/>
  <c r="D821" i="7"/>
  <c r="D820" i="7"/>
  <c r="D819" i="7"/>
  <c r="D818" i="7"/>
  <c r="D817" i="7"/>
  <c r="D816" i="7"/>
  <c r="D815" i="7"/>
  <c r="D814" i="7"/>
  <c r="D813" i="7"/>
  <c r="D812" i="7"/>
  <c r="D811" i="7"/>
  <c r="D810" i="7"/>
  <c r="D809" i="7"/>
  <c r="D808" i="7"/>
  <c r="D807" i="7"/>
  <c r="D806" i="7"/>
  <c r="D805" i="7"/>
  <c r="D804" i="7"/>
  <c r="D803" i="7"/>
  <c r="D802" i="7"/>
  <c r="D801" i="7"/>
  <c r="D800" i="7"/>
  <c r="D799" i="7"/>
  <c r="D798" i="7"/>
  <c r="D797" i="7"/>
  <c r="D796" i="7"/>
  <c r="D795" i="7"/>
  <c r="D794" i="7"/>
  <c r="D793" i="7"/>
  <c r="D792" i="7"/>
  <c r="D791" i="7"/>
  <c r="D790" i="7"/>
  <c r="D789" i="7"/>
  <c r="D788" i="7"/>
  <c r="D787" i="7"/>
  <c r="D786" i="7"/>
  <c r="D785" i="7"/>
  <c r="D784" i="7"/>
  <c r="D783" i="7"/>
  <c r="D782" i="7"/>
  <c r="D781" i="7"/>
  <c r="D780" i="7"/>
  <c r="D779" i="7"/>
  <c r="D778" i="7"/>
  <c r="D777" i="7"/>
  <c r="D776" i="7"/>
  <c r="D775" i="7"/>
  <c r="D774" i="7"/>
  <c r="D773" i="7"/>
  <c r="D772" i="7"/>
  <c r="D771" i="7"/>
  <c r="D770" i="7"/>
  <c r="D769" i="7"/>
  <c r="D768" i="7"/>
  <c r="D767" i="7"/>
  <c r="D766" i="7"/>
  <c r="D765" i="7"/>
  <c r="D764" i="7"/>
  <c r="D763" i="7"/>
  <c r="D762" i="7"/>
  <c r="D761" i="7"/>
  <c r="D760" i="7"/>
  <c r="D759" i="7"/>
  <c r="D758" i="7"/>
  <c r="D757" i="7"/>
  <c r="D756" i="7"/>
  <c r="D755" i="7"/>
  <c r="D754" i="7"/>
  <c r="D753" i="7"/>
  <c r="D752" i="7"/>
  <c r="D751" i="7"/>
  <c r="D750" i="7"/>
  <c r="D749" i="7"/>
  <c r="D748" i="7"/>
  <c r="D747" i="7"/>
  <c r="D746" i="7"/>
  <c r="D745" i="7"/>
  <c r="D744" i="7"/>
  <c r="D743" i="7"/>
  <c r="D742" i="7"/>
  <c r="D741" i="7"/>
  <c r="D740" i="7"/>
  <c r="D739" i="7"/>
  <c r="D738" i="7"/>
  <c r="D737" i="7"/>
  <c r="D736" i="7"/>
  <c r="D735" i="7"/>
  <c r="D734" i="7"/>
  <c r="D733" i="7"/>
  <c r="D732" i="7"/>
  <c r="D731" i="7"/>
  <c r="D730" i="7"/>
  <c r="D729" i="7"/>
  <c r="D728" i="7"/>
  <c r="D727" i="7"/>
  <c r="D726" i="7"/>
  <c r="D725" i="7"/>
  <c r="D724" i="7"/>
  <c r="D723" i="7"/>
  <c r="D722" i="7"/>
  <c r="D721" i="7"/>
  <c r="D720" i="7"/>
  <c r="D719" i="7"/>
  <c r="D718" i="7"/>
  <c r="D717" i="7"/>
  <c r="D716" i="7"/>
  <c r="D715" i="7"/>
  <c r="D714" i="7"/>
  <c r="D713" i="7"/>
  <c r="D712" i="7"/>
  <c r="D711" i="7"/>
  <c r="D710" i="7"/>
  <c r="D709" i="7"/>
  <c r="D708" i="7"/>
  <c r="D707" i="7"/>
  <c r="D706" i="7"/>
  <c r="D705" i="7"/>
  <c r="D704" i="7"/>
  <c r="D703" i="7"/>
  <c r="D702" i="7"/>
  <c r="D701" i="7"/>
  <c r="D700" i="7"/>
  <c r="D699" i="7"/>
  <c r="D698" i="7"/>
  <c r="D697" i="7"/>
  <c r="D696" i="7"/>
  <c r="D695" i="7"/>
  <c r="D694" i="7"/>
  <c r="D693" i="7"/>
  <c r="D692" i="7"/>
  <c r="D691" i="7"/>
  <c r="D690" i="7"/>
  <c r="D689" i="7"/>
  <c r="D688" i="7"/>
  <c r="D687" i="7"/>
  <c r="D686" i="7"/>
  <c r="D685" i="7"/>
  <c r="D684" i="7"/>
  <c r="D683" i="7"/>
  <c r="D682" i="7"/>
  <c r="D681" i="7"/>
  <c r="D680" i="7"/>
  <c r="D679" i="7"/>
  <c r="D678" i="7"/>
  <c r="D677" i="7"/>
  <c r="D676" i="7"/>
  <c r="D675" i="7"/>
  <c r="D674" i="7"/>
  <c r="D673" i="7"/>
  <c r="D672" i="7"/>
  <c r="D671" i="7"/>
  <c r="D670" i="7"/>
  <c r="D669" i="7"/>
  <c r="D668" i="7"/>
  <c r="D667" i="7"/>
  <c r="D666" i="7"/>
  <c r="D665" i="7"/>
  <c r="D664" i="7"/>
  <c r="D663" i="7"/>
  <c r="D662" i="7"/>
  <c r="D661" i="7"/>
  <c r="D660" i="7"/>
  <c r="D659" i="7"/>
  <c r="D658" i="7"/>
  <c r="D657" i="7"/>
  <c r="D656" i="7"/>
  <c r="D655" i="7"/>
  <c r="D654" i="7"/>
  <c r="D653" i="7"/>
  <c r="D652" i="7"/>
  <c r="D651" i="7"/>
  <c r="D650" i="7"/>
  <c r="D649" i="7"/>
  <c r="D648" i="7"/>
  <c r="D647" i="7"/>
  <c r="D646" i="7"/>
  <c r="D645" i="7"/>
  <c r="D644" i="7"/>
  <c r="D643" i="7"/>
  <c r="D642" i="7"/>
  <c r="D641" i="7"/>
  <c r="D640" i="7"/>
  <c r="D639" i="7"/>
  <c r="D638" i="7"/>
  <c r="D637" i="7"/>
  <c r="D636" i="7"/>
  <c r="D635" i="7"/>
  <c r="D634" i="7"/>
  <c r="D633" i="7"/>
  <c r="D632" i="7"/>
  <c r="D631" i="7"/>
  <c r="D630" i="7"/>
  <c r="D629" i="7"/>
  <c r="D628" i="7"/>
  <c r="D627" i="7"/>
  <c r="D626" i="7"/>
  <c r="D625" i="7"/>
  <c r="D624" i="7"/>
  <c r="D623" i="7"/>
  <c r="D622" i="7"/>
  <c r="D621" i="7"/>
  <c r="D620" i="7"/>
  <c r="D619" i="7"/>
  <c r="D618" i="7"/>
  <c r="D617" i="7"/>
  <c r="D616" i="7"/>
  <c r="D615" i="7"/>
  <c r="D614" i="7"/>
  <c r="D613" i="7"/>
  <c r="D612" i="7"/>
  <c r="D611" i="7"/>
  <c r="D610" i="7"/>
  <c r="D609" i="7"/>
  <c r="D608" i="7"/>
  <c r="D607" i="7"/>
  <c r="D606" i="7"/>
  <c r="D605" i="7"/>
  <c r="D604" i="7"/>
  <c r="D603" i="7"/>
  <c r="D602" i="7"/>
  <c r="D601" i="7"/>
  <c r="D600" i="7"/>
  <c r="D599" i="7"/>
  <c r="D598" i="7"/>
  <c r="D597" i="7"/>
  <c r="D596" i="7"/>
  <c r="D595" i="7"/>
  <c r="D594" i="7"/>
  <c r="D593" i="7"/>
  <c r="D592" i="7"/>
  <c r="D591" i="7"/>
  <c r="D590" i="7"/>
  <c r="D589" i="7"/>
  <c r="D588" i="7"/>
  <c r="D587" i="7"/>
  <c r="D586" i="7"/>
  <c r="D585" i="7"/>
  <c r="D584" i="7"/>
  <c r="D583" i="7"/>
  <c r="D582" i="7"/>
  <c r="D581" i="7"/>
  <c r="D580" i="7"/>
  <c r="D579" i="7"/>
  <c r="D578" i="7"/>
  <c r="D577" i="7"/>
  <c r="D576" i="7"/>
  <c r="D575" i="7"/>
  <c r="D574" i="7"/>
  <c r="D573" i="7"/>
  <c r="D572" i="7"/>
  <c r="D571" i="7"/>
  <c r="D570" i="7"/>
  <c r="D569" i="7"/>
  <c r="D568" i="7"/>
  <c r="D567" i="7"/>
  <c r="D566" i="7"/>
  <c r="D565" i="7"/>
  <c r="D564" i="7"/>
  <c r="D563" i="7"/>
  <c r="D562" i="7"/>
  <c r="D561" i="7"/>
  <c r="D560" i="7"/>
  <c r="D559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D2" i="7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3" i="24"/>
  <c r="A4" i="24"/>
  <c r="A2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3" i="24"/>
  <c r="B2" i="24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" i="23"/>
  <c r="A2" i="23"/>
  <c r="J2" i="5"/>
  <c r="J3" i="5"/>
  <c r="K3" i="5"/>
  <c r="J4" i="5"/>
  <c r="K2" i="5"/>
  <c r="K4" i="5"/>
  <c r="J5" i="5"/>
  <c r="K5" i="5"/>
  <c r="J6" i="5"/>
  <c r="K6" i="5"/>
  <c r="J7" i="5"/>
  <c r="K7" i="5"/>
  <c r="AB30" i="10"/>
  <c r="F30" i="10"/>
  <c r="G30" i="10"/>
  <c r="D30" i="10"/>
  <c r="AB29" i="10"/>
  <c r="F29" i="10"/>
  <c r="G29" i="10"/>
  <c r="D29" i="10"/>
  <c r="AB28" i="10"/>
  <c r="F28" i="10"/>
  <c r="G28" i="10"/>
  <c r="D28" i="10"/>
  <c r="AB27" i="10"/>
  <c r="F27" i="10"/>
  <c r="G27" i="10"/>
  <c r="D27" i="10"/>
  <c r="AB26" i="10"/>
  <c r="F26" i="10"/>
  <c r="G26" i="10"/>
  <c r="D26" i="10"/>
  <c r="AB25" i="10"/>
  <c r="F25" i="10"/>
  <c r="G25" i="10"/>
  <c r="D25" i="10"/>
  <c r="AB24" i="10"/>
  <c r="F24" i="10"/>
  <c r="G24" i="10"/>
  <c r="D24" i="10"/>
  <c r="AB23" i="10"/>
  <c r="F23" i="10"/>
  <c r="G23" i="10"/>
  <c r="D23" i="10"/>
  <c r="AB22" i="10"/>
  <c r="F22" i="10"/>
  <c r="G22" i="10"/>
  <c r="D22" i="10"/>
  <c r="AB21" i="10"/>
  <c r="F21" i="10"/>
  <c r="G21" i="10"/>
  <c r="D21" i="10"/>
  <c r="AB20" i="10"/>
  <c r="F20" i="10"/>
  <c r="G20" i="10"/>
  <c r="D20" i="10"/>
  <c r="AB19" i="10"/>
  <c r="F19" i="10"/>
  <c r="G19" i="10"/>
  <c r="D19" i="10"/>
  <c r="AB18" i="10"/>
  <c r="F18" i="10"/>
  <c r="G18" i="10"/>
  <c r="D18" i="10"/>
  <c r="AB17" i="10"/>
  <c r="F17" i="10"/>
  <c r="G17" i="10"/>
  <c r="D17" i="10"/>
  <c r="AB16" i="10"/>
  <c r="F16" i="10"/>
  <c r="G16" i="10"/>
  <c r="D16" i="10"/>
  <c r="AB15" i="10"/>
  <c r="F15" i="10"/>
  <c r="G15" i="10"/>
  <c r="D15" i="10"/>
  <c r="AB14" i="10"/>
  <c r="F14" i="10"/>
  <c r="G14" i="10"/>
  <c r="D14" i="10"/>
  <c r="AB13" i="10"/>
  <c r="F13" i="10"/>
  <c r="G13" i="10"/>
  <c r="D13" i="10"/>
  <c r="AB12" i="10"/>
  <c r="F12" i="10"/>
  <c r="G12" i="10"/>
  <c r="D12" i="10"/>
  <c r="AB11" i="10"/>
  <c r="F11" i="10"/>
  <c r="G11" i="10"/>
  <c r="D11" i="10"/>
  <c r="AB10" i="10"/>
  <c r="F10" i="10"/>
  <c r="G10" i="10"/>
  <c r="D10" i="10"/>
  <c r="AB9" i="10"/>
  <c r="F9" i="10"/>
  <c r="G9" i="10"/>
  <c r="D9" i="10"/>
  <c r="AB8" i="10"/>
  <c r="F8" i="10"/>
  <c r="G8" i="10"/>
  <c r="D8" i="10"/>
  <c r="AB7" i="10"/>
  <c r="F7" i="10"/>
  <c r="G7" i="10"/>
  <c r="D7" i="10"/>
  <c r="AB6" i="10"/>
  <c r="F6" i="10"/>
  <c r="G6" i="10"/>
  <c r="D6" i="10"/>
  <c r="AB5" i="10"/>
  <c r="F5" i="10"/>
  <c r="G5" i="10"/>
  <c r="D5" i="10"/>
  <c r="AB4" i="10"/>
  <c r="F4" i="10"/>
  <c r="G4" i="10"/>
  <c r="D4" i="10"/>
  <c r="AB3" i="10"/>
  <c r="F3" i="10"/>
  <c r="G3" i="10"/>
  <c r="D3" i="10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D2" i="9"/>
</calcChain>
</file>

<file path=xl/comments1.xml><?xml version="1.0" encoding="utf-8"?>
<comments xmlns="http://schemas.openxmlformats.org/spreadsheetml/2006/main">
  <authors>
    <author/>
  </authors>
  <commentList>
    <comment ref="S3" authorId="0" shapeId="0">
      <text>
        <r>
          <rPr>
            <sz val="10"/>
            <color rgb="FF000000"/>
            <rFont val="Arial"/>
          </rPr>
          <t>พวกสัญลักษณ์ลอยๆ เช่น 1 แถม 1, แช่แข็ง อะไรพวกนี้</t>
        </r>
      </text>
    </comment>
    <comment ref="AP3" authorId="0" shapeId="0">
      <text>
        <r>
          <rPr>
            <sz val="10"/>
            <color rgb="FF000000"/>
            <rFont val="Arial"/>
          </rPr>
          <t>รายละเอียดเพิ่มเติมในกรอบสีเหลือง เช่น สาขาไหนร่วมรายการบ้าง
	-Surakit Jirasubsakul</t>
        </r>
      </text>
    </comment>
  </commentList>
</comments>
</file>

<file path=xl/connections.xml><?xml version="1.0" encoding="utf-8"?>
<connections xmlns="http://schemas.openxmlformats.org/spreadsheetml/2006/main">
  <connection id="1" name="20170707194644" type="6" refreshedVersion="5" background="1" saveData="1">
    <textPr codePage="874" sourceFile="F:\doc\#Streaming\#Project\makro\VentekBacklog\import-product\20170707194644.csv" comma="1" semicolon="1">
      <textFields count="2">
        <textField/>
        <textField/>
      </textFields>
    </textPr>
  </connection>
  <connection id="2" name="bizcat-mapping" type="6" refreshedVersion="5" background="1" saveData="1">
    <textPr codePage="874" sourceFile="E:\logs\bizcat-mapping.txt" comma="1">
      <textFields count="2">
        <textField/>
        <textField/>
      </textFields>
    </textPr>
  </connection>
  <connection id="3" name="brand-mapping" type="6" refreshedVersion="5" background="1" saveData="1">
    <textPr codePage="874" sourceFile="E:\logs\brand-mapping.txt" comma="1">
      <textFields count="2">
        <textField/>
        <textField/>
      </textFields>
    </textPr>
  </connection>
  <connection id="4" name="del.rtf" type="6" refreshedVersion="0" background="1">
    <textPr fileType="mac" sourceFile="/Volumes/BOOTCAMP/Users/how2studio/Desktop/Makro/del.rtf.rtf" tab="0" space="1" comma="1" semicolon="1" consecutive="1">
      <textFields count="5">
        <textField/>
        <textField/>
        <textField/>
        <textField/>
        <textField/>
      </textFields>
    </textPr>
  </connection>
  <connection id="5" name="pomtest" type="6" refreshedVersion="0" background="1" saveData="1">
    <textPr codePage="65001" sourceFile="/Users/Aekkalak/Desktop/WM/Makro/file-preparation/pomtest.txt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prodcat-mapping" type="6" refreshedVersion="5" background="1" saveData="1">
    <textPr codePage="874" sourceFile="E:\logs\prodcat-mapping.txt" comma="1" semicolon="1">
      <textFields count="2">
        <textField/>
        <textField/>
      </textFields>
    </textPr>
  </connection>
  <connection id="7" name="test-on-mac" type="6" refreshedVersion="0" background="1" saveData="1">
    <textPr codePage="65001" sourceFile="/Volumes/BOOTCAMP/Users/how2studio/Desktop/Makro/template/test-on-mac.txt" tab="0" delimiter="|">
      <textFields count="4">
        <textField/>
        <textField/>
        <textField/>
        <textField/>
      </textFields>
    </textPr>
  </connection>
  <connection id="8" name="txt-from-html" type="6" refreshedVersion="0" background="1">
    <textPr codePage="874" sourceFile="/Users/Aekkalak/Desktop/WM/Makro/file-preparation/txt-from-html.txt" tab="0" space="1" comma="1" semicolon="1" consecutive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txt-from-html1" type="6" refreshedVersion="0" background="1">
    <textPr codePage="65001" sourceFile="/Users/Aekkalak/Desktop/WM/Makro/file-preparation/txt-from-html.txt" delimited="0" tab="0" space="1" comma="1" semicolon="1" consecutive="1">
      <textFields count="14">
        <textField/>
        <textField position="4"/>
        <textField position="66"/>
        <textField position="76"/>
        <textField position="78"/>
        <textField position="82"/>
        <textField position="84"/>
        <textField position="86"/>
        <textField position="89"/>
        <textField position="93"/>
        <textField position="95"/>
        <textField position="98"/>
        <textField position="103"/>
        <textField position="107"/>
      </textFields>
    </textPr>
  </connection>
  <connection id="10" name="txt-from-html2" type="6" refreshedVersion="0" background="1">
    <textPr codePage="65001" sourceFile="/Users/Aekkalak/Desktop/WM/Makro/file-preparation/txt-from-html.txt" tab="0" space="1" comma="1" semicolon="1" consecutive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txt-from-html3" type="6" refreshedVersion="6" background="1" saveData="1">
    <textPr codePage="65001" sourceFile="C:\Users\how2studio\Desktop\Makro\template\txt-from-html.txt" tab="0" delimiter="|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<sst xmlns="http://schemas.openxmlformats.org/spreadsheetml/2006/main" count="16640" uniqueCount="5834">
  <si>
    <t>รหัสสินค้า
 Article</t>
  </si>
  <si>
    <t>Brand (Thai)</t>
  </si>
  <si>
    <t>Brand (Eng.)</t>
  </si>
  <si>
    <t>Product Category
number</t>
  </si>
  <si>
    <t>Product Category</t>
  </si>
  <si>
    <t>Item Desc (Thai)</t>
  </si>
  <si>
    <t>Item Desc (Eng.)</t>
  </si>
  <si>
    <t>Product Name (TH)</t>
  </si>
  <si>
    <t>Product Name (EN)</t>
  </si>
  <si>
    <t>Cap.</t>
  </si>
  <si>
    <t>หน่วย</t>
  </si>
  <si>
    <t>Unit</t>
  </si>
  <si>
    <t>Qty.</t>
  </si>
  <si>
    <t>Pcs.(Thai)</t>
  </si>
  <si>
    <t>Pcs. (Eng.)</t>
  </si>
  <si>
    <t>Promo (Thai)</t>
  </si>
  <si>
    <t>Promo (Eng.)</t>
  </si>
  <si>
    <t>Pro Type</t>
  </si>
  <si>
    <t>Wording Multi-Buy display on Mail 
 (for MKT- wording on brochure)</t>
  </si>
  <si>
    <t>Normal Price (VAT)*</t>
  </si>
  <si>
    <t>Promo Price
 (VAT) Classic</t>
  </si>
  <si>
    <t>estimate profit (e-comerce)</t>
  </si>
  <si>
    <t>Promotion Start</t>
  </si>
  <si>
    <t>Promotion End</t>
  </si>
  <si>
    <t>Store Type</t>
  </si>
  <si>
    <t>Tag (EN) A|B|C</t>
  </si>
  <si>
    <t>Product Type 1</t>
  </si>
  <si>
    <t>Product Type 2</t>
  </si>
  <si>
    <t>Business Category
number</t>
  </si>
  <si>
    <t>Business Category</t>
  </si>
  <si>
    <t>Available Online</t>
  </si>
  <si>
    <t>Division</t>
  </si>
  <si>
    <t>Mail</t>
  </si>
  <si>
    <t>Remark</t>
  </si>
  <si>
    <t>Attribute (e-commerce)</t>
  </si>
  <si>
    <t>Payment Channel (e-commerce)</t>
  </si>
  <si>
    <t>id for development</t>
  </si>
  <si>
    <t>Start_date</t>
  </si>
  <si>
    <t>Article_no</t>
  </si>
  <si>
    <t>Product_Brand_Thai</t>
  </si>
  <si>
    <t>Product_Brand_Eng</t>
  </si>
  <si>
    <t>Category number</t>
  </si>
  <si>
    <t>Product Sub-Category Lv.2 EN</t>
  </si>
  <si>
    <t>Product Sub-Category Lv.1 EN</t>
  </si>
  <si>
    <t>Product Sub-Category Lv.0 EN</t>
  </si>
  <si>
    <t>Product_Description_Thai</t>
  </si>
  <si>
    <t>Product_Description_Eng</t>
  </si>
  <si>
    <t>Unit_name_Thai</t>
  </si>
  <si>
    <t>Unit_name_Eng</t>
  </si>
  <si>
    <t>Total_Unit_Thai</t>
  </si>
  <si>
    <t>Total_Unit_Eng</t>
  </si>
  <si>
    <t>Promotion_Thai</t>
  </si>
  <si>
    <t>Promotion_Eng</t>
  </si>
  <si>
    <t>Normal_Price</t>
  </si>
  <si>
    <t>Special_Price</t>
  </si>
  <si>
    <t>Start_End</t>
  </si>
  <si>
    <t>Store_type</t>
  </si>
  <si>
    <t>Category1</t>
  </si>
  <si>
    <t>Category2</t>
  </si>
  <si>
    <t>Category3</t>
  </si>
  <si>
    <t>Category4</t>
  </si>
  <si>
    <t>Category5</t>
  </si>
  <si>
    <t>Category6</t>
  </si>
  <si>
    <t>Brand id</t>
  </si>
  <si>
    <t>Unit id</t>
  </si>
  <si>
    <t>เบสท์ฟู้ดส์</t>
  </si>
  <si>
    <t>มล.</t>
  </si>
  <si>
    <t>x</t>
  </si>
  <si>
    <t>ชิ้น</t>
  </si>
  <si>
    <t>blank</t>
  </si>
  <si>
    <t>3-Hotel</t>
  </si>
  <si>
    <t>Category</t>
  </si>
  <si>
    <t>Y</t>
  </si>
  <si>
    <t>โค้ก</t>
  </si>
  <si>
    <t>ซื้อ 1 แถม 1</t>
  </si>
  <si>
    <t>Promo TH</t>
  </si>
  <si>
    <t>แฟนต้า</t>
  </si>
  <si>
    <t>สไปร์ท</t>
  </si>
  <si>
    <t>ตราพิกุลแก้ว</t>
  </si>
  <si>
    <t>กก.</t>
  </si>
  <si>
    <t>ซัมซุง</t>
  </si>
  <si>
    <t>ทิวลี่ทวิน</t>
  </si>
  <si>
    <t>เวเฟอร์</t>
  </si>
  <si>
    <t>กรัม</t>
  </si>
  <si>
    <t>คอนเน่</t>
  </si>
  <si>
    <t>อิชิตัน</t>
  </si>
  <si>
    <t>Brand TH</t>
  </si>
  <si>
    <t>LVL2</t>
  </si>
  <si>
    <t>Unit TH</t>
  </si>
  <si>
    <t>ยำยำจัมโบ้</t>
  </si>
  <si>
    <t>ถ้วย</t>
  </si>
  <si>
    <t>Classic</t>
  </si>
  <si>
    <t>แอลจี</t>
  </si>
  <si>
    <t>เครื่อง</t>
  </si>
  <si>
    <t>ลิตร</t>
  </si>
  <si>
    <t>ขวด</t>
  </si>
  <si>
    <t>องุ่น</t>
  </si>
  <si>
    <t>เอโร่</t>
  </si>
  <si>
    <t>รสดี</t>
  </si>
  <si>
    <t>จระเข้</t>
  </si>
  <si>
    <t>ใบ</t>
  </si>
  <si>
    <t>set</t>
  </si>
  <si>
    <t>คาร์เนชั่น</t>
  </si>
  <si>
    <t>โฟร์โมสต์</t>
  </si>
  <si>
    <t>กล่อง</t>
  </si>
  <si>
    <t>คอฟฟี่เมต</t>
  </si>
  <si>
    <t>ครีมเทียม</t>
  </si>
  <si>
    <t>เนสกาแฟเรดคัพ</t>
  </si>
  <si>
    <t>โซเล่คาเฟ่</t>
  </si>
  <si>
    <t>อโรม่า</t>
  </si>
  <si>
    <t>เอล ชาร์โร</t>
  </si>
  <si>
    <t>ฟิจิ</t>
  </si>
  <si>
    <t>น้ำแร่</t>
  </si>
  <si>
    <t>กังหัน</t>
  </si>
  <si>
    <t>นิสชิน</t>
  </si>
  <si>
    <t>ช้างทิพย์</t>
  </si>
  <si>
    <t>อายิโนะโมะโต๊ะ</t>
  </si>
  <si>
    <t>box</t>
  </si>
  <si>
    <t>ทาเบรุ</t>
  </si>
  <si>
    <t>คิคโคแมน</t>
  </si>
  <si>
    <t>คู่</t>
  </si>
  <si>
    <t>คินซัน</t>
  </si>
  <si>
    <t>เคนอิจิ ไม</t>
  </si>
  <si>
    <t>pack</t>
  </si>
  <si>
    <t>คิวพี</t>
  </si>
  <si>
    <t>Soft Drink</t>
  </si>
  <si>
    <t>แลคตาซอย</t>
  </si>
  <si>
    <t>Sweet</t>
  </si>
  <si>
    <t>กูลิโกะป๊อกกี้</t>
  </si>
  <si>
    <t>Chocolate</t>
  </si>
  <si>
    <t>เลย์2in1</t>
  </si>
  <si>
    <t>พิกุลแก้ว</t>
  </si>
  <si>
    <t>เป๊ปซี่</t>
  </si>
  <si>
    <t>น้ำยาปรับผ้านุ่ม</t>
  </si>
  <si>
    <t>Fabric Softener</t>
  </si>
  <si>
    <t>ซอง</t>
  </si>
  <si>
    <t>ซื้อ 6 แถม 1</t>
  </si>
  <si>
    <t>สิงห์</t>
  </si>
  <si>
    <t>น้ำดื่ม</t>
  </si>
  <si>
    <t>มองต์เฟลอ</t>
  </si>
  <si>
    <t>Mineral Water</t>
  </si>
  <si>
    <t>เดนทีน</t>
  </si>
  <si>
    <t>หมากฝรั่ง</t>
  </si>
  <si>
    <t>แม่ประนอม</t>
  </si>
  <si>
    <t>มอคโคน่าทรีโอ</t>
  </si>
  <si>
    <t>ดีน่า</t>
  </si>
  <si>
    <t>คนแบกกุ้ง</t>
  </si>
  <si>
    <t>Fish Sauce</t>
  </si>
  <si>
    <t>ภูเขาทอง</t>
  </si>
  <si>
    <t>ซีซี</t>
  </si>
  <si>
    <t>มาลี</t>
  </si>
  <si>
    <t>นูดดี้</t>
  </si>
  <si>
    <t>ไทย-เดนมาร์ค</t>
  </si>
  <si>
    <t>จังโก้</t>
  </si>
  <si>
    <t>ห่อ</t>
  </si>
  <si>
    <t> ง่วนเชียง</t>
  </si>
  <si>
    <t>หอยหลอด</t>
  </si>
  <si>
    <t>นกพิราบ</t>
  </si>
  <si>
    <t>ต้นสน</t>
  </si>
  <si>
    <t>วุ้นเส้น</t>
  </si>
  <si>
    <t>ซูเปอร์ซีเชฟ</t>
  </si>
  <si>
    <t>แม็กกี้</t>
  </si>
  <si>
    <t>ข้าวแสนดี</t>
  </si>
  <si>
    <t>Sticky Rice</t>
  </si>
  <si>
    <t>ฟ้าไทย</t>
  </si>
  <si>
    <t>มรกต</t>
  </si>
  <si>
    <t>น้ำมันปาล์ม</t>
  </si>
  <si>
    <t>Palm Oil</t>
  </si>
  <si>
    <t>เด็กสมบูรณ์</t>
  </si>
  <si>
    <t>เป็ดมิสเตอร์มัสเซิลโปร</t>
  </si>
  <si>
    <t>น้ำยาล้างจาน</t>
  </si>
  <si>
    <t>มาจิคลีน</t>
  </si>
  <si>
    <t>แผ่น</t>
  </si>
  <si>
    <t>ผงซักฟอก</t>
  </si>
  <si>
    <t>ซันไลต์</t>
  </si>
  <si>
    <t>ไฮเตอร์</t>
  </si>
  <si>
    <t>กระดาษชำระ</t>
  </si>
  <si>
    <t>ม้วน</t>
  </si>
  <si>
    <t>roll</t>
  </si>
  <si>
    <t>แพ็ค</t>
  </si>
  <si>
    <t>ซอฟเฟล</t>
  </si>
  <si>
    <t>โลตัส</t>
  </si>
  <si>
    <t>ผืน</t>
  </si>
  <si>
    <t>ชุด</t>
  </si>
  <si>
    <t>เซพแพ็ค</t>
  </si>
  <si>
    <t>ซีกัล</t>
  </si>
  <si>
    <t>ซื้อ 2 แถม 1</t>
  </si>
  <si>
    <t>ซื้อ 5 แถม 1</t>
  </si>
  <si>
    <t>แชมเปี้ยน</t>
  </si>
  <si>
    <t>ไบโอแมท</t>
  </si>
  <si>
    <t>แม็คโคร</t>
  </si>
  <si>
    <t>แอดวานซ์ไบโอ</t>
  </si>
  <si>
    <t>อัน</t>
  </si>
  <si>
    <t>เฟสท์</t>
  </si>
  <si>
    <t>ซื้อ 3 แถม 1</t>
  </si>
  <si>
    <t>เกรซซิลเปิล</t>
  </si>
  <si>
    <t>ซื้อ 4 แถม 1</t>
  </si>
  <si>
    <t>ซุปเปอร์แวร์</t>
  </si>
  <si>
    <t>ตัว</t>
  </si>
  <si>
    <t>ชาร์ป</t>
  </si>
  <si>
    <t>แอคคอร์ด</t>
  </si>
  <si>
    <t>โตชิบา</t>
  </si>
  <si>
    <t>ฮิตาชิ</t>
  </si>
  <si>
    <t>พานาโซนิค</t>
  </si>
  <si>
    <t>สินค้าสั่งจอง</t>
  </si>
  <si>
    <t>เนเชอรัล</t>
  </si>
  <si>
    <t>กระดาษเช็ดหน้า</t>
  </si>
  <si>
    <t>โบนัส</t>
  </si>
  <si>
    <t>ข้าวหอมมะลิ</t>
  </si>
  <si>
    <t>Jasmine Rice</t>
  </si>
  <si>
    <t>ก้อน</t>
  </si>
  <si>
    <t>ทายาส</t>
  </si>
  <si>
    <t>ใหม่</t>
  </si>
  <si>
    <t>ไทชิ</t>
  </si>
  <si>
    <t>หลอด</t>
  </si>
  <si>
    <t>ออนช์</t>
  </si>
  <si>
    <t>เหยี่ยว</t>
  </si>
  <si>
    <t>Brand EN</t>
  </si>
  <si>
    <t>12พลัสสเนลไวท์</t>
  </si>
  <si>
    <t>12 Plus Snail whit</t>
  </si>
  <si>
    <t>3เอ็มสก๊อตซ์ไบรต์</t>
  </si>
  <si>
    <t>3M Scotch Brite</t>
  </si>
  <si>
    <t>Copy &amp; Laser</t>
  </si>
  <si>
    <t>เอชพี</t>
  </si>
  <si>
    <t>HP</t>
  </si>
  <si>
    <t>KIA</t>
  </si>
  <si>
    <t>Natural</t>
  </si>
  <si>
    <t>Protech</t>
  </si>
  <si>
    <t>Quantum</t>
  </si>
  <si>
    <t>Series</t>
  </si>
  <si>
    <t>YOYA</t>
  </si>
  <si>
    <t>ก๊กเลี้ยง</t>
  </si>
  <si>
    <t>Kok Liang</t>
  </si>
  <si>
    <t>กระทิงแดง</t>
  </si>
  <si>
    <t>Redbull</t>
  </si>
  <si>
    <t>กรีนการ์เด้น</t>
  </si>
  <si>
    <t>Green Garden</t>
  </si>
  <si>
    <t>กัสเซ็น</t>
  </si>
  <si>
    <t>Gussen</t>
  </si>
  <si>
    <t>กาโตะ</t>
  </si>
  <si>
    <t>Kato</t>
  </si>
  <si>
    <t>กานิเย่</t>
  </si>
  <si>
    <t>Garnier Skin</t>
  </si>
  <si>
    <t>การ์นิเย่ไลท์</t>
  </si>
  <si>
    <t>การ์นิเย่ไลท์คอมพลีท</t>
  </si>
  <si>
    <t>Garnier Light Complete</t>
  </si>
  <si>
    <t>กิเลนคู่</t>
  </si>
  <si>
    <t>กุ๊ก</t>
  </si>
  <si>
    <t>Cook</t>
  </si>
  <si>
    <t>Glico Pocky</t>
  </si>
  <si>
    <t>กูลิโกะพีจอย</t>
  </si>
  <si>
    <t>Glico Pejoy</t>
  </si>
  <si>
    <t>กูลิโกะแอลฟี่</t>
  </si>
  <si>
    <t>เกรซ</t>
  </si>
  <si>
    <t>เกลดเซนเต็ด</t>
  </si>
  <si>
    <t>เกษตร</t>
  </si>
  <si>
    <t>Kaset</t>
  </si>
  <si>
    <t>เกสร</t>
  </si>
  <si>
    <t>แกสบี้แว๊กซ์</t>
  </si>
  <si>
    <t>Gatsby Wax</t>
  </si>
  <si>
    <t>โก๋แก่</t>
  </si>
  <si>
    <t>Koh-Kae</t>
  </si>
  <si>
    <t>โกโก้ดัทช์</t>
  </si>
  <si>
    <t>Cocoa Dutch</t>
  </si>
  <si>
    <t>โกโก้ริช</t>
  </si>
  <si>
    <t>Cocao Rich</t>
  </si>
  <si>
    <t>Kopiko</t>
  </si>
  <si>
    <t>ข้าวเบญจรงค์</t>
  </si>
  <si>
    <t>เขาช่อง</t>
  </si>
  <si>
    <t>Khao Shong</t>
  </si>
  <si>
    <t>เขาช่อง3in1</t>
  </si>
  <si>
    <t>คนอร์</t>
  </si>
  <si>
    <t>Knorr</t>
  </si>
  <si>
    <t>คนอร์รสทิพ</t>
  </si>
  <si>
    <t>Knorr Rostip</t>
  </si>
  <si>
    <t>ครัววังทิพย์</t>
  </si>
  <si>
    <t>คราฟท์</t>
  </si>
  <si>
    <t>Kraft</t>
  </si>
  <si>
    <t>คราฟท์ฟิลาเดลเฟีย</t>
  </si>
  <si>
    <t>Kraft Philadelphia</t>
  </si>
  <si>
    <t>คริสตัล</t>
  </si>
  <si>
    <t>Crystal</t>
  </si>
  <si>
    <t>คลีนแอนด์เคลียร์</t>
  </si>
  <si>
    <t>Clean &amp; Clear</t>
  </si>
  <si>
    <t>คลีโอ</t>
  </si>
  <si>
    <t>Cleo</t>
  </si>
  <si>
    <t>ควอนตั้ม</t>
  </si>
  <si>
    <t>ควอลิตี้</t>
  </si>
  <si>
    <t>Quality</t>
  </si>
  <si>
    <t>คอนเน่ไพร์ม</t>
  </si>
  <si>
    <t>CORNAE PRIME</t>
  </si>
  <si>
    <t>คอปป</t>
  </si>
  <si>
    <t>คอมฟอร์ท</t>
  </si>
  <si>
    <t>Comfort</t>
  </si>
  <si>
    <t>คอมฟอร์ทเพียว</t>
  </si>
  <si>
    <t>Comfort Pure</t>
  </si>
  <si>
    <t>คอมฟอร์ทลักชัวรี่</t>
  </si>
  <si>
    <t>คอมฟอร์ทลักชัวรี่เนเชอร์เอนชานท์</t>
  </si>
  <si>
    <t>Comfort Luxury Nature Enchanted</t>
  </si>
  <si>
    <t>คอมฟอร์ทอัลตร้า</t>
  </si>
  <si>
    <t>Comfort Ultra</t>
  </si>
  <si>
    <t>คอลเกต</t>
  </si>
  <si>
    <t>คอลเกตเฮอเบิ้ลซอลต์</t>
  </si>
  <si>
    <t>คาชิวา</t>
  </si>
  <si>
    <t>Kashiwa</t>
  </si>
  <si>
    <t>คานิ</t>
  </si>
  <si>
    <t>Kani</t>
  </si>
  <si>
    <t>คานิแฟมมิลี่</t>
  </si>
  <si>
    <t>Kani Family</t>
  </si>
  <si>
    <t>คานิแฟมิลี่ซีเล็คชั่น</t>
  </si>
  <si>
    <t>Kani Family Selection</t>
  </si>
  <si>
    <t>คานิโอ</t>
  </si>
  <si>
    <t>Kani-O</t>
  </si>
  <si>
    <t>คาเฟ่เฮ้าส์</t>
  </si>
  <si>
    <t>Kafe House</t>
  </si>
  <si>
    <t>คายาริ</t>
  </si>
  <si>
    <t>Kayari</t>
  </si>
  <si>
    <t>Carnation</t>
  </si>
  <si>
    <t>คาราบาว</t>
  </si>
  <si>
    <t>Carabao</t>
  </si>
  <si>
    <t>คาราบาวแดง</t>
  </si>
  <si>
    <t>Carabao Dang</t>
  </si>
  <si>
    <t>คาโรไลน์</t>
  </si>
  <si>
    <t>Caroline</t>
  </si>
  <si>
    <t>คาสิโอ</t>
  </si>
  <si>
    <t>CASIO</t>
  </si>
  <si>
    <t>Kikkoman</t>
  </si>
  <si>
    <t>คิง</t>
  </si>
  <si>
    <t>King</t>
  </si>
  <si>
    <t>คิงส์สเตลล่า</t>
  </si>
  <si>
    <t>Kingstella</t>
  </si>
  <si>
    <t>คิทแคท</t>
  </si>
  <si>
    <t>Kitkat</t>
  </si>
  <si>
    <t>คิวบิซ</t>
  </si>
  <si>
    <t>Q-BIZ</t>
  </si>
  <si>
    <t>Kewpie</t>
  </si>
  <si>
    <t>คูลพลัส</t>
  </si>
  <si>
    <t>Kool Plus</t>
  </si>
  <si>
    <t>เคลล็อกส์</t>
  </si>
  <si>
    <t>kellogg's</t>
  </si>
  <si>
    <t>เคลล็อกส์คอร์นเฟลกส์</t>
  </si>
  <si>
    <t>Kellogg's Corn Flakes</t>
  </si>
  <si>
    <t>เคลล็อกส์ฟรอสตี้</t>
  </si>
  <si>
    <t>Kellogg's Frosties</t>
  </si>
  <si>
    <t>เคลียร์</t>
  </si>
  <si>
    <t>Clear</t>
  </si>
  <si>
    <t>เควกเกอร์</t>
  </si>
  <si>
    <t>เคเอ</t>
  </si>
  <si>
    <t>KA</t>
  </si>
  <si>
    <t>K&amp;N</t>
  </si>
  <si>
    <t>แคนนอน</t>
  </si>
  <si>
    <t>แคมเบลล์</t>
  </si>
  <si>
    <t>แคมปัส</t>
  </si>
  <si>
    <t>Campus</t>
  </si>
  <si>
    <t>แคร์</t>
  </si>
  <si>
    <t>Care</t>
  </si>
  <si>
    <t>แคริ่งคอนทัวร์</t>
  </si>
  <si>
    <t>Caring Contour</t>
  </si>
  <si>
    <t>Coca-Cola</t>
  </si>
  <si>
    <t>โคโดโม</t>
  </si>
  <si>
    <t>Kodomo</t>
  </si>
  <si>
    <t>โคฟี่</t>
  </si>
  <si>
    <t>Cofe</t>
  </si>
  <si>
    <t>โคฟี่ทีเฟส</t>
  </si>
  <si>
    <t>Cofe Teafes</t>
  </si>
  <si>
    <t>โคอะลามาร์ช</t>
  </si>
  <si>
    <t>ง่วนเชียง</t>
  </si>
  <si>
    <t>Nguan Chiang</t>
  </si>
  <si>
    <t>งูเซนลุกซ์</t>
  </si>
  <si>
    <t>Rocket</t>
  </si>
  <si>
    <t>Crocodile</t>
  </si>
  <si>
    <t>จริงใจ</t>
  </si>
  <si>
    <t>Jingjai</t>
  </si>
  <si>
    <t>จอห์นสัน</t>
  </si>
  <si>
    <t>จอห์นสันเบบี้บาธมิลค์</t>
  </si>
  <si>
    <t>จับใจ</t>
  </si>
  <si>
    <t>Jub Jai</t>
  </si>
  <si>
    <t>จายา</t>
  </si>
  <si>
    <t>Jaya</t>
  </si>
  <si>
    <t>จินเจน</t>
  </si>
  <si>
    <t>จิฟ</t>
  </si>
  <si>
    <t>Jif</t>
  </si>
  <si>
    <t>จีพีแบตเตอรี่</t>
  </si>
  <si>
    <t>GP Batteries</t>
  </si>
  <si>
    <t>จีเอสบี</t>
  </si>
  <si>
    <t>GSP</t>
  </si>
  <si>
    <t>GSB</t>
  </si>
  <si>
    <t>จูนิเปอร์</t>
  </si>
  <si>
    <t>Juniper</t>
  </si>
  <si>
    <t>Jade Dragon</t>
  </si>
  <si>
    <t>เจดีย์คู่</t>
  </si>
  <si>
    <t>Double Pagoda</t>
  </si>
  <si>
    <t>เจพีเอ็ม</t>
  </si>
  <si>
    <t>JPM</t>
  </si>
  <si>
    <t>เจเล่บิวตี้</t>
  </si>
  <si>
    <t>เจอร์เก้นส์</t>
  </si>
  <si>
    <t>Jergens</t>
  </si>
  <si>
    <t>เจอร์ไฮ</t>
  </si>
  <si>
    <t>แจ็กซ์</t>
  </si>
  <si>
    <t>Jacks</t>
  </si>
  <si>
    <t>ฉลากเงิน</t>
  </si>
  <si>
    <t>ฉลามขาว</t>
  </si>
  <si>
    <t>White Shark</t>
  </si>
  <si>
    <t>Royal Umbrella</t>
  </si>
  <si>
    <t>ฉัตรอรุณ</t>
  </si>
  <si>
    <t>Chataron</t>
  </si>
  <si>
    <t>ฉั่วฮะเส็ง</t>
  </si>
  <si>
    <t>Chua Ha Seng</t>
  </si>
  <si>
    <t>ชบา</t>
  </si>
  <si>
    <t>Chabaa</t>
  </si>
  <si>
    <t>ชวาร์ฟคอร์ฟเฟรชไลท์</t>
  </si>
  <si>
    <t>Schwarzkopf Fresh Light</t>
  </si>
  <si>
    <t>ชวาร์สคอฟพาเลตต์</t>
  </si>
  <si>
    <t>Schwarzkopf Palette</t>
  </si>
  <si>
    <t>ชเวปส์</t>
  </si>
  <si>
    <t>Schweppes</t>
  </si>
  <si>
    <t>ช้าง</t>
  </si>
  <si>
    <t>Chang</t>
  </si>
  <si>
    <t>ช้างเวป</t>
  </si>
  <si>
    <t>Chang Vape</t>
  </si>
  <si>
    <t>Sharp</t>
  </si>
  <si>
    <t>ชาวเกาะ</t>
  </si>
  <si>
    <t>Chaokoh</t>
  </si>
  <si>
    <t>ชาวนาไทย</t>
  </si>
  <si>
    <t>Thai Farmer</t>
  </si>
  <si>
    <t>เชนไดร้ท์</t>
  </si>
  <si>
    <t>เชนไดร้ท์1</t>
  </si>
  <si>
    <t>เชสเดล</t>
  </si>
  <si>
    <t>Chesdale</t>
  </si>
  <si>
    <t>Champion</t>
  </si>
  <si>
    <t>Choki Choki</t>
  </si>
  <si>
    <t>โชกุบุซึ</t>
  </si>
  <si>
    <t>Shokubutsu</t>
  </si>
  <si>
    <t>Soffel</t>
  </si>
  <si>
    <t>ซอลส์</t>
  </si>
  <si>
    <t>ซอลส์เฟรช</t>
  </si>
  <si>
    <t>Salz Fresh</t>
  </si>
  <si>
    <t>CSC</t>
  </si>
  <si>
    <t>ซันซิล</t>
  </si>
  <si>
    <t>Sunsilk</t>
  </si>
  <si>
    <t>ซันเด้นอินเตอร์คูล</t>
  </si>
  <si>
    <t>Sanden Intercool</t>
  </si>
  <si>
    <t>Sunny</t>
  </si>
  <si>
    <t>ซันเบลส</t>
  </si>
  <si>
    <t>Sun Bless</t>
  </si>
  <si>
    <t>Sunlight</t>
  </si>
  <si>
    <t>ซันสแนค</t>
  </si>
  <si>
    <t>Sunsnack</t>
  </si>
  <si>
    <t>ซันสแนคแซ่บ</t>
  </si>
  <si>
    <t>Samsung</t>
  </si>
  <si>
    <t>ซากุระ</t>
  </si>
  <si>
    <t>ซาติน</t>
  </si>
  <si>
    <t>ซานเบเนเดตโต</t>
  </si>
  <si>
    <t>San Benedetto</t>
  </si>
  <si>
    <t>ซาลิมิ</t>
  </si>
  <si>
    <t>Salimi</t>
  </si>
  <si>
    <t>ซิตร้า</t>
  </si>
  <si>
    <t>Citra</t>
  </si>
  <si>
    <t>ซิตร้าเบอรรี่ไวท์</t>
  </si>
  <si>
    <t>Citra Berry White</t>
  </si>
  <si>
    <t>ซิตร้าเพิร์ลลี่ไวท์ยูวีนูทริ-เซรั่ม</t>
  </si>
  <si>
    <t>Citra Pearly White UV Nutri-Serum</t>
  </si>
  <si>
    <t>ซิลค์คอตตอน</t>
  </si>
  <si>
    <t>ซิลค์จัมโบ้</t>
  </si>
  <si>
    <t>Zilk Jumbo</t>
  </si>
  <si>
    <t>Seagull</t>
  </si>
  <si>
    <t>ซีคราวน์</t>
  </si>
  <si>
    <t>ซีซาร์</t>
  </si>
  <si>
    <t>ซีพี</t>
  </si>
  <si>
    <t>CP</t>
  </si>
  <si>
    <t>ซีมอน</t>
  </si>
  <si>
    <t>Semon</t>
  </si>
  <si>
    <t>ซีเล็ค</t>
  </si>
  <si>
    <t>Sealect</t>
  </si>
  <si>
    <t>ซุปเปอร์ซีเรียล</t>
  </si>
  <si>
    <t>Super Cereal</t>
  </si>
  <si>
    <t>ซุเปอร์เซฟ</t>
  </si>
  <si>
    <t>Superchef</t>
  </si>
  <si>
    <t>ซูกัส</t>
  </si>
  <si>
    <t>ซูเปอร์เซฟ</t>
  </si>
  <si>
    <t>เซ็นโซดายน์</t>
  </si>
  <si>
    <t>Sensodyne</t>
  </si>
  <si>
    <t>เซ็นโซดายน์มัลติแคร์</t>
  </si>
  <si>
    <t>Sensodyne Multi Care</t>
  </si>
  <si>
    <t>เซนด์แอนดรูว์</t>
  </si>
  <si>
    <t>เซ็ปเป้บิวติดริ้งค์</t>
  </si>
  <si>
    <t>Sappé Beauti Drink</t>
  </si>
  <si>
    <t>เซ็ปเป้อโลเวร่าดริ้งค์</t>
  </si>
  <si>
    <t>Sappé Aloe Vera Drink</t>
  </si>
  <si>
    <t>Savepak</t>
  </si>
  <si>
    <t>เซเว่นอัพ</t>
  </si>
  <si>
    <t>เซอร์เทนตี้</t>
  </si>
  <si>
    <t>Certainty</t>
  </si>
  <si>
    <t>Certainty Super Pants</t>
  </si>
  <si>
    <t>เซอร์เทนตี้เดย์แพ้นส์</t>
  </si>
  <si>
    <t>Certainty DayPants</t>
  </si>
  <si>
    <t>เซียงไฮ</t>
  </si>
  <si>
    <t>Sanghai</t>
  </si>
  <si>
    <t>แซม-บัค</t>
  </si>
  <si>
    <t>Zam-Buk</t>
  </si>
  <si>
    <t>โซฟี</t>
  </si>
  <si>
    <t>Sofy</t>
  </si>
  <si>
    <t>Sofy Compact Slim</t>
  </si>
  <si>
    <t>โซฟีแอร์ฟิตคูลลิ่งเฟรช</t>
  </si>
  <si>
    <t>Sofy Air Fit Cooling Fresh</t>
  </si>
  <si>
    <t>โซฟีแอร์ฟิตคูลลิ่งเฟรชซูเปอร์แอ็กทิฟสลิม</t>
  </si>
  <si>
    <t>Sofy AirFit Cooling Fresh Super Active Slim</t>
  </si>
  <si>
    <t>โซฟีแอร์ฟิตซูเปอร์แอ็กทิฟสลิม</t>
  </si>
  <si>
    <t>Sofy AirFit Super Active Slim</t>
  </si>
  <si>
    <t>Sole café</t>
  </si>
  <si>
    <t>โซเล่คาเฟ่แบล็ค</t>
  </si>
  <si>
    <t>Sole Café Black</t>
  </si>
  <si>
    <t>ไซออสรีแพร์โททอลรีนิว</t>
  </si>
  <si>
    <t>Syoss Repair Total Renew</t>
  </si>
  <si>
    <t>ดร.มนตรี</t>
  </si>
  <si>
    <t>Dr. Montri</t>
  </si>
  <si>
    <t>ดราก้อนทังค์</t>
  </si>
  <si>
    <t>ดอกบัว</t>
  </si>
  <si>
    <t>Dorkbua</t>
  </si>
  <si>
    <t>ดอกบัวคู่</t>
  </si>
  <si>
    <t>Dok Bua Ku/Twin Lotus</t>
  </si>
  <si>
    <t>Twin Lotus</t>
  </si>
  <si>
    <t>ดอยคำ</t>
  </si>
  <si>
    <t>DOI KHAM</t>
  </si>
  <si>
    <t>ดัชชี่</t>
  </si>
  <si>
    <t>Dutchie</t>
  </si>
  <si>
    <t>ดัชมิลค์</t>
  </si>
  <si>
    <t>Dutchmill</t>
  </si>
  <si>
    <t>ดัชมิลล์4อิน1</t>
  </si>
  <si>
    <t>Dutch Mill 4in1</t>
  </si>
  <si>
    <t>ดัชมิลล์คิดส์</t>
  </si>
  <si>
    <t>Dutch Mill Kids</t>
  </si>
  <si>
    <t>ดัชมิลล์ซีเล็คเต็ด</t>
  </si>
  <si>
    <t>Dutch Mill Selected</t>
  </si>
  <si>
    <t>ดับเบิ้ลเอ</t>
  </si>
  <si>
    <t>Double A</t>
  </si>
  <si>
    <t>ดาต้า</t>
  </si>
  <si>
    <t>Data</t>
  </si>
  <si>
    <t>ดาร์ลี่</t>
  </si>
  <si>
    <t>Darlie</t>
  </si>
  <si>
    <t>ดาร์ลี่เกลือถ่านชาร์โคลไวท์เทนนิ่ง</t>
  </si>
  <si>
    <t>Darlie Salt Charcoal Whitening</t>
  </si>
  <si>
    <t>ดาร์ลี่เกลือเฟรช</t>
  </si>
  <si>
    <t>ดาร์ลี่ดับเบิ้ลแอคชั่น</t>
  </si>
  <si>
    <t>Darlie Double Action</t>
  </si>
  <si>
    <t>ดาร์ลี่ออลล์ชายนี่ไวท์เลมอนมินต์</t>
  </si>
  <si>
    <t>Darlie All Shiny White Lemon Mint</t>
  </si>
  <si>
    <t>ดาวน์นี่</t>
  </si>
  <si>
    <t>Downy</t>
  </si>
  <si>
    <t>ดาวน์นี่ซันไรซ์เฟรช</t>
  </si>
  <si>
    <t>Downy Sunrise Fresh</t>
  </si>
  <si>
    <t>ดาวน์นี่แดร์ริ่ง</t>
  </si>
  <si>
    <t>Downy Daring</t>
  </si>
  <si>
    <t>ดาวน์นี่มีสทีค</t>
  </si>
  <si>
    <t>Dcash</t>
  </si>
  <si>
    <t>ดีโด้</t>
  </si>
  <si>
    <t>DeeDo</t>
  </si>
  <si>
    <t>Dena</t>
  </si>
  <si>
    <t>ดูเม็กซ์ดูโกรซูเปอร์มิกซ์</t>
  </si>
  <si>
    <t>Dumex Dugro Supermix</t>
  </si>
  <si>
    <t>ดูเม็กซ์ดูมิลค์3ฅอมพลีตแฅร์</t>
  </si>
  <si>
    <t>Dumex Dumilk 3 Komplete Kare</t>
  </si>
  <si>
    <t>Healthy Boy</t>
  </si>
  <si>
    <t>Deksomboon</t>
  </si>
  <si>
    <t>Dentyne</t>
  </si>
  <si>
    <t>เดลี่เฟรช</t>
  </si>
  <si>
    <t>Daily Fresh</t>
  </si>
  <si>
    <t>เดอะคูล</t>
  </si>
  <si>
    <t>The Cool</t>
  </si>
  <si>
    <t>แดรี่วิป</t>
  </si>
  <si>
    <t>Dairy Whip</t>
  </si>
  <si>
    <t>โดโซะ</t>
  </si>
  <si>
    <t>Dozo</t>
  </si>
  <si>
    <t>โดฟ</t>
  </si>
  <si>
    <t>Dove</t>
  </si>
  <si>
    <t>ไดมารู</t>
  </si>
  <si>
    <t>Daimaru</t>
  </si>
  <si>
    <t>Ton-Son</t>
  </si>
  <si>
    <t>ตราเกษตร</t>
  </si>
  <si>
    <t>ตรางูปริกลี่ฮีท</t>
  </si>
  <si>
    <t>Snake Brand Prickly Heat</t>
  </si>
  <si>
    <t>ตราจระเข้</t>
  </si>
  <si>
    <t>ตราจริงใจ</t>
  </si>
  <si>
    <t>ตราช้าง</t>
  </si>
  <si>
    <t>Elephant Brand</t>
  </si>
  <si>
    <t>ตราปลาไทย5ดาว</t>
  </si>
  <si>
    <t>ตราปลาหมึก</t>
  </si>
  <si>
    <t>ตราม้า</t>
  </si>
  <si>
    <t>Horse</t>
  </si>
  <si>
    <t>ตราหมี</t>
  </si>
  <si>
    <t>ตราหมีโกลด์ไวท์มอลต์</t>
  </si>
  <si>
    <t>Bear Brand Gold White Malt</t>
  </si>
  <si>
    <t>ตราหมีแอดวานซ์โพรเท็กซ์ชันพลัส</t>
  </si>
  <si>
    <t>Bear Brand Advance Protextion Plus</t>
  </si>
  <si>
    <t>ตราหอยหลอด</t>
  </si>
  <si>
    <t>Razor Clam</t>
  </si>
  <si>
    <t>ตะวัน</t>
  </si>
  <si>
    <t>Tawan</t>
  </si>
  <si>
    <t>ตูมตาม</t>
  </si>
  <si>
    <t>Toshiba</t>
  </si>
  <si>
    <t>โตฟู</t>
  </si>
  <si>
    <t>Tofu</t>
  </si>
  <si>
    <t>เถ้าแก่น้อย</t>
  </si>
  <si>
    <t>Taokaenoi</t>
  </si>
  <si>
    <t>ทรอส</t>
  </si>
  <si>
    <t>Tros</t>
  </si>
  <si>
    <t>ทรูสเลนซูคาโรส</t>
  </si>
  <si>
    <t>Truslen Sucralose</t>
  </si>
  <si>
    <t>ทวิสคอร์นใจแอนท์</t>
  </si>
  <si>
    <t>Twist Corn Giant</t>
  </si>
  <si>
    <t>ทเวลฟ์พลัส</t>
  </si>
  <si>
    <t>12 PLUS</t>
  </si>
  <si>
    <t>ทองการ์เด้น</t>
  </si>
  <si>
    <t>Tong garden</t>
  </si>
  <si>
    <t>ทับทิม</t>
  </si>
  <si>
    <t>ทาคูมิอายิ</t>
  </si>
  <si>
    <t>Takumi Aji</t>
  </si>
  <si>
    <t>ทาบาสโก้</t>
  </si>
  <si>
    <t>Tabasco</t>
  </si>
  <si>
    <t>ทาโร่</t>
  </si>
  <si>
    <t>Taro</t>
  </si>
  <si>
    <t>ทิปโก้</t>
  </si>
  <si>
    <t>Tipco</t>
  </si>
  <si>
    <t>ทิปโก้สควีซ</t>
  </si>
  <si>
    <t>Tipco Squeeze</t>
  </si>
  <si>
    <t>ทิวลิป</t>
  </si>
  <si>
    <t>Tulip</t>
  </si>
  <si>
    <t>ทีจีเอ็ม</t>
  </si>
  <si>
    <t>TGM</t>
  </si>
  <si>
    <t>ทีซีบี</t>
  </si>
  <si>
    <t>TCB</t>
  </si>
  <si>
    <t>ทีซีแอล</t>
  </si>
  <si>
    <t>TCL</t>
  </si>
  <si>
    <t>ทีพอท</t>
  </si>
  <si>
    <t>Tea Pot</t>
  </si>
  <si>
    <t>ทีพอทเอ็กซ์ตร้า</t>
  </si>
  <si>
    <t>Teapot Extra</t>
  </si>
  <si>
    <t>เทนโซพล๊าส</t>
  </si>
  <si>
    <t>Tensoplast</t>
  </si>
  <si>
    <t>เทนเดอร์</t>
  </si>
  <si>
    <t>Tendre</t>
  </si>
  <si>
    <t>เทรซาเม่เคราตินสมูท</t>
  </si>
  <si>
    <t>Tresemmé Keratin Smooth</t>
  </si>
  <si>
    <t>เทสโต</t>
  </si>
  <si>
    <t>เทสโตวาฟเฟิล</t>
  </si>
  <si>
    <t>Tasto</t>
  </si>
  <si>
    <t>ไทเกอร์พล๊าส</t>
  </si>
  <si>
    <t>Tigerplast</t>
  </si>
  <si>
    <t>Thai-Denmark</t>
  </si>
  <si>
    <t>ไทยชูรสตราชฎา</t>
  </si>
  <si>
    <t>Thai Churos TraChada</t>
  </si>
  <si>
    <t>ไทยรวงขวัญ</t>
  </si>
  <si>
    <t>ไทโย</t>
  </si>
  <si>
    <t>Taiyo</t>
  </si>
  <si>
    <t>นกแก้ว</t>
  </si>
  <si>
    <t>Parrot</t>
  </si>
  <si>
    <t>นกนางนวล</t>
  </si>
  <si>
    <t>นกพิราบคู่</t>
  </si>
  <si>
    <t>นกเหยี่ยว</t>
  </si>
  <si>
    <t>Falcon</t>
  </si>
  <si>
    <t>นกเหยื่ยวฟอลคอล</t>
  </si>
  <si>
    <t>นอติลุส</t>
  </si>
  <si>
    <t>Nautilus</t>
  </si>
  <si>
    <t>นอติลุสไลท์</t>
  </si>
  <si>
    <t>Nautilus Lite</t>
  </si>
  <si>
    <t>นันตา</t>
  </si>
  <si>
    <t>Nanta</t>
  </si>
  <si>
    <t>นากาโน</t>
  </si>
  <si>
    <t>Nakano</t>
  </si>
  <si>
    <t>นาทรีฟบีบียูวีพาวเดอร์</t>
  </si>
  <si>
    <t>นาโน</t>
  </si>
  <si>
    <t>Nano</t>
  </si>
  <si>
    <t>น้ำพุ</t>
  </si>
  <si>
    <t>Numpu</t>
  </si>
  <si>
    <t>นิชชินหมีพู</t>
  </si>
  <si>
    <t>Nissin</t>
  </si>
  <si>
    <t>นิสชินคัพนูดเดิล</t>
  </si>
  <si>
    <t>Nissin Cup Noodles</t>
  </si>
  <si>
    <t>นีเวีย</t>
  </si>
  <si>
    <t>Nivea</t>
  </si>
  <si>
    <t>นีเวียเพิร์ลแอนด์บิวตี้</t>
  </si>
  <si>
    <t>Nivea Pearl &amp; Beauty</t>
  </si>
  <si>
    <t>นีเวียเมนแบล็คแอนด์ไวท์</t>
  </si>
  <si>
    <t>นีเวียเมนอินวิซิเบิ้ลฟอร์แบล็คแอนด์ไวท์</t>
  </si>
  <si>
    <t>นีเวียไวท์แอคเน่มัดโฟมฟอร์เมน</t>
  </si>
  <si>
    <t>นีเวียเอ็กซ์ตร้าไวท์</t>
  </si>
  <si>
    <t>Nivea Extra White</t>
  </si>
  <si>
    <t>นีเวียเอ็กซ์ตร้าไวท์เทนนิ่ง</t>
  </si>
  <si>
    <t>Nivea Extra Whitening</t>
  </si>
  <si>
    <t>นีโอแคล</t>
  </si>
  <si>
    <t>Neocal</t>
  </si>
  <si>
    <t>Nooddy</t>
  </si>
  <si>
    <t>เน็กซ์แคร์</t>
  </si>
  <si>
    <t>Nexcare</t>
  </si>
  <si>
    <t>เนปจูน</t>
  </si>
  <si>
    <t>Neptune</t>
  </si>
  <si>
    <t>เนสกาแฟ</t>
  </si>
  <si>
    <t>Nescafe</t>
  </si>
  <si>
    <t>เนสกาแฟ3อิน1เบลนด์แอนด์บรู</t>
  </si>
  <si>
    <t>เนสกาแฟโกลด์</t>
  </si>
  <si>
    <t>Nescafe red cup</t>
  </si>
  <si>
    <t>เนสกาแฟไอซ์คาเฟ่สไตล์</t>
  </si>
  <si>
    <t>Nescafe Ice Café Style</t>
  </si>
  <si>
    <t>Nestea</t>
  </si>
  <si>
    <t>เนสท์เล่</t>
  </si>
  <si>
    <t>Nestle</t>
  </si>
  <si>
    <t>เนสท์เล่โกโก้ครั้นช์</t>
  </si>
  <si>
    <t>Nestle Koko Krunch</t>
  </si>
  <si>
    <t>เนสท์เล่ครีมาท็อป</t>
  </si>
  <si>
    <t>เนสท์เล่คอฟฟีเมต</t>
  </si>
  <si>
    <t>เนสท์เล่คอร์นเฟลกส์</t>
  </si>
  <si>
    <t>เนสท์เล่คาร์เนชันวันพลัสพลัสสมาร์ทโก</t>
  </si>
  <si>
    <t>เนสท์เล่ซีรีแล็คผสมนม</t>
  </si>
  <si>
    <t>เนสที</t>
  </si>
  <si>
    <t>Nesvita</t>
  </si>
  <si>
    <t>Breeze</t>
  </si>
  <si>
    <t>บรีสเพาเวอร์เทอร์โบ</t>
  </si>
  <si>
    <t>บรีสเอกเซล</t>
  </si>
  <si>
    <t>Breeze Excel</t>
  </si>
  <si>
    <t>บรีสเอกเซลคอมฟอร์ท</t>
  </si>
  <si>
    <t>Brezze excel Comfort</t>
  </si>
  <si>
    <t>บรีสเอกเซลลิควิดคอมฟอร์ท</t>
  </si>
  <si>
    <t>บอนโอบอน</t>
  </si>
  <si>
    <t>Bon o Bon</t>
  </si>
  <si>
    <t>บันบัน</t>
  </si>
  <si>
    <t>บัลแกเรีย</t>
  </si>
  <si>
    <t>Bulgaria</t>
  </si>
  <si>
    <t>บัวชมพู</t>
  </si>
  <si>
    <t>Bua Chomphu</t>
  </si>
  <si>
    <t>บ้านไผ่</t>
  </si>
  <si>
    <t>Ban Pai</t>
  </si>
  <si>
    <t>บิ๊กโวลต์</t>
  </si>
  <si>
    <t>Big Volt</t>
  </si>
  <si>
    <t>บิสชิน</t>
  </si>
  <si>
    <t>Bissin</t>
  </si>
  <si>
    <t>บิโอเร</t>
  </si>
  <si>
    <t>Bioré</t>
  </si>
  <si>
    <t>บิโอเรยูวีอควาริชไวท์เทนนิ่ง</t>
  </si>
  <si>
    <t>Biore UV Aqua Rich Whitening</t>
  </si>
  <si>
    <t>บิโอเรยูวีแอนตี้โพลูชั่นบอดี้แคร์เซรั่ม</t>
  </si>
  <si>
    <t>Biore UV Anti-Pollution Body Care Serum</t>
  </si>
  <si>
    <t>บีเคพี</t>
  </si>
  <si>
    <t>BKP</t>
  </si>
  <si>
    <t>บีทาเก้น</t>
  </si>
  <si>
    <t>Betagen</t>
  </si>
  <si>
    <t>บีทาเก้นไลท์</t>
  </si>
  <si>
    <t>Betagen Light</t>
  </si>
  <si>
    <t>บีแมน</t>
  </si>
  <si>
    <t>บีเอ็มพี</t>
  </si>
  <si>
    <t>BMP</t>
  </si>
  <si>
    <t>บีโอเรเซรั่มยูวีบอดี้ไวท์</t>
  </si>
  <si>
    <t>Biore Serum Uv Body White</t>
  </si>
  <si>
    <t>เบงเบง</t>
  </si>
  <si>
    <t>Beng Beng</t>
  </si>
  <si>
    <t>เบญจรงค์</t>
  </si>
  <si>
    <t>Benjarong Rice</t>
  </si>
  <si>
    <t>เบทาโกร</t>
  </si>
  <si>
    <t>Betagro</t>
  </si>
  <si>
    <t>เบนโตะ</t>
  </si>
  <si>
    <t>Bento</t>
  </si>
  <si>
    <t>เบบี้มายด์</t>
  </si>
  <si>
    <t>Babi mild</t>
  </si>
  <si>
    <t>เบบี้มายด์สวีทตี้พิ้งค์พลัส</t>
  </si>
  <si>
    <t>Babi Mild Sweety Pink Plus</t>
  </si>
  <si>
    <t>เบบี้มายด์อัลตร้ามายด์</t>
  </si>
  <si>
    <t>Babi Mild Ultra Mild</t>
  </si>
  <si>
    <t>เบบี้เลิฟเดย์แพ้นท์</t>
  </si>
  <si>
    <t>Baby Love DayPants</t>
  </si>
  <si>
    <t>Best Foods</t>
  </si>
  <si>
    <t>เบอร์ดี้</t>
  </si>
  <si>
    <t>Birdy</t>
  </si>
  <si>
    <t>เบอร์ดี้โรบัสต้า</t>
  </si>
  <si>
    <t>Birdwings</t>
  </si>
  <si>
    <t>แบรนด์</t>
  </si>
  <si>
    <t>Brand's</t>
  </si>
  <si>
    <t>แบรนด์เจนยู</t>
  </si>
  <si>
    <t>แบรนด์วีต้า</t>
  </si>
  <si>
    <t>Brand's Vita</t>
  </si>
  <si>
    <t>แบรนด์วีไลค์</t>
  </si>
  <si>
    <t>Brand's We-Like</t>
  </si>
  <si>
    <t>Bonus</t>
  </si>
  <si>
    <t>ไบกอน</t>
  </si>
  <si>
    <t>Baygon</t>
  </si>
  <si>
    <t>ไบเล่</t>
  </si>
  <si>
    <t>Bireley's</t>
  </si>
  <si>
    <t>ไบโอเซฟตี้</t>
  </si>
  <si>
    <t>ไบโอเซฟตี้เพอร์เฟคคลีน</t>
  </si>
  <si>
    <t>Biosafety Perfect Clean</t>
  </si>
  <si>
    <t>ไบโอเซฟตี้สมายล์</t>
  </si>
  <si>
    <t>Biosafety Smile</t>
  </si>
  <si>
    <t>ปลาทอง</t>
  </si>
  <si>
    <t>Gold Fish</t>
  </si>
  <si>
    <t>ป๊อป</t>
  </si>
  <si>
    <t>Pop</t>
  </si>
  <si>
    <t>ป๊อปเอ็กซ์เพรส</t>
  </si>
  <si>
    <t>Pop Express</t>
  </si>
  <si>
    <t>ปาปริก้า</t>
  </si>
  <si>
    <t>Paprika</t>
  </si>
  <si>
    <t>ปาร์ตี้</t>
  </si>
  <si>
    <t>Party</t>
  </si>
  <si>
    <t>ปาร์ตี้ครองแครง</t>
  </si>
  <si>
    <t>Party Krongkrang</t>
  </si>
  <si>
    <t>ปาร์ตี้ดอรี่</t>
  </si>
  <si>
    <t>ปาร์ตี้มิกซ์</t>
  </si>
  <si>
    <t>Partty Mix</t>
  </si>
  <si>
    <t>ปิ่นเงิน</t>
  </si>
  <si>
    <t>Pin Ngoen</t>
  </si>
  <si>
    <t>ปีโป้</t>
  </si>
  <si>
    <t>PIPO</t>
  </si>
  <si>
    <t>ปุ้มปุ้ย</t>
  </si>
  <si>
    <t>Pumpui</t>
  </si>
  <si>
    <t>ปูไทย</t>
  </si>
  <si>
    <t>PuThai</t>
  </si>
  <si>
    <t>เป็ด</t>
  </si>
  <si>
    <t>Duck</t>
  </si>
  <si>
    <t>เป็ดโปร</t>
  </si>
  <si>
    <t>DuckPro</t>
  </si>
  <si>
    <t>Duck Mr.MusclePro</t>
  </si>
  <si>
    <t>Pepsi</t>
  </si>
  <si>
    <t>เปเปอร์เมท</t>
  </si>
  <si>
    <t>Paper Mate</t>
  </si>
  <si>
    <t>เปรียว</t>
  </si>
  <si>
    <t>เปรียวฟูดส์</t>
  </si>
  <si>
    <t>เปอริเอ้</t>
  </si>
  <si>
    <t>Perrier</t>
  </si>
  <si>
    <t>เปาซอฟท์นาโนเทค</t>
  </si>
  <si>
    <t>Pao Soft Nano Tech</t>
  </si>
  <si>
    <t>เปาซิลเวอร์นาโน</t>
  </si>
  <si>
    <t>Pao Silver Nano</t>
  </si>
  <si>
    <t>เปาวินวอช</t>
  </si>
  <si>
    <t>Pao Win Wash</t>
  </si>
  <si>
    <t>เปาวินวอชซอฟท์</t>
  </si>
  <si>
    <t>Pao Win Wash Soft</t>
  </si>
  <si>
    <t>เปาไวท์นาโนเทค</t>
  </si>
  <si>
    <t>โปรชีสเชดด้า</t>
  </si>
  <si>
    <t>โปรเทค</t>
  </si>
  <si>
    <t>โปรโปรเฟสชั่นแนล</t>
  </si>
  <si>
    <t>Pro Professional</t>
  </si>
  <si>
    <t>ผึ้งหลวง</t>
  </si>
  <si>
    <t>Phueng Luang</t>
  </si>
  <si>
    <t>ไผ่แดง</t>
  </si>
  <si>
    <t>พรวิภา</t>
  </si>
  <si>
    <t>Pornvipa</t>
  </si>
  <si>
    <t>พริงเกิลส์</t>
  </si>
  <si>
    <t>Pringles</t>
  </si>
  <si>
    <t>พรีโก้</t>
  </si>
  <si>
    <t>Prego</t>
  </si>
  <si>
    <t>พอนด์ไวท์บิวตี้</t>
  </si>
  <si>
    <t>พอนลีน</t>
  </si>
  <si>
    <t>Pauly</t>
  </si>
  <si>
    <t>พันดี</t>
  </si>
  <si>
    <t>Pun Dee</t>
  </si>
  <si>
    <t>พันท้ายนรสิงห์</t>
  </si>
  <si>
    <t>พาชิโอ</t>
  </si>
  <si>
    <t>Paseo</t>
  </si>
  <si>
    <t>Panasonic</t>
  </si>
  <si>
    <t>พาราแคพ</t>
  </si>
  <si>
    <t>Paracap</t>
  </si>
  <si>
    <t>พาสควาล</t>
  </si>
  <si>
    <t>Pascual</t>
  </si>
  <si>
    <t>พินน์</t>
  </si>
  <si>
    <t>Pinn</t>
  </si>
  <si>
    <t>พีเดียชัวร์คอมพลีท</t>
  </si>
  <si>
    <t>Pediasure Complete</t>
  </si>
  <si>
    <t>พีอาร์</t>
  </si>
  <si>
    <t>พีเอฟพี</t>
  </si>
  <si>
    <t>PFP</t>
  </si>
  <si>
    <t>พีแอนด์พี</t>
  </si>
  <si>
    <t>P&amp;P</t>
  </si>
  <si>
    <t>เพดดิกรี</t>
  </si>
  <si>
    <t>Pedigree</t>
  </si>
  <si>
    <t>เพดดิกรีเดนต้าสติก</t>
  </si>
  <si>
    <t>เพ็ทส์เฟรนด์</t>
  </si>
  <si>
    <t>Petz Friend</t>
  </si>
  <si>
    <t>เพรียวคอฟฟี่</t>
  </si>
  <si>
    <t>Preaw Coffee</t>
  </si>
  <si>
    <t>เพอร์เฟคอิตาเลียโน</t>
  </si>
  <si>
    <t>Perfect Italiano</t>
  </si>
  <si>
    <t>เพียวริคุ</t>
  </si>
  <si>
    <t>Puriku</t>
  </si>
  <si>
    <t>เพียวริน่าฟริสกี้ส์</t>
  </si>
  <si>
    <t>Purina Friskies</t>
  </si>
  <si>
    <t>แพนทีน</t>
  </si>
  <si>
    <t>โพรเทค</t>
  </si>
  <si>
    <t>โพรเทคส์</t>
  </si>
  <si>
    <t>Protex</t>
  </si>
  <si>
    <t>โพรเทคส์พรอพโพลิส</t>
  </si>
  <si>
    <t>Protex Propolis</t>
  </si>
  <si>
    <t>โพรเทคส์พิงค์คูล</t>
  </si>
  <si>
    <t>โพรเทคส์เฟรช</t>
  </si>
  <si>
    <t>โพรเทคส์สปอร์ต</t>
  </si>
  <si>
    <t>โพรเทคส์ไอซ์ซี่คูล</t>
  </si>
  <si>
    <t>Protex Icy Cool</t>
  </si>
  <si>
    <t>โพลาริส</t>
  </si>
  <si>
    <t>Polaris</t>
  </si>
  <si>
    <t>โพลิเดนท์</t>
  </si>
  <si>
    <t>Polident</t>
  </si>
  <si>
    <t>ฟริสกี้ส์</t>
  </si>
  <si>
    <t>Friskies</t>
  </si>
  <si>
    <t>ฟลูโอคารีล</t>
  </si>
  <si>
    <t>Fluocarill</t>
  </si>
  <si>
    <t>ฟันโอ</t>
  </si>
  <si>
    <t>FUN-O</t>
  </si>
  <si>
    <t>Fa Thai</t>
  </si>
  <si>
    <t>ฟาร์เซ้นต์</t>
  </si>
  <si>
    <t>ฟาร์มฟริต</t>
  </si>
  <si>
    <t>Farm Frites</t>
  </si>
  <si>
    <t>ฟาวน์เท่น</t>
  </si>
  <si>
    <t>Fountain</t>
  </si>
  <si>
    <t>Fiji</t>
  </si>
  <si>
    <t>ฟิลิปส์</t>
  </si>
  <si>
    <t>Philips</t>
  </si>
  <si>
    <t>ฟูโด้</t>
  </si>
  <si>
    <t>Fudo</t>
  </si>
  <si>
    <t>เฟรชแอนด์ซอฟท์</t>
  </si>
  <si>
    <t>เฟสต้า</t>
  </si>
  <si>
    <t>Festa</t>
  </si>
  <si>
    <t>แฟ้บเมติก</t>
  </si>
  <si>
    <t>Fab Matic</t>
  </si>
  <si>
    <t>Faire Mix</t>
  </si>
  <si>
    <t>แฟร์ฮันนีมูนวาเลนไทม์</t>
  </si>
  <si>
    <t>Foremost</t>
  </si>
  <si>
    <t>โฟร์โมสต์โอเมก้า 3.6.9</t>
  </si>
  <si>
    <t>Foremost Omega 3.6.9</t>
  </si>
  <si>
    <t>โฟร์โมสต์โอเมก้าโกลด์</t>
  </si>
  <si>
    <t>Foremost Omega Gold</t>
  </si>
  <si>
    <t>ไฟน์ไลน์</t>
  </si>
  <si>
    <t>Fineline</t>
  </si>
  <si>
    <t>Golden Mountain</t>
  </si>
  <si>
    <t>เภสัช</t>
  </si>
  <si>
    <t>Bhaesaj</t>
  </si>
  <si>
    <t>มงกุฎทะเล</t>
  </si>
  <si>
    <t>Mongkut Talay</t>
  </si>
  <si>
    <t>มโนห์รา</t>
  </si>
  <si>
    <t>Manora</t>
  </si>
  <si>
    <t>Morakot</t>
  </si>
  <si>
    <t>มหามงคล</t>
  </si>
  <si>
    <t>Mahamongkol</t>
  </si>
  <si>
    <t>มอคโคน่า</t>
  </si>
  <si>
    <t>Moccona</t>
  </si>
  <si>
    <t>Moccona Trio</t>
  </si>
  <si>
    <t>mont fleur</t>
  </si>
  <si>
    <t>มอลคิสท์</t>
  </si>
  <si>
    <t>Malkist</t>
  </si>
  <si>
    <t>มะลิ</t>
  </si>
  <si>
    <t>Mali</t>
  </si>
  <si>
    <t>มะลิโกลด์</t>
  </si>
  <si>
    <t>Magiclean</t>
  </si>
  <si>
    <t>ม้าบิน</t>
  </si>
  <si>
    <t>Mabin</t>
  </si>
  <si>
    <t>มาม่า</t>
  </si>
  <si>
    <t>Mama</t>
  </si>
  <si>
    <t>มาม่าคัพ</t>
  </si>
  <si>
    <t>Mama Cup</t>
  </si>
  <si>
    <t>มาม่าบิ๊กแพค</t>
  </si>
  <si>
    <t>Mama Big Pack</t>
  </si>
  <si>
    <t>มามี่โพโคแพ้นท์</t>
  </si>
  <si>
    <t>Mamy Poko Pants</t>
  </si>
  <si>
    <t>มามี่โพโคแพ้นส์เอ็กตร้าซอฟท์</t>
  </si>
  <si>
    <t>Mamy Poko Pants Extra Soft</t>
  </si>
  <si>
    <t>มายมิ้นท์บอล</t>
  </si>
  <si>
    <t>Mymint Ball</t>
  </si>
  <si>
    <t>มาร์โก</t>
  </si>
  <si>
    <t>Marco</t>
  </si>
  <si>
    <t>มารุโกะ</t>
  </si>
  <si>
    <t>Malee</t>
  </si>
  <si>
    <t>มาลีทรอปิคอล</t>
  </si>
  <si>
    <t>มาสเตอร์คูลไอ-คูล</t>
  </si>
  <si>
    <t>MASTERKOOL I-KOOL</t>
  </si>
  <si>
    <t>มาสเตอร์อาร์ต</t>
  </si>
  <si>
    <t>Master Art</t>
  </si>
  <si>
    <t>มิตซูบิชิ</t>
  </si>
  <si>
    <t>Mitsubishi</t>
  </si>
  <si>
    <t>มิตรผล</t>
  </si>
  <si>
    <t>Mitr Phol</t>
  </si>
  <si>
    <t>มิตรผลโกลด์</t>
  </si>
  <si>
    <t>มินกวง</t>
  </si>
  <si>
    <t>Mingoa</t>
  </si>
  <si>
    <t>มิรินด้า</t>
  </si>
  <si>
    <t>Mirinda</t>
  </si>
  <si>
    <t>มิลแล็คโกลด์</t>
  </si>
  <si>
    <t>Millac Gold</t>
  </si>
  <si>
    <t>มิลแลคคุกกิ้ง</t>
  </si>
  <si>
    <t>Millac Cooking</t>
  </si>
  <si>
    <t>มีโอ</t>
  </si>
  <si>
    <t>Me-O</t>
  </si>
  <si>
    <t>เมกาเชฟ</t>
  </si>
  <si>
    <t>เมจิบัลแกเรีย</t>
  </si>
  <si>
    <t>Meiji Bulgaria</t>
  </si>
  <si>
    <t>เมนทอส</t>
  </si>
  <si>
    <t>Mentos</t>
  </si>
  <si>
    <t>แม็กกาแรต</t>
  </si>
  <si>
    <t>Magarate</t>
  </si>
  <si>
    <t>Maggi</t>
  </si>
  <si>
    <t>แม็กซ์</t>
  </si>
  <si>
    <t>Max</t>
  </si>
  <si>
    <t>แมกโนเลีย</t>
  </si>
  <si>
    <t>Magnolia</t>
  </si>
  <si>
    <t>แมกโนเลียกิงโกะพลัส</t>
  </si>
  <si>
    <t>แม็คคอร์มิค</t>
  </si>
  <si>
    <t>McCormick</t>
  </si>
  <si>
    <t>แมนซั่ม</t>
  </si>
  <si>
    <t>Mansome</t>
  </si>
  <si>
    <t>Mae Pranom</t>
  </si>
  <si>
    <t>โมคิ</t>
  </si>
  <si>
    <t>โมเดสซีเคียว</t>
  </si>
  <si>
    <t>Modess</t>
  </si>
  <si>
    <t>Modess Secure</t>
  </si>
  <si>
    <t>โมนินี่</t>
  </si>
  <si>
    <t>ไมก้า</t>
  </si>
  <si>
    <t>Mica</t>
  </si>
  <si>
    <t>ไมโล</t>
  </si>
  <si>
    <t>Milo</t>
  </si>
  <si>
    <t>ไมโลแอคทิฟ-โก</t>
  </si>
  <si>
    <t>Milo Activ-Go</t>
  </si>
  <si>
    <t>Yum Yum Jumbo</t>
  </si>
  <si>
    <t>ยิลเลตต์ซุปเปอร์ธินทู</t>
  </si>
  <si>
    <t>ยิลเลตต์บลูทูพลัส</t>
  </si>
  <si>
    <t>Gillette Blue II Plus</t>
  </si>
  <si>
    <t>ยูกิ</t>
  </si>
  <si>
    <t>ยูนิเทป</t>
  </si>
  <si>
    <t>Unitape</t>
  </si>
  <si>
    <t>ยูนิฟ</t>
  </si>
  <si>
    <t>ยูนิฟทีบาเล่เชค</t>
  </si>
  <si>
    <t>Unif T Balé Shake</t>
  </si>
  <si>
    <t>ยูปี้</t>
  </si>
  <si>
    <t>Yupi</t>
  </si>
  <si>
    <t>ยูโรเค้ก</t>
  </si>
  <si>
    <t>Euro Cake</t>
  </si>
  <si>
    <t>เย็นเย็น</t>
  </si>
  <si>
    <t>Yen Yen</t>
  </si>
  <si>
    <t>โยเฟรน</t>
  </si>
  <si>
    <t>โยยา</t>
  </si>
  <si>
    <t>Rosdee</t>
  </si>
  <si>
    <t>รสดีเมนู</t>
  </si>
  <si>
    <t>Rosdee Menu</t>
  </si>
  <si>
    <t>รักไทย</t>
  </si>
  <si>
    <t>ราชาชูรส</t>
  </si>
  <si>
    <t>ริชเชส</t>
  </si>
  <si>
    <t>Richesse</t>
  </si>
  <si>
    <t>รีจอยส์</t>
  </si>
  <si>
    <t>รีจอยส์ซอฟ&amp;สมูท</t>
  </si>
  <si>
    <t>เรนเจอร์สเก้าท์</t>
  </si>
  <si>
    <t>เรนองที</t>
  </si>
  <si>
    <t>Ranong Tea 3 in 1</t>
  </si>
  <si>
    <t>โรซ่า</t>
  </si>
  <si>
    <t>Roza</t>
  </si>
  <si>
    <t>โรทริง</t>
  </si>
  <si>
    <t>โรลเลอร์โคสเตอร์</t>
  </si>
  <si>
    <t>Roller Coaster</t>
  </si>
  <si>
    <t>โรลเลอร์โคสเตอร์มินิ</t>
  </si>
  <si>
    <t>Roller Coaster Mini</t>
  </si>
  <si>
    <t>ไร่ทิพย์</t>
  </si>
  <si>
    <t>Raitip</t>
  </si>
  <si>
    <t>ลอรีอัล</t>
  </si>
  <si>
    <t>L'oreal</t>
  </si>
  <si>
    <t>Laurier Soft &amp; Safe</t>
  </si>
  <si>
    <t>ลอรีเอะซอฟท์แอนด์เซฟสลิม</t>
  </si>
  <si>
    <t>Laurier Soft &amp; Safe Slim</t>
  </si>
  <si>
    <t>ลอรีเอะซุปเปอร์อัลตร้าสลิม</t>
  </si>
  <si>
    <t>Laurier Super Ultra Slim</t>
  </si>
  <si>
    <t>ลักส์</t>
  </si>
  <si>
    <t>LUX</t>
  </si>
  <si>
    <t>ลักส์ซอฟท์ทัช</t>
  </si>
  <si>
    <t>Lux Soft Touch</t>
  </si>
  <si>
    <t>ลักส์บิวตี้</t>
  </si>
  <si>
    <t>Lux beauty</t>
  </si>
  <si>
    <t>Little Chef</t>
  </si>
  <si>
    <t>ลิปตัน</t>
  </si>
  <si>
    <t>Lipton</t>
  </si>
  <si>
    <t>ลิปตันกรีนทีเฟรซ</t>
  </si>
  <si>
    <t>LIPTON GREEN TEA FRESH</t>
  </si>
  <si>
    <t>ลิสเตอร์รีนคูลมิ้นต์</t>
  </si>
  <si>
    <t>Listerine</t>
  </si>
  <si>
    <t>ลิสเตอรีนเฮลตี้ไบรท์</t>
  </si>
  <si>
    <t>ลีโอ</t>
  </si>
  <si>
    <t>LEO</t>
  </si>
  <si>
    <t>ลูกศรฟ้า</t>
  </si>
  <si>
    <t>Blue Arrow</t>
  </si>
  <si>
    <t>Lay's 2in1</t>
  </si>
  <si>
    <t>Lactasoy</t>
  </si>
  <si>
    <t>แลตตาซอย</t>
  </si>
  <si>
    <t>Lotus</t>
  </si>
  <si>
    <t>โลโบ</t>
  </si>
  <si>
    <t>Lobo</t>
  </si>
  <si>
    <t>โลแลนเนเจอร์โค้ด</t>
  </si>
  <si>
    <t>Lolane Nature Code</t>
  </si>
  <si>
    <t>ไลปอน</t>
  </si>
  <si>
    <t>Lipon</t>
  </si>
  <si>
    <t>ไลปอนเอฟ</t>
  </si>
  <si>
    <t>Lipon F</t>
  </si>
  <si>
    <t>ไลฟ์รี่</t>
  </si>
  <si>
    <t>Lifree</t>
  </si>
  <si>
    <t>วอยซ์</t>
  </si>
  <si>
    <t>Voiz</t>
  </si>
  <si>
    <t>วอลล์</t>
  </si>
  <si>
    <t>วาสลีน</t>
  </si>
  <si>
    <t>Vaseline</t>
  </si>
  <si>
    <t>วาสลีนไวท์</t>
  </si>
  <si>
    <t>Vaseline White</t>
  </si>
  <si>
    <t>วาสลีนเฮลธี้ไวท์เซรั่ม</t>
  </si>
  <si>
    <t>Vaseline Healthy White Instant Fair Serum</t>
  </si>
  <si>
    <t>วิกซอล</t>
  </si>
  <si>
    <t>Vixol</t>
  </si>
  <si>
    <t>วิคเตอร์</t>
  </si>
  <si>
    <t>Victor</t>
  </si>
  <si>
    <t>วิสกัส</t>
  </si>
  <si>
    <t>Whiskas</t>
  </si>
  <si>
    <t>วิสกัสเทมเทชันส์</t>
  </si>
  <si>
    <t>WHISKAS TEMPTATIONS</t>
  </si>
  <si>
    <t>เวชพงศ์</t>
  </si>
  <si>
    <t>Vejpong</t>
  </si>
  <si>
    <t>แวนฮูเต็น</t>
  </si>
  <si>
    <t>Vanhouten</t>
  </si>
  <si>
    <t>ไวตามิ้ลค์</t>
  </si>
  <si>
    <t>Vitamilk</t>
  </si>
  <si>
    <t>ไวตามิ้ลค์ดับเบิ้ลแบล็ค</t>
  </si>
  <si>
    <t>Vitamilk Double Black</t>
  </si>
  <si>
    <t>ไวตามิ้ลค์ทูโก</t>
  </si>
  <si>
    <t>Vitamilk To Go</t>
  </si>
  <si>
    <t>ไวไว</t>
  </si>
  <si>
    <t>Wai Wai</t>
  </si>
  <si>
    <t>Wai Wai Quick</t>
  </si>
  <si>
    <t>ไวไวคัพ</t>
  </si>
  <si>
    <t>ส.ขอนแก่น</t>
  </si>
  <si>
    <t>S.Khonkaen</t>
  </si>
  <si>
    <t>สก็อต</t>
  </si>
  <si>
    <t>สก๊อตซ์ไบรต์</t>
  </si>
  <si>
    <t>Scotch Brite</t>
  </si>
  <si>
    <t>สก๊อตต์</t>
  </si>
  <si>
    <t>Scott</t>
  </si>
  <si>
    <t>สก็อตต์คลีนแคร์</t>
  </si>
  <si>
    <t>Scott Clean Care</t>
  </si>
  <si>
    <t>สก๊อตต์ทาวเวล</t>
  </si>
  <si>
    <t>Scott Towels</t>
  </si>
  <si>
    <t>สก๊อตต์เอ็กซ์ตร้า</t>
  </si>
  <si>
    <t>สก๊อตเพียวเร่</t>
  </si>
  <si>
    <t>Scotch Puree</t>
  </si>
  <si>
    <t>Scotch Royale Premium</t>
  </si>
  <si>
    <t>สก๊อตรอเยลพรีเมี่ยม</t>
  </si>
  <si>
    <t>สติ๊กโก้ฟิงเกอร์</t>
  </si>
  <si>
    <t>Stikko Fingers</t>
  </si>
  <si>
    <t>สเต็ดเล่อร์</t>
  </si>
  <si>
    <t>Staedtler</t>
  </si>
  <si>
    <t>สแน็คแจ๊ค</t>
  </si>
  <si>
    <t>Snack Jack</t>
  </si>
  <si>
    <t>สโนวี่</t>
  </si>
  <si>
    <t>SNOWY</t>
  </si>
  <si>
    <t>สปริงโฮม</t>
  </si>
  <si>
    <t>Spring Home</t>
  </si>
  <si>
    <t>สปอนเซอร์</t>
  </si>
  <si>
    <t>Sponsor</t>
  </si>
  <si>
    <t>สปอนเซอร์แอคทีฟ</t>
  </si>
  <si>
    <t>Sponsor Active</t>
  </si>
  <si>
    <t>สปาร์คเคิล</t>
  </si>
  <si>
    <t>Sparkle</t>
  </si>
  <si>
    <t>sprite</t>
  </si>
  <si>
    <t>สมาร์ทฮาร์ท</t>
  </si>
  <si>
    <t>Smartheart</t>
  </si>
  <si>
    <t>สวนไทย</t>
  </si>
  <si>
    <t>Suan Thai</t>
  </si>
  <si>
    <t>สามแม่ครัว</t>
  </si>
  <si>
    <t>Three Lady Cooks</t>
  </si>
  <si>
    <t>สายน้ำผึ้งศิริชิน</t>
  </si>
  <si>
    <t>Sainampueng Sirichin</t>
  </si>
  <si>
    <t>สายฝน</t>
  </si>
  <si>
    <t>Sai Fon</t>
  </si>
  <si>
    <t>SINGHA</t>
  </si>
  <si>
    <t>สุขุม</t>
  </si>
  <si>
    <t>Sukum</t>
  </si>
  <si>
    <t>สุรพลฟู้ดส์</t>
  </si>
  <si>
    <t>Surapon Foods</t>
  </si>
  <si>
    <t>แสนดี</t>
  </si>
  <si>
    <t>หงษ์ทอง</t>
  </si>
  <si>
    <t>Hongtong</t>
  </si>
  <si>
    <t>หนองโพ</t>
  </si>
  <si>
    <t>Nongpho</t>
  </si>
  <si>
    <t>หมูยิ้ม</t>
  </si>
  <si>
    <t>Mooyim</t>
  </si>
  <si>
    <t>หอมสุวรรณ</t>
  </si>
  <si>
    <t>Homsuwan</t>
  </si>
  <si>
    <t>ห่านฟ้า</t>
  </si>
  <si>
    <t>อควาฟิน่าวิตซ่า</t>
  </si>
  <si>
    <t>Aquafina Vitzaa</t>
  </si>
  <si>
    <t>อโคเนติก</t>
  </si>
  <si>
    <t>Aconatic</t>
  </si>
  <si>
    <t>A-Ngoon</t>
  </si>
  <si>
    <t>อโนอีคิว</t>
  </si>
  <si>
    <t>Ano. EQ</t>
  </si>
  <si>
    <t>อร่อยดี</t>
  </si>
  <si>
    <t>Aroy-D</t>
  </si>
  <si>
    <t>อลาวรี่</t>
  </si>
  <si>
    <t>Allowrie</t>
  </si>
  <si>
    <t>อสร</t>
  </si>
  <si>
    <t>Aorsorror</t>
  </si>
  <si>
    <t>OTTO</t>
  </si>
  <si>
    <t>ออนโดลิวา</t>
  </si>
  <si>
    <t>Ondoliva</t>
  </si>
  <si>
    <t>ออฟฟิศโปร</t>
  </si>
  <si>
    <t>Office Pro</t>
  </si>
  <si>
    <t>ออร์คิด</t>
  </si>
  <si>
    <t>Orchid</t>
  </si>
  <si>
    <t>ออร์คิดคลาสสิค</t>
  </si>
  <si>
    <t>Orchid Classic</t>
  </si>
  <si>
    <t>Oral-B</t>
  </si>
  <si>
    <t>ออรัลบี</t>
  </si>
  <si>
    <t>Aura</t>
  </si>
  <si>
    <t>ออลโคโค</t>
  </si>
  <si>
    <t>อะโคเนติค</t>
  </si>
  <si>
    <t>อะยัม</t>
  </si>
  <si>
    <t>Ayam</t>
  </si>
  <si>
    <t>อังเคิลบาร์นส์</t>
  </si>
  <si>
    <t>อัลโป</t>
  </si>
  <si>
    <t>Alpo</t>
  </si>
  <si>
    <t>อัลเฟรโด</t>
  </si>
  <si>
    <t>อาเจบิ๊กโคล่า</t>
  </si>
  <si>
    <t>AJE Big Cola</t>
  </si>
  <si>
    <t>อาเซปโซ</t>
  </si>
  <si>
    <t>Asepso</t>
  </si>
  <si>
    <t>อาทเจ็ทโกลด์</t>
  </si>
  <si>
    <t>Ars Jet Gold</t>
  </si>
  <si>
    <t>อาโทริ</t>
  </si>
  <si>
    <t>ARTORI</t>
  </si>
  <si>
    <t>อิควล</t>
  </si>
  <si>
    <t>Equal</t>
  </si>
  <si>
    <t>อิงอร</t>
  </si>
  <si>
    <t>IIng On</t>
  </si>
  <si>
    <t>Ichitan</t>
  </si>
  <si>
    <t>อิชิตันเย็นเย็น</t>
  </si>
  <si>
    <t>Ichitan Yen Yen</t>
  </si>
  <si>
    <t>อิมพีเรียล</t>
  </si>
  <si>
    <t>Imperial</t>
  </si>
  <si>
    <t>อิมาร์เฟล็กซ์</t>
  </si>
  <si>
    <t>Imarflex</t>
  </si>
  <si>
    <t>อีซี่</t>
  </si>
  <si>
    <t>E ZEE</t>
  </si>
  <si>
    <t>อีบีสปรดเอเบิล</t>
  </si>
  <si>
    <t>EB Spread Able</t>
  </si>
  <si>
    <t>อีโรส</t>
  </si>
  <si>
    <t>Eros</t>
  </si>
  <si>
    <t>เอ็กซ์ตร้า</t>
  </si>
  <si>
    <t>เอนชัวร์</t>
  </si>
  <si>
    <t>Ensure</t>
  </si>
  <si>
    <t>เอนฟาโกร3สมาร์ทพลัส</t>
  </si>
  <si>
    <t>Enfagrow 3 Smart+</t>
  </si>
  <si>
    <t>เอนฟาโกรเอพลัส</t>
  </si>
  <si>
    <t>Enfagrow A+</t>
  </si>
  <si>
    <t>เอนฟาโกรเอพลัส360˚ดีเอชเอพลัส3</t>
  </si>
  <si>
    <t>Enfagrow A+ 360˚ DHA Plus 3</t>
  </si>
  <si>
    <t>เอฟเอฟ</t>
  </si>
  <si>
    <t>FF</t>
  </si>
  <si>
    <t>เอ็ม16</t>
  </si>
  <si>
    <t>M16</t>
  </si>
  <si>
    <t>เอ็มบอร์ก</t>
  </si>
  <si>
    <t>Emborg</t>
  </si>
  <si>
    <t>เอ็มบีเอ</t>
  </si>
  <si>
    <t>MBA</t>
  </si>
  <si>
    <t>เอ็มพลัส</t>
  </si>
  <si>
    <t>M PLUS</t>
  </si>
  <si>
    <t>เอ็มแอนด์เค</t>
  </si>
  <si>
    <t>M&amp;K</t>
  </si>
  <si>
    <t>เอ็มแอนด์เอ็ม</t>
  </si>
  <si>
    <t>aro</t>
  </si>
  <si>
    <t>เอโร่เพ็ทส์เฟรนด์</t>
  </si>
  <si>
    <t>aro Petz Friend</t>
  </si>
  <si>
    <t>เอลเฟ่น</t>
  </si>
  <si>
    <t>Elfen</t>
  </si>
  <si>
    <t>เอเวียง</t>
  </si>
  <si>
    <t>Evian</t>
  </si>
  <si>
    <t>เอส-26โปรเกรสโกลด์</t>
  </si>
  <si>
    <t>S-26 Progress Gold</t>
  </si>
  <si>
    <t>เอส-26พีอีโกลด์</t>
  </si>
  <si>
    <t>S-26 PE Gold</t>
  </si>
  <si>
    <t>เอสเซ้นซ์</t>
  </si>
  <si>
    <t>Essence</t>
  </si>
  <si>
    <t>เอสเซ้นซ์ซูเปอร์พลัส</t>
  </si>
  <si>
    <t>ESSENCE PLUS</t>
  </si>
  <si>
    <t>เอสเซ้นซ์ยูวี</t>
  </si>
  <si>
    <t>Essence UV</t>
  </si>
  <si>
    <t>เอสเซนโซ่</t>
  </si>
  <si>
    <t>Essenso</t>
  </si>
  <si>
    <t>เอสเพลย์</t>
  </si>
  <si>
    <t>EST Play</t>
  </si>
  <si>
    <t>เอสแอนด์พี</t>
  </si>
  <si>
    <t>S&amp;P</t>
  </si>
  <si>
    <t>แอคเนซี</t>
  </si>
  <si>
    <t>Agnesi</t>
  </si>
  <si>
    <t>แองเคอร์</t>
  </si>
  <si>
    <t>Anchor</t>
  </si>
  <si>
    <t>แอทแทค</t>
  </si>
  <si>
    <t>Attrack</t>
  </si>
  <si>
    <t>แอทแทคทรีดีคลีนแอ็คชั่น</t>
  </si>
  <si>
    <t>Attack 3D Clean Action</t>
  </si>
  <si>
    <t>แอทแทคอีซี่</t>
  </si>
  <si>
    <t>Attack Easy</t>
  </si>
  <si>
    <t>แอทแทคอีซี่แฮปปี้สวีท</t>
  </si>
  <si>
    <t>ATTACK Easy Happy Sweet</t>
  </si>
  <si>
    <t>แอนลีน</t>
  </si>
  <si>
    <t>แอนลีนโกลด์</t>
  </si>
  <si>
    <t>ANLENE GOLD</t>
  </si>
  <si>
    <t>แอนลีนโกลด์โบนซ์แอคทีฟ</t>
  </si>
  <si>
    <t>Anlene Gold BonezActiv</t>
  </si>
  <si>
    <t>แอมบิเพอร์</t>
  </si>
  <si>
    <t>Ambi Pur</t>
  </si>
  <si>
    <t>LG</t>
  </si>
  <si>
    <t>โอเค</t>
  </si>
  <si>
    <t>Ok</t>
  </si>
  <si>
    <t>โอด์เอลปาโซ</t>
  </si>
  <si>
    <t>OLD EL PASO</t>
  </si>
  <si>
    <t>โอโตริ</t>
  </si>
  <si>
    <t>โอพีเค้ก</t>
  </si>
  <si>
    <t>OP Cake</t>
  </si>
  <si>
    <t>โอโม</t>
  </si>
  <si>
    <t>โอโมพลัส</t>
  </si>
  <si>
    <t>OMO PLUS</t>
  </si>
  <si>
    <t>โอโมพลัสลิควิด</t>
  </si>
  <si>
    <t>Oreo</t>
  </si>
  <si>
    <t>โอลิมเปีย</t>
  </si>
  <si>
    <t>Olympia</t>
  </si>
  <si>
    <t>โอลีน</t>
  </si>
  <si>
    <t>Oleen</t>
  </si>
  <si>
    <t>โอเล่</t>
  </si>
  <si>
    <t>โอเลย์โททัลไวท์</t>
  </si>
  <si>
    <t>Olay Total White</t>
  </si>
  <si>
    <t>โอวัลติน</t>
  </si>
  <si>
    <t>Ovaltine</t>
  </si>
  <si>
    <t>โอวัลติน3อิน1</t>
  </si>
  <si>
    <t>Ovaltine 3 in1</t>
  </si>
  <si>
    <t>โอวัลตินซอยย์</t>
  </si>
  <si>
    <t>Ovaltine Soy</t>
  </si>
  <si>
    <t>โอวัลตินสมาร์ท</t>
  </si>
  <si>
    <t>Ovaltine Smart</t>
  </si>
  <si>
    <t>โออิชิ</t>
  </si>
  <si>
    <t>โออิชิกรีนที</t>
  </si>
  <si>
    <t>Oishi Green Tea</t>
  </si>
  <si>
    <t>โออิชิชาคูลล์ซ่า</t>
  </si>
  <si>
    <t>Oishi Chakulza</t>
  </si>
  <si>
    <t>ไอซ์แลนด์สปริง</t>
  </si>
  <si>
    <t>Iceland Spring</t>
  </si>
  <si>
    <t>ไอเดียแม็กซ์</t>
  </si>
  <si>
    <t>Idea Max</t>
  </si>
  <si>
    <t>ไอเดียเวิร์ค</t>
  </si>
  <si>
    <t>Idea Work</t>
  </si>
  <si>
    <t>ฮอทต้า</t>
  </si>
  <si>
    <t>Hotta</t>
  </si>
  <si>
    <t>ฮอลล์</t>
  </si>
  <si>
    <t>Halls</t>
  </si>
  <si>
    <t>ฮาตาริ</t>
  </si>
  <si>
    <t>Hatari</t>
  </si>
  <si>
    <t>ฮาทเน่</t>
  </si>
  <si>
    <t>Hahne</t>
  </si>
  <si>
    <t>ฮาร์ทบีท</t>
  </si>
  <si>
    <t>Heartbeat</t>
  </si>
  <si>
    <t>Hitachi</t>
  </si>
  <si>
    <t>เฮดแอนด์โชว์เดอร์</t>
  </si>
  <si>
    <t>Head &amp; Shoulders</t>
  </si>
  <si>
    <t>เฮลส์บลูบอย</t>
  </si>
  <si>
    <t>Hale's Blue Boy</t>
  </si>
  <si>
    <t>เฮอร์ชีส์</t>
  </si>
  <si>
    <t>Hershey's</t>
  </si>
  <si>
    <t>เฮ้าส์จาวาเคอรี่</t>
  </si>
  <si>
    <t>House Java Curry</t>
  </si>
  <si>
    <t>เฮ้าส์เวอร์มองท์เคอร์รี่</t>
  </si>
  <si>
    <t>House Vermont Curry</t>
  </si>
  <si>
    <t>โฮมมี่</t>
  </si>
  <si>
    <t>Homey</t>
  </si>
  <si>
    <t>ไฮ-คิว1พลัส</t>
  </si>
  <si>
    <t>Hi-Q 1 Plus</t>
  </si>
  <si>
    <t>ไฮคลาส</t>
  </si>
  <si>
    <t>Hiclass</t>
  </si>
  <si>
    <t>ไฮคิว</t>
  </si>
  <si>
    <t>Hi-Q</t>
  </si>
  <si>
    <t>ไฮคิว1พลัสซูเปอร์โกลด์</t>
  </si>
  <si>
    <t>Hi-Q 1 Plus Super Gold</t>
  </si>
  <si>
    <t>Haiter</t>
  </si>
  <si>
    <t>ไฮเตอร์คัลเลอร์</t>
  </si>
  <si>
    <t>ไฮนซ์</t>
  </si>
  <si>
    <t>Heinz</t>
  </si>
  <si>
    <t>ไฮยีน</t>
  </si>
  <si>
    <t>Hygiene</t>
  </si>
  <si>
    <t>Soyatoo</t>
  </si>
  <si>
    <t>TSS</t>
  </si>
  <si>
    <t>KCF</t>
  </si>
  <si>
    <t>Dawa</t>
  </si>
  <si>
    <t>Shih-Tzu</t>
  </si>
  <si>
    <t>Zircon</t>
  </si>
  <si>
    <t>Meyer</t>
  </si>
  <si>
    <t>S&amp;W</t>
  </si>
  <si>
    <t>Advance BIO</t>
  </si>
  <si>
    <t>Category
Lvl.0 (ID)</t>
  </si>
  <si>
    <t>Category Lvl.0 (EN)</t>
  </si>
  <si>
    <t>Category Lvl.0 (TH)</t>
  </si>
  <si>
    <t>Sub-Category
Lvl.1 (ID)</t>
  </si>
  <si>
    <t>Sub-Category Lvl.1 (EN)</t>
  </si>
  <si>
    <t>Sub-Category Lvl.1 (TH)</t>
  </si>
  <si>
    <t>Sub-Category
Lvl.2 (ID)</t>
  </si>
  <si>
    <t>Sub-Category Lvl.2 (EN)</t>
  </si>
  <si>
    <t>Sub-Category Lvl.2 (TH)</t>
  </si>
  <si>
    <t>Coffee Shop</t>
  </si>
  <si>
    <t>ร้านกาแฟ</t>
  </si>
  <si>
    <t>Retailer</t>
  </si>
  <si>
    <t>ร้านโชห่วย</t>
  </si>
  <si>
    <t>Hotel</t>
  </si>
  <si>
    <t>โรงแรม สปา</t>
  </si>
  <si>
    <t>Restaurant</t>
  </si>
  <si>
    <t>ร้านอาหาร</t>
  </si>
  <si>
    <t>Other</t>
  </si>
  <si>
    <t>ธุรกิจบริการอื่น</t>
  </si>
  <si>
    <t>Bakery shop</t>
  </si>
  <si>
    <t>ร้านเบเกอรี่</t>
  </si>
  <si>
    <t>Households</t>
  </si>
  <si>
    <t>ของใช้ในครัวเรือน</t>
  </si>
  <si>
    <t>Households Product</t>
  </si>
  <si>
    <t>เครื่องใช้ในครัว</t>
  </si>
  <si>
    <t>Party Utensils</t>
  </si>
  <si>
    <t>ภาชนะใช้แล้วทิ้ง</t>
  </si>
  <si>
    <t>Eating Utensils</t>
  </si>
  <si>
    <t>ภาชนะทานอาหาร</t>
  </si>
  <si>
    <t>Plastic bags / Elastic / Zipped bag</t>
  </si>
  <si>
    <t>ถุงพลาสติก / หนังยาง / ถุงซิป / ฟิล์มถนอมอาหาร</t>
  </si>
  <si>
    <t>Cooking Utensils</t>
  </si>
  <si>
    <t>อุปกรณ์ประกอบอาหาร</t>
  </si>
  <si>
    <t>Table Utensils</t>
  </si>
  <si>
    <t>เครื่องใช้บนโต๊ะอาหาร</t>
  </si>
  <si>
    <t>Washing &amp; Cleaning</t>
  </si>
  <si>
    <t>อุปกรณ์ทำความสะอาด</t>
  </si>
  <si>
    <t>Sponge</t>
  </si>
  <si>
    <t>ฝอย / ฟองน้ำ / แปรงขัด</t>
  </si>
  <si>
    <t>Garbage Bag</t>
  </si>
  <si>
    <t>ถุงขยะ / ถังขยะ</t>
  </si>
  <si>
    <t>Basket</t>
  </si>
  <si>
    <t>ถัง / กะละมัง / ตะกร้า</t>
  </si>
  <si>
    <t>Broom / Dust Pan and brushes</t>
  </si>
  <si>
    <t>ไม้กวาด /ที่โกยผง / แปรงปัดฝุ่น</t>
  </si>
  <si>
    <t>Mop / Spin Mop</t>
  </si>
  <si>
    <t>ไม้ถูพื้น</t>
  </si>
  <si>
    <t>Others</t>
  </si>
  <si>
    <t>อื่นๆ</t>
  </si>
  <si>
    <t>Laundry</t>
  </si>
  <si>
    <t>ผลิตภัณฑ์ทำความสะอาดผ้า</t>
  </si>
  <si>
    <t>Powder Detergent</t>
  </si>
  <si>
    <t>Laundry Detergent</t>
  </si>
  <si>
    <t>น้ำยาซักผ้า</t>
  </si>
  <si>
    <t>Easy Ironing</t>
  </si>
  <si>
    <t>น้ำยารีดผ้าเรียบ</t>
  </si>
  <si>
    <t>Bleach / Stain Removal</t>
  </si>
  <si>
    <t>น้ำยาฟอก / น้ำยาขจัดคราบ</t>
  </si>
  <si>
    <t>Iron board</t>
  </si>
  <si>
    <t>โต๊ะและอุปกรณ์รีดผ้า</t>
  </si>
  <si>
    <t>Clothes dryer / Hanger</t>
  </si>
  <si>
    <t>อุปกรณ์สำหรับตากผ้า</t>
  </si>
  <si>
    <t>Others Laundry</t>
  </si>
  <si>
    <t>อุปกรณ์ซักรีดอื่นๆ</t>
  </si>
  <si>
    <t>Home Frangnance</t>
  </si>
  <si>
    <t>ผลิตภัณฑ์ดับกลิ่นและปกป้องภายในบ้าน</t>
  </si>
  <si>
    <t>Air Refresher</t>
  </si>
  <si>
    <t>ผลิตภัณฑ์ปรับอากาศภายในบ้าน</t>
  </si>
  <si>
    <t>Insect Killer</t>
  </si>
  <si>
    <t>ผลิตภัณฑ์กำจัดแมลงและสัตว์</t>
  </si>
  <si>
    <t>Other household</t>
  </si>
  <si>
    <t>Tissue &amp; Papers</t>
  </si>
  <si>
    <t>Toilet Roll</t>
  </si>
  <si>
    <t>Facial Tissues</t>
  </si>
  <si>
    <t>Wet wipes</t>
  </si>
  <si>
    <t>ทิชชู่เปียก / ผ้าเย็น</t>
  </si>
  <si>
    <t>Cleaning</t>
  </si>
  <si>
    <t>ผลิตภัณฑ์ทำความสะอาด</t>
  </si>
  <si>
    <t>Floor care</t>
  </si>
  <si>
    <t>ผลิตภัณฑ์ทำความสะอาดพื้น/พรม</t>
  </si>
  <si>
    <t>Mirror &amp; Glass stain remover</t>
  </si>
  <si>
    <t>น้ำยาเช็ดกระจก</t>
  </si>
  <si>
    <t>All cleaner</t>
  </si>
  <si>
    <t>น้ำยาฆ่าเชื้อและเอนกประสงค์</t>
  </si>
  <si>
    <t>Toilet Bowl Cleaner</t>
  </si>
  <si>
    <t>น้ำยาทำความสะอาดห้องน้ำ</t>
  </si>
  <si>
    <t>Drain Declogger</t>
  </si>
  <si>
    <t>ผลิตภัณฑ์ขจัดท่ออุดตัน</t>
  </si>
  <si>
    <t>Dish Washer</t>
  </si>
  <si>
    <t>Bedding</t>
  </si>
  <si>
    <t>เครื่องนอนและสินค้าอื่นๆ</t>
  </si>
  <si>
    <t>Bedding sheet / set / Blanket</t>
  </si>
  <si>
    <t>เครื่องนอนและผ้าห่ม</t>
  </si>
  <si>
    <t>Towel</t>
  </si>
  <si>
    <t>ผ้าขนหนู</t>
  </si>
  <si>
    <t>Furniture / Storage</t>
  </si>
  <si>
    <t>เฟอร์นิเจอร์และเครื่องใช้ภายในบ้าน</t>
  </si>
  <si>
    <t>Wardrobe / Chairs / Sofa</t>
  </si>
  <si>
    <t>ตู้เสื้อผ้า / เก้าอี้ / โซฟา</t>
  </si>
  <si>
    <t>Shelf / Display Shelf / Shoe Shelf</t>
  </si>
  <si>
    <t>ตู้โชว์ / ชั้นวาง /ชั้นวางรองเท้า</t>
  </si>
  <si>
    <t>Plastic Storage</t>
  </si>
  <si>
    <t>กล่องพลาสติก</t>
  </si>
  <si>
    <t>Home Improvements</t>
  </si>
  <si>
    <t>อุปกรณ์ซ่อมแซมบ้าน</t>
  </si>
  <si>
    <t>Power tools</t>
  </si>
  <si>
    <t>เครื่องมือช่าง</t>
  </si>
  <si>
    <t>Power Socket / Adapter</t>
  </si>
  <si>
    <t>ปลั๊กไฟ</t>
  </si>
  <si>
    <t>Battery / Flashlight</t>
  </si>
  <si>
    <t>ถ่าน / ไฟฉาย</t>
  </si>
  <si>
    <t>Cable / Lightning</t>
  </si>
  <si>
    <t>สายไฟ / หลอดไฟ และอุปกรณ์ไฟฟ้าอื่นๆ</t>
  </si>
  <si>
    <t>Garden &amp; Outdoor</t>
  </si>
  <si>
    <t>อุปกรณ์ตกแต่งสวน</t>
  </si>
  <si>
    <t>Home Appliances / Electronic</t>
  </si>
  <si>
    <t>เครื่องใช้ไฟฟ้า</t>
  </si>
  <si>
    <t>Major Appliance</t>
  </si>
  <si>
    <t>เครื่องใช้ไฟฟ้าขนาดใหญ่</t>
  </si>
  <si>
    <t>Freezer</t>
  </si>
  <si>
    <t>ตู้แช่แข็ง / ตู้แช่เบียร์วุ้น / ตู้แช่ไวน์</t>
  </si>
  <si>
    <t>Washing Machine / Dryer</t>
  </si>
  <si>
    <t>เครื่องซักผ้า / อบผ้า</t>
  </si>
  <si>
    <t>Refrigerator</t>
  </si>
  <si>
    <t>ตู้เย็น</t>
  </si>
  <si>
    <t>Air Con</t>
  </si>
  <si>
    <t>เครื่องปรับอากาศ</t>
  </si>
  <si>
    <t>Water Heater</t>
  </si>
  <si>
    <t>เครื่องทำน้ำอุ่น</t>
  </si>
  <si>
    <t>Vacuum Cleaner</t>
  </si>
  <si>
    <t>เครื่องดูดฝุ่น</t>
  </si>
  <si>
    <t>Induction</t>
  </si>
  <si>
    <t>เตาแก๊ส / เตาไฟฟ้า / เตาแม่เหล็ก</t>
  </si>
  <si>
    <t>Cooking Appliances</t>
  </si>
  <si>
    <t>เครื่องใช้ไฟฟ้าในครัว</t>
  </si>
  <si>
    <t>Electric Pan</t>
  </si>
  <si>
    <t>กระทะไฟฟ้า</t>
  </si>
  <si>
    <t>Electric Kettles</t>
  </si>
  <si>
    <t>กาน้ำไฟฟ้า</t>
  </si>
  <si>
    <t>Blender / Food extractor</t>
  </si>
  <si>
    <t>เครื่องปั่น</t>
  </si>
  <si>
    <t>Microwave / Oven</t>
  </si>
  <si>
    <t>เตาอบ / ตู้อบ</t>
  </si>
  <si>
    <t>Rice Cooker</t>
  </si>
  <si>
    <t>หม้อหุงข้าว</t>
  </si>
  <si>
    <t>Sandwich / Coffee maker</t>
  </si>
  <si>
    <t>เครื่องทำแซนวิช / เครื่องทำกาแฟ</t>
  </si>
  <si>
    <t>Small Appliances</t>
  </si>
  <si>
    <t>เครื่องใช้ไฟฟ้าขนาดเล็ก</t>
  </si>
  <si>
    <t>Hair Dryer</t>
  </si>
  <si>
    <t>เครื่องเป่าผม</t>
  </si>
  <si>
    <t>Water Purifier</t>
  </si>
  <si>
    <t>เครื่องกรองน้ำ</t>
  </si>
  <si>
    <t>Fan</t>
  </si>
  <si>
    <t>พัดลม</t>
  </si>
  <si>
    <t>Iron</t>
  </si>
  <si>
    <t>เตารีด</t>
  </si>
  <si>
    <t>Mobile / Tablets</t>
  </si>
  <si>
    <t>โทรศัพท์มือถือ / แท้บเล็ต</t>
  </si>
  <si>
    <t>Smart Phone</t>
  </si>
  <si>
    <t>สมาร์ทโฟน</t>
  </si>
  <si>
    <t>Tablet</t>
  </si>
  <si>
    <t>แท้บเล็ต</t>
  </si>
  <si>
    <t>Powerbank</t>
  </si>
  <si>
    <t>แบตเตอรี่สำรอง</t>
  </si>
  <si>
    <t>T.V. / Audio</t>
  </si>
  <si>
    <t>ทีวีและเครื่องเสียง</t>
  </si>
  <si>
    <t>T.V.</t>
  </si>
  <si>
    <t>โทรทัศน์</t>
  </si>
  <si>
    <t>Audio / Home Theater / Speaker</t>
  </si>
  <si>
    <t>เครื่องเสียง / ลำโพง / โฮมเทียเตอร์</t>
  </si>
  <si>
    <t>T.V. acessories</t>
  </si>
  <si>
    <t>อุปกรณ์เสริมทีวี</t>
  </si>
  <si>
    <t>Beverages</t>
  </si>
  <si>
    <t>เครื่องดื่ม</t>
  </si>
  <si>
    <t>Water</t>
  </si>
  <si>
    <t>Drinking water</t>
  </si>
  <si>
    <t>Fruit / Veggie Juice</t>
  </si>
  <si>
    <t>น้ำผักและผลไม้</t>
  </si>
  <si>
    <t>Herbal Drink</t>
  </si>
  <si>
    <t>เครื่องดื่มสมุนไพร</t>
  </si>
  <si>
    <t>100% fruit/veggie juice</t>
  </si>
  <si>
    <t>น้ำผักผลไม้แท้ 100%</t>
  </si>
  <si>
    <t>Economy&amp;Medium Fruit/Vegetable Juice</t>
  </si>
  <si>
    <t>น้ำผักผลไม้ผสม</t>
  </si>
  <si>
    <t>Concentrated Juice</t>
  </si>
  <si>
    <t>น้ำผักผลไม้เข้มข้น</t>
  </si>
  <si>
    <t>Milk</t>
  </si>
  <si>
    <t>นม</t>
  </si>
  <si>
    <t>UHT / Sterilized Milk</t>
  </si>
  <si>
    <t>นม UHT / นมเสตอริไลซ์</t>
  </si>
  <si>
    <t>Soy Bean Milk</t>
  </si>
  <si>
    <t>นมถั่วเหลือง</t>
  </si>
  <si>
    <t>UHT Yogurt</t>
  </si>
  <si>
    <t>นมเปรี้ยว</t>
  </si>
  <si>
    <t>Coffee &amp; Cream</t>
  </si>
  <si>
    <t>กาแฟ / ครีมเทียม</t>
  </si>
  <si>
    <t>Instant / Ready to drink coffee</t>
  </si>
  <si>
    <t>กาแฟสำเร็จรูป / กาแฟพร้อมดื่ม</t>
  </si>
  <si>
    <t>Roast / Ground coffee</t>
  </si>
  <si>
    <t>กาแฟคั่ว</t>
  </si>
  <si>
    <t>Coffee sugar</t>
  </si>
  <si>
    <t>น้ำตาล / น้ำตาลเชื่อม</t>
  </si>
  <si>
    <t>Coffee cream</t>
  </si>
  <si>
    <t>Tea</t>
  </si>
  <si>
    <t>ชา</t>
  </si>
  <si>
    <t>Tea / Tea Leaves</t>
  </si>
  <si>
    <t>ผงชา / ใบชา</t>
  </si>
  <si>
    <t>Ready to drink tea</t>
  </si>
  <si>
    <t>ชาพร้อมดื่ม</t>
  </si>
  <si>
    <t>ชาอื่นๆ</t>
  </si>
  <si>
    <t>น้ำอัดลมและอื่นๆ</t>
  </si>
  <si>
    <t>Soda / Mixer</t>
  </si>
  <si>
    <t>โซดา / มิกเซอร์</t>
  </si>
  <si>
    <t>น้ำอัดลม</t>
  </si>
  <si>
    <t>Concentrated sweet drink</t>
  </si>
  <si>
    <t>น้ำหวาน</t>
  </si>
  <si>
    <t>Health Supplement</t>
  </si>
  <si>
    <t>เครื่องดื่มเพื่อสุขภาพ</t>
  </si>
  <si>
    <t>Chicken essense / Mushroom extract</t>
  </si>
  <si>
    <t>ซุปไก่/เห็ด สกัด</t>
  </si>
  <si>
    <t>Herbal / Condensed juice</t>
  </si>
  <si>
    <t>สมุนไพร / น้ำผักผลไม้</t>
  </si>
  <si>
    <t>Birdnest / Ginseng</t>
  </si>
  <si>
    <t>Energy drink</t>
  </si>
  <si>
    <t>เครื่องดื่มเกลือแร่ชูกำลัง</t>
  </si>
  <si>
    <t>Collagen / Vitamin / Fiber drink</t>
  </si>
  <si>
    <t>Power drink</t>
  </si>
  <si>
    <t>Herbal drink / Cereal drink</t>
  </si>
  <si>
    <t>เครื่องดื่มธัญญาหารสำเร็จรูป</t>
  </si>
  <si>
    <t>Chocolate / coco / Malt drink</t>
  </si>
  <si>
    <t>เครื่องดื่มช้อคโกแลต / โกโก้ / มอลต์</t>
  </si>
  <si>
    <t>Snack &amp; Sweets</t>
  </si>
  <si>
    <t>ขนมขบเคี้ยวและลูกอม</t>
  </si>
  <si>
    <t>Snack</t>
  </si>
  <si>
    <t>ขนมขบเคี้ยว</t>
  </si>
  <si>
    <t>Chips</t>
  </si>
  <si>
    <t>มันฝรั่งทอดกรอบ</t>
  </si>
  <si>
    <t>ขนมอบ-ทอกกรอบ</t>
  </si>
  <si>
    <t>Crackers</t>
  </si>
  <si>
    <t>ข้าวเกรียบ</t>
  </si>
  <si>
    <t>Snack Fish</t>
  </si>
  <si>
    <t>ปลาเส้น</t>
  </si>
  <si>
    <t>Seasoned Seaweed</t>
  </si>
  <si>
    <t>สาหร่ายปรุงรส</t>
  </si>
  <si>
    <t>Popcorn</t>
  </si>
  <si>
    <t>ข้าวโพดคั่ว</t>
  </si>
  <si>
    <t>Seasoned Squid</t>
  </si>
  <si>
    <t>ปลาหมึกปรุงรส</t>
  </si>
  <si>
    <t>Seasoned Fish Strip</t>
  </si>
  <si>
    <t>ปลาแผ่นปรุงรส</t>
  </si>
  <si>
    <t>Seasoned Beans</t>
  </si>
  <si>
    <t>ถั่วอบกรอบ</t>
  </si>
  <si>
    <t>Chocolate &amp; Sweet</t>
  </si>
  <si>
    <t>ขนมและช้อคโกแลต</t>
  </si>
  <si>
    <t>ช้อคดกแลต</t>
  </si>
  <si>
    <t>ลูกอม</t>
  </si>
  <si>
    <t>Bubble gums</t>
  </si>
  <si>
    <t>Refresher</t>
  </si>
  <si>
    <t>ลูกอมเพื่อลมหายใจสดชื่น</t>
  </si>
  <si>
    <t>Gelatin / Fruit Gummy</t>
  </si>
  <si>
    <t>Cookies &amp; Biscuits</t>
  </si>
  <si>
    <t>Pie</t>
  </si>
  <si>
    <t>พาย</t>
  </si>
  <si>
    <t>Wafer</t>
  </si>
  <si>
    <t>แครกเกอร์</t>
  </si>
  <si>
    <t>Cookie</t>
  </si>
  <si>
    <t>คุกกี้-คุกกี้สอดไส้</t>
  </si>
  <si>
    <t>Biscuit</t>
  </si>
  <si>
    <t>บิสกิต-ขนมปังกรอบ</t>
  </si>
  <si>
    <t>Office equipment &amp; Stationaries</t>
  </si>
  <si>
    <t>เครื่องเขียนและอุปกรณ์สำนักงาน</t>
  </si>
  <si>
    <t>Paper &amp; Folder</t>
  </si>
  <si>
    <t>กระดาษและแฟ้ม</t>
  </si>
  <si>
    <t>Copy paper</t>
  </si>
  <si>
    <t>กระดาษเอกสาร</t>
  </si>
  <si>
    <t>Storage Folder</t>
  </si>
  <si>
    <t>แฟ้ม / ซองเอกสาร</t>
  </si>
  <si>
    <t>Note book</t>
  </si>
  <si>
    <t>สมุดโน้ต</t>
  </si>
  <si>
    <t>Office Accessories</t>
  </si>
  <si>
    <t>อุปกรณ์สำนักงาน</t>
  </si>
  <si>
    <t>Glue / Tape / Tape Holder</t>
  </si>
  <si>
    <t>กาว /เทป / แท่นเทป</t>
  </si>
  <si>
    <t>Scissor / Cutter / Cutter Blade, Mat</t>
  </si>
  <si>
    <t>กรรไกร / คัตเตอร์ / ใบมีด / แผ่นรองตัด</t>
  </si>
  <si>
    <t>Binder / Clips</t>
  </si>
  <si>
    <t>อุปกรณ์เย็บ / เจาะ / หนีบ</t>
  </si>
  <si>
    <t>Office Furniture</t>
  </si>
  <si>
    <t>เฟอร์นิเจอร์สำนักงาน</t>
  </si>
  <si>
    <t>Table / Cabinet</t>
  </si>
  <si>
    <t>โต๊ะ / ตู้</t>
  </si>
  <si>
    <t>Writing Utensils</t>
  </si>
  <si>
    <t>อุปกรณ์การเขียนและแก้ไข</t>
  </si>
  <si>
    <t>Pen / Ink / Refill ink</t>
  </si>
  <si>
    <t>ปากกา / ไส้ปากกา / หมึกเติม</t>
  </si>
  <si>
    <t>Correction Fluid</t>
  </si>
  <si>
    <t>ผลิตภัณฑ์ลบคำผิด</t>
  </si>
  <si>
    <t>Marker / White Board</t>
  </si>
  <si>
    <t>ปากกาเน้นข้อความ / ไวท์บอร์ด</t>
  </si>
  <si>
    <t>Pencil / Rubber / Sharpener</t>
  </si>
  <si>
    <t>ดินสอ / ไส้ดินสอ / ยางลบ / กบเหลาดินสอ</t>
  </si>
  <si>
    <t>Ruler / Tape Measure</t>
  </si>
  <si>
    <t>ไม้บรรทัด / ไม้วัด</t>
  </si>
  <si>
    <t>Dry Food / Dry Groceries</t>
  </si>
  <si>
    <t>อาหารแห้ง</t>
  </si>
  <si>
    <t>Rice / Organics Herb / Dry Fruits</t>
  </si>
  <si>
    <t>ข้าว / สมุนไพร / ผลไม้อบแห้ง</t>
  </si>
  <si>
    <t>Fragrant Rice</t>
  </si>
  <si>
    <t>ข้าวหอม</t>
  </si>
  <si>
    <t>Brown Rice</t>
  </si>
  <si>
    <t>ข้าวไม่ขัดสี</t>
  </si>
  <si>
    <t>ข้าวเหนียว</t>
  </si>
  <si>
    <t>Organic</t>
  </si>
  <si>
    <t>ข้าวออแกนิค</t>
  </si>
  <si>
    <t>Grain / Herb / Dried Fruit</t>
  </si>
  <si>
    <t>ธัญพืช สมุนไพร ผลไม้อบแห้ง</t>
  </si>
  <si>
    <t>Cooking Ingredients</t>
  </si>
  <si>
    <t>Chili Paste Ingredients&amp;Sauces/Coconut Milk</t>
  </si>
  <si>
    <t>น้ำพริก-พริกแกง-กะทิ</t>
  </si>
  <si>
    <t>Bouillon/Flavored Seasoning</t>
  </si>
  <si>
    <t>ซุปก้อน-ผงชูรส-ผงปรุงรส</t>
  </si>
  <si>
    <t>Salt/Pepper/Chili/Seasoning Mixed Spice</t>
  </si>
  <si>
    <t>เกลือ-พริกป่น-พริกไทย-เครื่องเทศ</t>
  </si>
  <si>
    <t>Soy Sauce/Soy Bean Paste</t>
  </si>
  <si>
    <t>ซอสถั่วเหลือง-ซีอิ๊ว-เต้าเจี้ยว</t>
  </si>
  <si>
    <t>Chili/Tomato Sauce</t>
  </si>
  <si>
    <t>ซอสพริก-ซอสมะเขือเทศ</t>
  </si>
  <si>
    <t>Oyster Sauce</t>
  </si>
  <si>
    <t>ซอสหอยนางรม</t>
  </si>
  <si>
    <t>Spaghetti Sauce</t>
  </si>
  <si>
    <t>ซอสสปาเก็ตตี้</t>
  </si>
  <si>
    <t>Sugar</t>
  </si>
  <si>
    <t>น้ำตาล</t>
  </si>
  <si>
    <t>น้ำปลา</t>
  </si>
  <si>
    <t>Vinegar</t>
  </si>
  <si>
    <t>น้าส้มสายชู</t>
  </si>
  <si>
    <t>Other Sauce</t>
  </si>
  <si>
    <t>ซอสอื่นๆ</t>
  </si>
  <si>
    <t>Oil</t>
  </si>
  <si>
    <t>น้ำมันพืช</t>
  </si>
  <si>
    <t>Soy Bean Oil</t>
  </si>
  <si>
    <t>น้ำมันถั่วเหลือง</t>
  </si>
  <si>
    <t>Oilive/Sesame Oil</t>
  </si>
  <si>
    <t>น้ำมันมะกอก-งา</t>
  </si>
  <si>
    <t>Corn/Sunflower/Rice Bran Oil</t>
  </si>
  <si>
    <t>น้ำมันข้าวโพด-ดอกทานตะวัน-รำข้าว</t>
  </si>
  <si>
    <t>Others Oil</t>
  </si>
  <si>
    <t>น้ำมันอื่นๆ</t>
  </si>
  <si>
    <t>Canned Food</t>
  </si>
  <si>
    <t>อาหารกระป๋อง</t>
  </si>
  <si>
    <t>Canned Soup</t>
  </si>
  <si>
    <t>ซุปกระป๋อง</t>
  </si>
  <si>
    <t>Canned Meat</t>
  </si>
  <si>
    <t>เนื้อสัตว์กระป๋อง</t>
  </si>
  <si>
    <t>Canned Fish/Seafood</t>
  </si>
  <si>
    <t>ปลา-อาหารทะเลกระป๋อง</t>
  </si>
  <si>
    <t>Canned Bean/Vegetable</t>
  </si>
  <si>
    <t>ถั่ว-ผักกระป๋อง</t>
  </si>
  <si>
    <t>Canned Fruits</t>
  </si>
  <si>
    <t>ผลไม้กระป๋อง</t>
  </si>
  <si>
    <t>Others Canned Food</t>
  </si>
  <si>
    <t>อาหารกระป๋องสำเร็จรูปอื่นๆ</t>
  </si>
  <si>
    <t>Instant noodle / Soup / Porridge</t>
  </si>
  <si>
    <t>บะหมี่กึ่งสำเร็จรูป โจ๊กและซุป</t>
  </si>
  <si>
    <t>Instant Noodle</t>
  </si>
  <si>
    <t>บะหมี่กึ่งสำเร็จรูป</t>
  </si>
  <si>
    <t>Instant Porridge</t>
  </si>
  <si>
    <t>โจ๊ก-ข้าวต้มกึ่งสำเร็จรูป</t>
  </si>
  <si>
    <t>Instant Soup</t>
  </si>
  <si>
    <t>ซุปกึ่งสำเร็จรูป</t>
  </si>
  <si>
    <t>Pasta / Noodle</t>
  </si>
  <si>
    <t>เส้นทำจากแป้งกึ่งสำเร็จรูป</t>
  </si>
  <si>
    <t>Vermicelli</t>
  </si>
  <si>
    <t>Noodles</t>
  </si>
  <si>
    <t>เส้นก๋วยเตี๋ยว</t>
  </si>
  <si>
    <t>Pasta/Spagetti/Macaroni</t>
  </si>
  <si>
    <t>เส้นพาสต้า-สปาเก็ตตี้-มักกะโรนี</t>
  </si>
  <si>
    <t>Others Noodle</t>
  </si>
  <si>
    <t>เส้นที่ทำจากแป้งอื่นๆ</t>
  </si>
  <si>
    <t>Cereal / Salad Cream</t>
  </si>
  <si>
    <t>อาหารเช้า ผลิตภัณฑ์ทาขนมปัง-สลัด</t>
  </si>
  <si>
    <t>Cereal/Muesli/Oatmeal</t>
  </si>
  <si>
    <t>ซีเรียล-มูสลี่-ข้าวโอ๊ต</t>
  </si>
  <si>
    <t>Jam/Butter/Magarine/Honey</t>
  </si>
  <si>
    <t>แยม-เนย-มาการีน-น้ำผึ้ง</t>
  </si>
  <si>
    <t>Creamy Peanut Butter/Chocolate Spread</t>
  </si>
  <si>
    <t>เนยถั่ว-ครีมทาขนมปังรสช็อตโกแลต</t>
  </si>
  <si>
    <t>Salad Cream</t>
  </si>
  <si>
    <t>น้ำสลัด-ครีมสลัด</t>
  </si>
  <si>
    <t>Mustard/Wasabi</t>
  </si>
  <si>
    <t>มัสตาด-วาซาบิ</t>
  </si>
  <si>
    <t>Mayonnaise/Sandwich Spread</t>
  </si>
  <si>
    <t>มายองเนส-แซนวิสสเปรด</t>
  </si>
  <si>
    <t>Home Baking &amp; Sugar</t>
  </si>
  <si>
    <t>ส่วนผสมทำขนมและสารให้ความหวาน</t>
  </si>
  <si>
    <t>Flour</t>
  </si>
  <si>
    <t>แป้งทำขนมและอาหาร</t>
  </si>
  <si>
    <t>Baking Aids</t>
  </si>
  <si>
    <t>ผงฟู-เบกกิ้งโซดา-กลิ่นสำเร็จรูป</t>
  </si>
  <si>
    <t>Jelly/Gelatin</t>
  </si>
  <si>
    <t>ผงวุ้น-เจลาติน</t>
  </si>
  <si>
    <t>Baking Sugar</t>
  </si>
  <si>
    <t>น้ำตาล-สารให้ความหวาน-น้ำเชื่อม</t>
  </si>
  <si>
    <t>Unit EN</t>
  </si>
  <si>
    <t>g</t>
  </si>
  <si>
    <t>kg</t>
  </si>
  <si>
    <t>ml</t>
  </si>
  <si>
    <t>L</t>
  </si>
  <si>
    <t>เม็ด</t>
  </si>
  <si>
    <t>oz</t>
  </si>
  <si>
    <t>ขด</t>
  </si>
  <si>
    <t>ฟอง</t>
  </si>
  <si>
    <t>ลูก</t>
  </si>
  <si>
    <t>นิ้ว</t>
  </si>
  <si>
    <t>รีม</t>
  </si>
  <si>
    <t>ด้าม</t>
  </si>
  <si>
    <t>เล่ม</t>
  </si>
  <si>
    <t>แท่ง</t>
  </si>
  <si>
    <t>ตู้</t>
  </si>
  <si>
    <t>pc</t>
  </si>
  <si>
    <t>คัน</t>
  </si>
  <si>
    <t>each</t>
  </si>
  <si>
    <t>ก้าน</t>
  </si>
  <si>
    <t>no.</t>
  </si>
  <si>
    <t>Promo EN</t>
  </si>
  <si>
    <t>buy 1 get 1</t>
  </si>
  <si>
    <t>buy 2 get 1</t>
  </si>
  <si>
    <t>buy 3 get 1</t>
  </si>
  <si>
    <t>ซื้อ 7 แถม 1</t>
  </si>
  <si>
    <t>ซื้อ 8 แถม 1</t>
  </si>
  <si>
    <t>ซื้อ 9 แถม 1</t>
  </si>
  <si>
    <t>ซื้อ 10 แถม 1</t>
  </si>
  <si>
    <t>ซื้อ 15 แถม 1</t>
  </si>
  <si>
    <t>ถูกลง 10%</t>
  </si>
  <si>
    <t>ลดสูงสุดถึง 15%</t>
  </si>
  <si>
    <t>ลดสูงสุดถึง 20%</t>
  </si>
  <si>
    <t>ลดสูงสุดถึง 25%</t>
  </si>
  <si>
    <t>ลดสูงสุดถึง 30%</t>
  </si>
  <si>
    <t>ลดสูงสุดถึง 35%</t>
  </si>
  <si>
    <t>ลดสูงสุดถึง 50%</t>
  </si>
  <si>
    <t>ถูกลง 50%</t>
  </si>
  <si>
    <t>ซื้อ 2 คุ้มกว่า</t>
  </si>
  <si>
    <t>ซื้อ 3 คุ้มกว่า</t>
  </si>
  <si>
    <t>ซื้อ 4 คุ้มกว่า</t>
  </si>
  <si>
    <t>ซื้อ 5 คุ้มกว่า</t>
  </si>
  <si>
    <t>ซื้อ 6 คุ้มกว่า</t>
  </si>
  <si>
    <t>แพ็คคู่</t>
  </si>
  <si>
    <t>ขายดี</t>
  </si>
  <si>
    <t>แช่แข็ง</t>
  </si>
  <si>
    <t>แนะนำ</t>
  </si>
  <si>
    <t>ส่งฟรี</t>
  </si>
  <si>
    <t>มีโฆษณาทีวี</t>
  </si>
  <si>
    <t>สั่งจองล่วงหน้า 5 วัน</t>
  </si>
  <si>
    <t>โฉมใหม่</t>
  </si>
  <si>
    <t>ยกลังถูกกว่า</t>
  </si>
  <si>
    <t>1-Coffee Shop</t>
  </si>
  <si>
    <t>2-Retailer</t>
  </si>
  <si>
    <t>น้ำทิพย์</t>
  </si>
  <si>
    <t>Namthip</t>
  </si>
  <si>
    <t>ตราช้อน</t>
  </si>
  <si>
    <t>Spoon</t>
  </si>
  <si>
    <t>บัวมงกุฎ</t>
  </si>
  <si>
    <t>Bua Mongkut</t>
  </si>
  <si>
    <t>ไลอ้อน</t>
  </si>
  <si>
    <t>Lion</t>
  </si>
  <si>
    <t>โตโร</t>
  </si>
  <si>
    <t>TORO</t>
  </si>
  <si>
    <t>นมแท่ง</t>
  </si>
  <si>
    <t>NOM TANG</t>
  </si>
  <si>
    <t>ทิวลี่บอล</t>
  </si>
  <si>
    <t>TIVOLI BALL</t>
  </si>
  <si>
    <t>เอสโคล่า</t>
  </si>
  <si>
    <t xml:space="preserve">EST COLA </t>
  </si>
  <si>
    <t>เอ็ม150</t>
  </si>
  <si>
    <t>M-150</t>
  </si>
  <si>
    <t>วอลลิค</t>
  </si>
  <si>
    <t xml:space="preserve">VOLVIC </t>
  </si>
  <si>
    <t>ซาน เพลลีกรีโน</t>
  </si>
  <si>
    <t>SAN PELLEGRINO</t>
  </si>
  <si>
    <t>TAICHI</t>
  </si>
  <si>
    <t>สก๊อต</t>
  </si>
  <si>
    <t>Scotch</t>
  </si>
  <si>
    <t>พาเลซ</t>
  </si>
  <si>
    <t xml:space="preserve">PALACE </t>
  </si>
  <si>
    <t>ไทยเดนมาร์ค</t>
  </si>
  <si>
    <t>THAI-DANISH</t>
  </si>
  <si>
    <t>แมคเคอเรล</t>
  </si>
  <si>
    <t xml:space="preserve">MAKEREL </t>
  </si>
  <si>
    <t>ต้นไผ่</t>
  </si>
  <si>
    <t xml:space="preserve">TON-PAI </t>
  </si>
  <si>
    <t xml:space="preserve">SILVER LABEL </t>
  </si>
  <si>
    <t>น่ารัก</t>
  </si>
  <si>
    <t xml:space="preserve">Gillette </t>
  </si>
  <si>
    <t>มังกร</t>
  </si>
  <si>
    <t>12พลัส</t>
  </si>
  <si>
    <t xml:space="preserve">12 Plus </t>
  </si>
  <si>
    <t>บีไนท์</t>
  </si>
  <si>
    <t xml:space="preserve">BENICE </t>
  </si>
  <si>
    <t>มิกซ์เฟรซ</t>
  </si>
  <si>
    <t>MIXZ FRESH</t>
  </si>
  <si>
    <t>มามี่โพโค</t>
  </si>
  <si>
    <t xml:space="preserve">MAMY POKO </t>
  </si>
  <si>
    <t>ตราไก่ย่าง</t>
  </si>
  <si>
    <t>Kai yang</t>
  </si>
  <si>
    <t>แลนเซอร์</t>
  </si>
  <si>
    <t>LANCER</t>
  </si>
  <si>
    <t>ซีรี่ส์</t>
  </si>
  <si>
    <t>Pink Pie</t>
  </si>
  <si>
    <t>โคโตบุกิไม</t>
  </si>
  <si>
    <t>KOTOBUKI MAI</t>
  </si>
  <si>
    <t>La Margherita</t>
  </si>
  <si>
    <t>ซันไลต์เนเจอร์</t>
  </si>
  <si>
    <t>Sunlight Nature</t>
  </si>
  <si>
    <t>แอ็กซ์</t>
  </si>
  <si>
    <t>AXE</t>
  </si>
  <si>
    <t>มิสเตอร์ มัสเซิล</t>
  </si>
  <si>
    <t>Mr. Muscle</t>
  </si>
  <si>
    <t>วิม</t>
  </si>
  <si>
    <t>Vim</t>
  </si>
  <si>
    <t>เดลฟี่บิทส์</t>
  </si>
  <si>
    <t>Delfi Bits</t>
  </si>
  <si>
    <t>จูปาจุ๊ปส์</t>
  </si>
  <si>
    <t>Chupa Chups</t>
  </si>
  <si>
    <t>ลอตเต้</t>
  </si>
  <si>
    <t>Lotte</t>
  </si>
  <si>
    <t>เลย์</t>
  </si>
  <si>
    <t>ACCORD</t>
  </si>
  <si>
    <t>Airy</t>
  </si>
  <si>
    <t>เอปสัน</t>
  </si>
  <si>
    <t>EPSON</t>
  </si>
  <si>
    <t>ไมโครแพ็ค</t>
  </si>
  <si>
    <t>MicroPack</t>
  </si>
  <si>
    <t>COPY PLUS</t>
  </si>
  <si>
    <t>ไอเดียกรีน</t>
  </si>
  <si>
    <t>Idea Green</t>
  </si>
  <si>
    <t>เปเปอร์แม็กซ์</t>
  </si>
  <si>
    <t>Paper Max</t>
  </si>
  <si>
    <t>ALTECO</t>
  </si>
  <si>
    <t>โพสต์อิท</t>
  </si>
  <si>
    <t>POST IT</t>
  </si>
  <si>
    <t>เคไบค์</t>
  </si>
  <si>
    <t>K-BIKE</t>
  </si>
  <si>
    <t>ทีเอ็ม</t>
  </si>
  <si>
    <t>TM.</t>
  </si>
  <si>
    <t>R-SIMPLE</t>
  </si>
  <si>
    <t>พีเอสดั๊บเบิ้ลแวร์</t>
  </si>
  <si>
    <t>S.P. DOUBLE WARE</t>
  </si>
  <si>
    <t>เจ.ซี.เจ.</t>
  </si>
  <si>
    <t>JCJ</t>
  </si>
  <si>
    <t>ซือดะ</t>
  </si>
  <si>
    <t>ซัมเมอร์</t>
  </si>
  <si>
    <t>คูลโคโค่</t>
  </si>
  <si>
    <t>ซันควิก</t>
  </si>
  <si>
    <t>ซีเอสซี</t>
  </si>
  <si>
    <t>Minute Maid</t>
  </si>
  <si>
    <t>มินิทเมด</t>
  </si>
  <si>
    <t>Cornae</t>
  </si>
  <si>
    <t>Salz</t>
  </si>
  <si>
    <t>ANLENE</t>
  </si>
  <si>
    <t>KIWI</t>
  </si>
  <si>
    <t>Double Kilin</t>
  </si>
  <si>
    <t>Golden Pan</t>
  </si>
  <si>
    <t>Khao Shong 3 in 1</t>
  </si>
  <si>
    <t>Khao Shong 3 in 1 Super rich</t>
  </si>
  <si>
    <t>KRUAWANGTHIP</t>
  </si>
  <si>
    <t>Comfort Luxury</t>
  </si>
  <si>
    <t>Quaker</t>
  </si>
  <si>
    <t>Dairy Farm</t>
  </si>
  <si>
    <t>Snake Brand St. Luke’s</t>
  </si>
  <si>
    <t>GinGen</t>
  </si>
  <si>
    <t>JerHigh</t>
  </si>
  <si>
    <t>Cha-Lark-Ngurn</t>
  </si>
  <si>
    <t>Chaindrite</t>
  </si>
  <si>
    <t>Chaindrite1</t>
  </si>
  <si>
    <t>Sunsnack Saab</t>
  </si>
  <si>
    <t>SEA CROWN</t>
  </si>
  <si>
    <t>Cesar</t>
  </si>
  <si>
    <t>ST. ANDREWS</t>
  </si>
  <si>
    <t>7-Up</t>
  </si>
  <si>
    <t>Dragon tongue</t>
  </si>
  <si>
    <t>Darlie Salt Fresh</t>
  </si>
  <si>
    <t>Downy mystique</t>
  </si>
  <si>
    <t>Jing-Jai</t>
  </si>
  <si>
    <t>Fish Brand Five Star</t>
  </si>
  <si>
    <t>Squid brand</t>
  </si>
  <si>
    <t>Pikul Khaw Brand</t>
  </si>
  <si>
    <t>Bear Brand</t>
  </si>
  <si>
    <t>Toom-Tam</t>
  </si>
  <si>
    <t>TubTim</t>
  </si>
  <si>
    <t>Tivoli Twin</t>
  </si>
  <si>
    <t>Double Pigeon brand</t>
  </si>
  <si>
    <t>Falcon Brand</t>
  </si>
  <si>
    <t>Natriv BB UV Powder</t>
  </si>
  <si>
    <t>Nissin Pooh</t>
  </si>
  <si>
    <t>Nivea men blank &amp; white</t>
  </si>
  <si>
    <t>Nivea men invisible for blank &amp; white</t>
  </si>
  <si>
    <t>Nivea white acne mud foam for men</t>
  </si>
  <si>
    <t>Nescafe 3 in 1 Blend and Blue</t>
  </si>
  <si>
    <t>Brezze excel liquid Comfort</t>
  </si>
  <si>
    <t>Bun Bun</t>
  </si>
  <si>
    <t>Brand's gen U</t>
  </si>
  <si>
    <t>Biosafety</t>
  </si>
  <si>
    <t>Party Dory</t>
  </si>
  <si>
    <t>Pao White Nano Tech</t>
  </si>
  <si>
    <t>Pepsi Max</t>
  </si>
  <si>
    <t>Pantainorasingh</t>
  </si>
  <si>
    <t>Pond's white beauty</t>
  </si>
  <si>
    <t>PR</t>
  </si>
  <si>
    <t>Pedigree Dentastix</t>
  </si>
  <si>
    <t>Protex Pink Cool</t>
  </si>
  <si>
    <t>Protex Sport</t>
  </si>
  <si>
    <t>Farcent</t>
  </si>
  <si>
    <t>Fresh &amp; Soft</t>
  </si>
  <si>
    <t>Mali Gold</t>
  </si>
  <si>
    <t>Maruko</t>
  </si>
  <si>
    <t>Mitr Phol Gold</t>
  </si>
  <si>
    <t>Magic Farm</t>
  </si>
  <si>
    <t>Magnolia ginkgo plus</t>
  </si>
  <si>
    <t>Moki</t>
  </si>
  <si>
    <t>Gillette Super thin II</t>
  </si>
  <si>
    <t>Yuki</t>
  </si>
  <si>
    <t xml:space="preserve">Unif </t>
  </si>
  <si>
    <t>Yo Friend</t>
  </si>
  <si>
    <t>Ruk-Thai</t>
  </si>
  <si>
    <t>RACHA SODIUM GLUTAMATE</t>
  </si>
  <si>
    <t>rejoice soft and smooth</t>
  </si>
  <si>
    <t>Ranger Scout</t>
  </si>
  <si>
    <t>Listerine cool mint</t>
  </si>
  <si>
    <t>Listerine healthy bright</t>
  </si>
  <si>
    <t>Wai Wai Cup</t>
  </si>
  <si>
    <t>Scott extra</t>
  </si>
  <si>
    <t>All coco</t>
  </si>
  <si>
    <t>Extra</t>
  </si>
  <si>
    <t>Otori</t>
  </si>
  <si>
    <t>OMO</t>
  </si>
  <si>
    <t>OMO PLUS LIQUID</t>
  </si>
  <si>
    <t>Oishi</t>
  </si>
  <si>
    <t>Haiter Color</t>
  </si>
  <si>
    <t>โซย่าทู</t>
  </si>
  <si>
    <t>Aroma</t>
  </si>
  <si>
    <t>Coffee Mate</t>
  </si>
  <si>
    <t>King Elephant</t>
  </si>
  <si>
    <t>Ajinomoto</t>
  </si>
  <si>
    <t>Curry House</t>
  </si>
  <si>
    <t>Kenichi Mai</t>
  </si>
  <si>
    <t>Pikulkaew</t>
  </si>
  <si>
    <t>Konbakkung</t>
  </si>
  <si>
    <t>Django</t>
  </si>
  <si>
    <t>Nguan-Shiang</t>
  </si>
  <si>
    <t>RazorClam</t>
  </si>
  <si>
    <t>Pigeon</t>
  </si>
  <si>
    <t>Super-C-Chef</t>
  </si>
  <si>
    <t>Biomat</t>
  </si>
  <si>
    <t>Makro</t>
  </si>
  <si>
    <t>Fest</t>
  </si>
  <si>
    <t>Gracs Simple</t>
  </si>
  <si>
    <t>Superware</t>
  </si>
  <si>
    <t>Aaccord</t>
  </si>
  <si>
    <t>Tayas</t>
  </si>
  <si>
    <t>EL Charro</t>
  </si>
  <si>
    <t>กูลิโกะ</t>
  </si>
  <si>
    <t>Serda</t>
  </si>
  <si>
    <t>Zummer</t>
  </si>
  <si>
    <t>Cool Koko</t>
  </si>
  <si>
    <t>Eco</t>
  </si>
  <si>
    <t>ทิพรส</t>
  </si>
  <si>
    <t>Classic|Eco</t>
  </si>
  <si>
    <t>126-Soft Drink</t>
  </si>
  <si>
    <t>N</t>
  </si>
  <si>
    <t>bottle</t>
  </si>
  <si>
    <t>173-Bouillon/Flavored Seasoning</t>
  </si>
  <si>
    <t>121-Coffee cream</t>
  </si>
  <si>
    <t>Eco|Classic</t>
  </si>
  <si>
    <t>115-UHT / Sterilized Milk</t>
  </si>
  <si>
    <t>44-Party Utensils</t>
  </si>
  <si>
    <t>182-Other Sauce</t>
  </si>
  <si>
    <t>175-Soy Sauce/Soy Bean Paste</t>
  </si>
  <si>
    <t>168-Sticky Rice</t>
  </si>
  <si>
    <t>138-Snack Fish</t>
  </si>
  <si>
    <t>118-Instant / Ready to drink coffee</t>
  </si>
  <si>
    <t>191-Canned Bean/Vegetable</t>
  </si>
  <si>
    <t>190-Canned Fish/Seafood</t>
  </si>
  <si>
    <t>79-Plastic Storage</t>
  </si>
  <si>
    <t>47-Cooking Utensils</t>
  </si>
  <si>
    <t>74-Dish Washer</t>
  </si>
  <si>
    <t>87-Refrigerator</t>
  </si>
  <si>
    <t>66-Toilet Roll</t>
  </si>
  <si>
    <t>186-Corn/Sunflower/Rice Bran Oil</t>
  </si>
  <si>
    <t>111-100% fruit/veggie juice</t>
  </si>
  <si>
    <t>180-Fish Sauce</t>
  </si>
  <si>
    <t>chicken</t>
  </si>
  <si>
    <t>69-Floor care</t>
  </si>
  <si>
    <t>77-Wardrobe / Chairs / Sofa</t>
  </si>
  <si>
    <t>Blue</t>
  </si>
  <si>
    <t>170-Grain / Herb / Dried Fruit</t>
  </si>
  <si>
    <t>155-Storage Folder</t>
  </si>
  <si>
    <t>45-Eating Utensils</t>
  </si>
  <si>
    <t>pink</t>
  </si>
  <si>
    <t>146-Bubble gums</t>
  </si>
  <si>
    <t>184-Palm Oil</t>
  </si>
  <si>
    <t>177-Oyster Sauce</t>
  </si>
  <si>
    <t>50-Garbage Bag</t>
  </si>
  <si>
    <t>145-Sweet</t>
  </si>
  <si>
    <t>57-Fabric Softener</t>
  </si>
  <si>
    <t>cup</t>
  </si>
  <si>
    <t>161-Pen / Ink / Refill ink</t>
  </si>
  <si>
    <t>157-Glue / Tape / Tape Holder</t>
  </si>
  <si>
    <t>108-Drinking water</t>
  </si>
  <si>
    <t>166-Fragrant Rice</t>
  </si>
  <si>
    <t>55-Powder Detergent</t>
  </si>
  <si>
    <t>washing powder</t>
  </si>
  <si>
    <t>101-Iron</t>
  </si>
  <si>
    <t>136-Snack</t>
  </si>
  <si>
    <t>22 cm.</t>
  </si>
  <si>
    <t>Pink</t>
  </si>
  <si>
    <t>181-Vinegar</t>
  </si>
  <si>
    <t>210-Baking Sugar</t>
  </si>
  <si>
    <t>59-Bleach / Stain Removal</t>
  </si>
  <si>
    <t>chocolate</t>
  </si>
  <si>
    <t>151-Crackers</t>
  </si>
  <si>
    <t>109-Mineral Water</t>
  </si>
  <si>
    <t>116-Soy Bean Milk</t>
  </si>
  <si>
    <t>Plain</t>
  </si>
  <si>
    <t>171-Jasmine Rice</t>
  </si>
  <si>
    <t>159-Binder / Clips</t>
  </si>
  <si>
    <t>100-Fan</t>
  </si>
  <si>
    <t>92-Electric Pan</t>
  </si>
  <si>
    <t>85-Freezer</t>
  </si>
  <si>
    <t>150-Wafer</t>
  </si>
  <si>
    <t>135-Chips</t>
  </si>
  <si>
    <t>205-Mustard/Wasabi</t>
  </si>
  <si>
    <t>199-Pasta/Spagetti/Macaroni</t>
  </si>
  <si>
    <t>86-Washing Machine / Dryer</t>
  </si>
  <si>
    <t>56-Laundry Detergent</t>
  </si>
  <si>
    <t>197-Vermicelli</t>
  </si>
  <si>
    <t>95-Microwave / Oven</t>
  </si>
  <si>
    <t>194-Instant Noodle</t>
  </si>
  <si>
    <t>172-Chili Paste Ingredients&amp;Sauces/Coconut Milk</t>
  </si>
  <si>
    <t>154-Copy paper</t>
  </si>
  <si>
    <t>176-Chili/Tomato Sauce</t>
  </si>
  <si>
    <t>131-Energy drink</t>
  </si>
  <si>
    <t>M</t>
  </si>
  <si>
    <t>133-Herbal drink / Cereal drink</t>
  </si>
  <si>
    <t>123-Ready to drink tea</t>
  </si>
  <si>
    <t>81-Power Socket / Adapter</t>
  </si>
  <si>
    <t>75-Bedding sheet / set / Blanket</t>
  </si>
  <si>
    <t>114-Others</t>
  </si>
  <si>
    <t>78-Shelf / Display Shelf / Shoe Shelf</t>
  </si>
  <si>
    <t>51-Basket</t>
  </si>
  <si>
    <t>96-Rice Cooker</t>
  </si>
  <si>
    <t>129-Herbal / Condensed juice</t>
  </si>
  <si>
    <t>207-Flour</t>
  </si>
  <si>
    <t>179-Sugar</t>
  </si>
  <si>
    <t>153-Biscuit</t>
  </si>
  <si>
    <t>105-T.V.</t>
  </si>
  <si>
    <t>76-Towel</t>
  </si>
  <si>
    <t>orange</t>
  </si>
  <si>
    <t>139-Seasoned Seaweed</t>
  </si>
  <si>
    <t>160-Table / Cabinet</t>
  </si>
  <si>
    <t>54-Others</t>
  </si>
  <si>
    <t>Green Apple</t>
  </si>
  <si>
    <t>117-UHT Yogurt</t>
  </si>
  <si>
    <t>แกลลอน</t>
  </si>
  <si>
    <t>ถุง</t>
  </si>
  <si>
    <t>กระป๋อง</t>
  </si>
  <si>
    <t>หวาน</t>
  </si>
  <si>
    <t>จืด</t>
  </si>
  <si>
    <t>นมข้นจืด</t>
  </si>
  <si>
    <t>ข้าวเหนียวเขี้ยวงู</t>
  </si>
  <si>
    <t>น้ำมันรำข้าว</t>
  </si>
  <si>
    <t>ไก่</t>
  </si>
  <si>
    <t>หมู</t>
  </si>
  <si>
    <t>ชมพู</t>
  </si>
  <si>
    <t>ผงชูรส</t>
  </si>
  <si>
    <t>ขาว</t>
  </si>
  <si>
    <t>22 ซม.</t>
  </si>
  <si>
    <t>ซอสปรุงอาหาร</t>
  </si>
  <si>
    <t>ส้ม</t>
  </si>
  <si>
    <t>ช็อกโกแลต</t>
  </si>
  <si>
    <t>16 นิ้ว</t>
  </si>
  <si>
    <t>ยาสีฟัน</t>
  </si>
  <si>
    <t>14 นิ้ว</t>
  </si>
  <si>
    <t>เส้นหมี่อบแห้ง</t>
  </si>
  <si>
    <t>แผง</t>
  </si>
  <si>
    <t>กะทิ</t>
  </si>
  <si>
    <t>เส้นสปาเก็ตตี้</t>
  </si>
  <si>
    <t>เครื่องดื่มน้ำอัดลม</t>
  </si>
  <si>
    <t>เนื้อ</t>
  </si>
  <si>
    <t>ซอสพริก</t>
  </si>
  <si>
    <t>ออริจินัล</t>
  </si>
  <si>
    <t>ต้มยำกุ้ง</t>
  </si>
  <si>
    <t>ดำ</t>
  </si>
  <si>
    <t>ใส</t>
  </si>
  <si>
    <t>เกรด A</t>
  </si>
  <si>
    <t>ถั่วลิสงอบกรอบ</t>
  </si>
  <si>
    <t>ดั้งเดิม</t>
  </si>
  <si>
    <t>28 ซม.</t>
  </si>
  <si>
    <t>32 นิ้ว</t>
  </si>
  <si>
    <t>90x60x75 ซม.</t>
  </si>
  <si>
    <t>15x30 นิ้ว</t>
  </si>
  <si>
    <t>ซอสมะเขือเทศ</t>
  </si>
  <si>
    <t>202-Jam/Butter/Magarine/Honey</t>
  </si>
  <si>
    <t>Unsalted</t>
  </si>
  <si>
    <t>Salted</t>
  </si>
  <si>
    <t>เค็ม</t>
  </si>
  <si>
    <t>ลัง</t>
  </si>
  <si>
    <t>กุนเชียงหมู</t>
  </si>
  <si>
    <t>สตรอเบอรี่</t>
  </si>
  <si>
    <t>1 ลิตร</t>
  </si>
  <si>
    <t>134-Chocolate / coco / Malt drink</t>
  </si>
  <si>
    <t>วานิลลา</t>
  </si>
  <si>
    <t>112-Economy&amp;Medium Fruit/Vegetable Juice</t>
  </si>
  <si>
    <t>49-Sponge</t>
  </si>
  <si>
    <t>53-Mop / Spin Mop</t>
  </si>
  <si>
    <t>64-Insect Killer</t>
  </si>
  <si>
    <t>125-Soda / Mixer</t>
  </si>
  <si>
    <t>130-Birdnest / Ginseng</t>
  </si>
  <si>
    <t>143-Seasoned Beans</t>
  </si>
  <si>
    <t>144-Chocolate</t>
  </si>
  <si>
    <t>201-Cereal/Muesli/Oatmeal</t>
  </si>
  <si>
    <t>ฮานามิ</t>
  </si>
  <si>
    <t>โปร</t>
  </si>
  <si>
    <t>น้ำตาลสด</t>
  </si>
  <si>
    <t>ORIGINAL</t>
  </si>
  <si>
    <t>CHOCOLATE</t>
  </si>
  <si>
    <t>คาราเมล</t>
  </si>
  <si>
    <t>MIX BERRY</t>
  </si>
  <si>
    <t>STRAWBERRY</t>
  </si>
  <si>
    <t>แอปเปิ้ล</t>
  </si>
  <si>
    <t>PINEAPPLE</t>
  </si>
  <si>
    <t>สับปะรด</t>
  </si>
  <si>
    <t>ดูมิลค์</t>
  </si>
  <si>
    <t>BEEF</t>
  </si>
  <si>
    <t>ปลาทะเล</t>
  </si>
  <si>
    <t>TOMYUM KUNG</t>
  </si>
  <si>
    <t>ยำยำ</t>
  </si>
  <si>
    <t>ยาลดไข้</t>
  </si>
  <si>
    <t>Paracetamol</t>
  </si>
  <si>
    <t>ผ้าอนามัย ซอฟท์&amp;เซฟ สลิมมีปีก</t>
  </si>
  <si>
    <t>Sanitary Napkin Soft&amp;Safe Slim</t>
  </si>
  <si>
    <t>ลอรีเอะซอฟท์แอนด์เซฟสลิมปีก 4 ชิ้น 3 ห่อ มูลค่า 36 บาท เมื่อซื้อลอรีเอะ ทุกรุ่นทุกขนาดครบ 300 บาท</t>
  </si>
  <si>
    <t>ยาสีฟัน ดับเบิ้ลแอ็คชั่น</t>
  </si>
  <si>
    <t>Double Action Toothpaste</t>
  </si>
  <si>
    <t>Soybean Paste</t>
  </si>
  <si>
    <t>Pork Sausage</t>
  </si>
  <si>
    <t>มินิครัวซองท์</t>
  </si>
  <si>
    <t>Mini Croissant</t>
  </si>
  <si>
    <t>โยเกิร์ต รสธรรมชาติ</t>
  </si>
  <si>
    <t>Plain Yogurt</t>
  </si>
  <si>
    <t>ธรรมชาติ</t>
  </si>
  <si>
    <t>โยเกิร์ต รสกลมกล่อม</t>
  </si>
  <si>
    <t>Sweetened Yogurt</t>
  </si>
  <si>
    <t>Sweetened</t>
  </si>
  <si>
    <t>กลมกล่อม</t>
  </si>
  <si>
    <t>โยเกิร์ต รสโกลเด้นฮันนี่</t>
  </si>
  <si>
    <t>Golden Honey Yogurt</t>
  </si>
  <si>
    <t>Golden Honey</t>
  </si>
  <si>
    <t>โกลเด้นฮันนี่</t>
  </si>
  <si>
    <t>เนยคลาสสิค ชนิดจืด</t>
  </si>
  <si>
    <t>Unsalted Classic Butter</t>
  </si>
  <si>
    <t>เนยคลาสสิค ชนิดเค็ม</t>
  </si>
  <si>
    <t>Salted Classic Butter</t>
  </si>
  <si>
    <t>7 มม.</t>
  </si>
  <si>
    <t>10 มม.</t>
  </si>
  <si>
    <t>carton</t>
  </si>
  <si>
    <t>แหนม</t>
  </si>
  <si>
    <t>เอส</t>
  </si>
  <si>
    <t>เนื้อปลาหมึกยักษ์ลอกหนัง แช่แข็ง</t>
  </si>
  <si>
    <t>Frozen Giant Squid fillet Skin Off</t>
  </si>
  <si>
    <t>แอลอีดี ทีวี 32" #32LE275x</t>
  </si>
  <si>
    <t>32 in.</t>
  </si>
  <si>
    <t>ยูเอสดี ทีวี 55" #55UH615T</t>
  </si>
  <si>
    <t>UHD TV 55" #55UH615T</t>
  </si>
  <si>
    <t>55 in.</t>
  </si>
  <si>
    <t>55 นิ้ว</t>
  </si>
  <si>
    <t>40 นิ้ว</t>
  </si>
  <si>
    <t>1 L</t>
  </si>
  <si>
    <t>คิว</t>
  </si>
  <si>
    <t>ตู้แช่แข็งฝาทึบ #SF-PC997</t>
  </si>
  <si>
    <t>9.5 คิว</t>
  </si>
  <si>
    <t>sheet</t>
  </si>
  <si>
    <t>ชุดคว่ำจาน</t>
  </si>
  <si>
    <t>Plastic Dish Rack</t>
  </si>
  <si>
    <t>โต๊ะพับหน้าโฟเมก้าขาพ่นดำ</t>
  </si>
  <si>
    <t>Foldable Table</t>
  </si>
  <si>
    <t>120 x60 x75 cm</t>
  </si>
  <si>
    <t>120 x60 x75 ซม</t>
  </si>
  <si>
    <t>beach</t>
  </si>
  <si>
    <t>บีช</t>
  </si>
  <si>
    <t>80x60x75 cm</t>
  </si>
  <si>
    <t>80x60x75 ซม.</t>
  </si>
  <si>
    <t>ซม.</t>
  </si>
  <si>
    <t>10 นิ้ว</t>
  </si>
  <si>
    <t>30x60 นิ้ว</t>
  </si>
  <si>
    <t>ช้อนสั้น พีพี</t>
  </si>
  <si>
    <t>12x12 นิ้ว</t>
  </si>
  <si>
    <t>เอ็ม</t>
  </si>
  <si>
    <t>24+5</t>
  </si>
  <si>
    <t>3x4 in</t>
  </si>
  <si>
    <t>3x4 นิ้ว</t>
  </si>
  <si>
    <t>27x54 นิ้ว</t>
  </si>
  <si>
    <t>Wafer Chocolate</t>
  </si>
  <si>
    <t>CHICKEN</t>
  </si>
  <si>
    <t>เจเล่</t>
  </si>
  <si>
    <t>แปรงสีฟัน แอคทีฟซอฟท์</t>
  </si>
  <si>
    <t>TOOTHBRUSH ACTIVE SOFT</t>
  </si>
  <si>
    <t>TEMPURA FLOUR</t>
  </si>
  <si>
    <t>SOFT CANDY MIX</t>
  </si>
  <si>
    <t>3IN1 เครื่องดื่มมอลต์สกัด รสช็อกโกแลต</t>
  </si>
  <si>
    <t>3IN1 Malt extract Chocolate</t>
  </si>
  <si>
    <t>ถั่วแดงกวน</t>
  </si>
  <si>
    <t>RED BEAN</t>
  </si>
  <si>
    <t>เฟตาชีส</t>
  </si>
  <si>
    <t>CHEESE</t>
  </si>
  <si>
    <t>เนื้อปลาหมึกยักษ์ลอกแช่แข็งยกลัง</t>
  </si>
  <si>
    <t>Squid meat</t>
  </si>
  <si>
    <t>WASABI</t>
  </si>
  <si>
    <t>CORN SEED</t>
  </si>
  <si>
    <t>SEASONING PORK</t>
  </si>
  <si>
    <t>SEASONING CHICKEN</t>
  </si>
  <si>
    <t>หมูบดแช่แข็ง</t>
  </si>
  <si>
    <t>PORK</t>
  </si>
  <si>
    <t>SEASONING SAUCE</t>
  </si>
  <si>
    <t>ตราชฎา</t>
  </si>
  <si>
    <t>ผงชูรสแท้</t>
  </si>
  <si>
    <t>MSG</t>
  </si>
  <si>
    <t>ซอสปรุงรสฝาเขียว</t>
  </si>
  <si>
    <t>CHILI SAUCE</t>
  </si>
  <si>
    <t>FISH SAUCE</t>
  </si>
  <si>
    <t>DOUBLE PAGODA NUT</t>
  </si>
  <si>
    <t>CREAMER</t>
  </si>
  <si>
    <t>สตอเบอรี่ท๊อปปิ้ง</t>
  </si>
  <si>
    <t>TOPPING STRAWBERRY</t>
  </si>
  <si>
    <t>ข้าวโพดปอปคอร์น</t>
  </si>
  <si>
    <t>purple</t>
  </si>
  <si>
    <t>กลัก</t>
  </si>
  <si>
    <t>CORNFLAKE</t>
  </si>
  <si>
    <t>STICKY RICE</t>
  </si>
  <si>
    <t>SPAGHETTI</t>
  </si>
  <si>
    <t>ซีอิ๋วขาวสูตร1</t>
  </si>
  <si>
    <t>SOYBEAN SAUCE 1</t>
  </si>
  <si>
    <t>CATERING WOK</t>
  </si>
  <si>
    <t>5 ลิตร</t>
  </si>
  <si>
    <t>WHITE RICE 100%</t>
  </si>
  <si>
    <t>ข้าวหอมมะลิ 100%</t>
  </si>
  <si>
    <t>JASMINE RICE 100%</t>
  </si>
  <si>
    <t>Soft drink</t>
  </si>
  <si>
    <t>มังกรคู่</t>
  </si>
  <si>
    <t>นกขั้วโลก</t>
  </si>
  <si>
    <t>หมูสับ</t>
  </si>
  <si>
    <t>can</t>
  </si>
  <si>
    <t>Pro</t>
  </si>
  <si>
    <t>TOMATO</t>
  </si>
  <si>
    <t>มะเขือเทศ</t>
  </si>
  <si>
    <t>คาลพิสแลคโตะ</t>
  </si>
  <si>
    <t>ยูเอฟซี</t>
  </si>
  <si>
    <t>COCONUT</t>
  </si>
  <si>
    <t>โคโค่แม็ค</t>
  </si>
  <si>
    <t>สตาร์ทพลัส</t>
  </si>
  <si>
    <t>ตลาดน้ำ</t>
  </si>
  <si>
    <t>ซันโว</t>
  </si>
  <si>
    <t>เพรียว</t>
  </si>
  <si>
    <t>ชวาร์สคอฟ</t>
  </si>
  <si>
    <t>Light gray</t>
  </si>
  <si>
    <t>เทาสว่าง</t>
  </si>
  <si>
    <t>LAVENDER</t>
  </si>
  <si>
    <t>ลาเวนเดอร์</t>
  </si>
  <si>
    <t>แลคตาซิด</t>
  </si>
  <si>
    <t>พอลล่า</t>
  </si>
  <si>
    <t>เบอร์แมน</t>
  </si>
  <si>
    <t>Original</t>
  </si>
  <si>
    <t>มาชิตะ</t>
  </si>
  <si>
    <t>โกกิ</t>
  </si>
  <si>
    <t>pork</t>
  </si>
  <si>
    <t>80 gram</t>
  </si>
  <si>
    <t>80 แกรม</t>
  </si>
  <si>
    <t>โอเชี่ยน</t>
  </si>
  <si>
    <t>ฟูจิซัน</t>
  </si>
  <si>
    <t>สตรอเบอร์รี่</t>
  </si>
  <si>
    <t>DRINKING WATER</t>
  </si>
  <si>
    <t>เครื่องดื่มชูกำลัง</t>
  </si>
  <si>
    <t>น้ำสับปะรด 100%</t>
  </si>
  <si>
    <t>100% PINEAPPLE JUICE</t>
  </si>
  <si>
    <t>KOKO KRUNCH CEREAL</t>
  </si>
  <si>
    <t>มูสลีไม่มีน้ำตาล</t>
  </si>
  <si>
    <t>MOUSLI NO SUGAR ADDED</t>
  </si>
  <si>
    <t>3IN1 ESPRESSO Instant Coffee Powder</t>
  </si>
  <si>
    <t>DOG FOOD BEEF</t>
  </si>
  <si>
    <t>อาหารสุนัข รสเนื้อ</t>
  </si>
  <si>
    <t>อาหารแมว รสปลาทะเล</t>
  </si>
  <si>
    <t xml:space="preserve">SEAFOOD SENSATIONS CAT FOOD </t>
  </si>
  <si>
    <t>ทูน่าแซนวิชในน้ำแร่</t>
  </si>
  <si>
    <t>ทูน่าสเต็กในน้ำมันพืช</t>
  </si>
  <si>
    <t>TUNA IN SOYBEAN OIL</t>
  </si>
  <si>
    <t>ทูน่าสเต็กในน้ำเกลือ</t>
  </si>
  <si>
    <t>TUNA IN BRINE</t>
  </si>
  <si>
    <t>ทูน่าสเต็กในน้ำแร่</t>
  </si>
  <si>
    <t>TUNA IN MINERAL</t>
  </si>
  <si>
    <t>ซอสปรุงรส ฝาเขียว</t>
  </si>
  <si>
    <t>GREEN CAP SAUCE</t>
  </si>
  <si>
    <t>น้ำมันปาล์มขวด</t>
  </si>
  <si>
    <t>PALM OIL</t>
  </si>
  <si>
    <t>คัพ มะหมี่กึ่งสำเร็จรูป รสต้มยำกุ้ง</t>
  </si>
  <si>
    <t>CUP Instant noodle TOMYUM KUNG</t>
  </si>
  <si>
    <t>ข้าวขาว 100%</t>
  </si>
  <si>
    <t>ข้าวขาวเสาไห้ 100%</t>
  </si>
  <si>
    <t>Freezer #SF-PC997</t>
  </si>
  <si>
    <t>Gaysorn</t>
  </si>
  <si>
    <t>เซลล็อกซ์</t>
  </si>
  <si>
    <t>Cellox</t>
  </si>
  <si>
    <t>ดูเม็กซ์</t>
  </si>
  <si>
    <t>Dumex</t>
  </si>
  <si>
    <t>ตรางู</t>
  </si>
  <si>
    <t>Snake Brand</t>
  </si>
  <si>
    <t>ฟีโอนิกซ์</t>
  </si>
  <si>
    <t>Feonix</t>
  </si>
  <si>
    <t>เรเซอร์</t>
  </si>
  <si>
    <t>Racer</t>
  </si>
  <si>
    <t>Ocean</t>
  </si>
  <si>
    <t>โพลี่ไบร์ท</t>
  </si>
  <si>
    <t>Poly Brite</t>
  </si>
  <si>
    <t>ซูปเปอร์แคท</t>
  </si>
  <si>
    <t>Supercat</t>
  </si>
  <si>
    <t>ฮีโร่</t>
  </si>
  <si>
    <t>Hero</t>
  </si>
  <si>
    <t>เอส แอนด์ ดับบิว</t>
  </si>
  <si>
    <t>เฮ้าส์ฟู๊ด</t>
  </si>
  <si>
    <t>House Foods</t>
  </si>
  <si>
    <t>โกลเด้น แพน</t>
  </si>
  <si>
    <t>บอนกาแฟ</t>
  </si>
  <si>
    <t>Bon Café</t>
  </si>
  <si>
    <t>เอเจ</t>
  </si>
  <si>
    <t>AJ</t>
  </si>
  <si>
    <t>ชัวร์</t>
  </si>
  <si>
    <t>Sure</t>
  </si>
  <si>
    <t>สตัดดี้</t>
  </si>
  <si>
    <t>Study</t>
  </si>
  <si>
    <t>ห้าดาว</t>
  </si>
  <si>
    <t>Five Stars</t>
  </si>
  <si>
    <t>ปาร์ตี้ แดรี่</t>
  </si>
  <si>
    <t>Party Dairy</t>
  </si>
  <si>
    <t>ไทเชฟ</t>
  </si>
  <si>
    <t>Thychef</t>
  </si>
  <si>
    <t>KruaWangthip</t>
  </si>
  <si>
    <t>เฮอริเทจ</t>
  </si>
  <si>
    <t>Heritage</t>
  </si>
  <si>
    <t>แคนดี้ แชร์</t>
  </si>
  <si>
    <t>Candy Chair</t>
  </si>
  <si>
    <t>ชีโตส</t>
  </si>
  <si>
    <t>Chetos</t>
  </si>
  <si>
    <t>ดัชมิลล์</t>
  </si>
  <si>
    <t>Dutch Mill</t>
  </si>
  <si>
    <t>โยโมสต์</t>
  </si>
  <si>
    <t>Yomost</t>
  </si>
  <si>
    <t>ดอรี่</t>
  </si>
  <si>
    <t>Dory</t>
  </si>
  <si>
    <t>Calcheese</t>
  </si>
  <si>
    <t>est</t>
  </si>
  <si>
    <t>Jele</t>
  </si>
  <si>
    <t>คาลบี้</t>
  </si>
  <si>
    <t>Calbee</t>
  </si>
  <si>
    <t>Calpis Lacto</t>
  </si>
  <si>
    <t>Schwarzkopf</t>
  </si>
  <si>
    <t>Dumilk</t>
  </si>
  <si>
    <t>Tra Chada</t>
  </si>
  <si>
    <t>Floating Market</t>
  </si>
  <si>
    <t>Thipparos</t>
  </si>
  <si>
    <t>ผงวาซาบิ</t>
  </si>
  <si>
    <t>Hanami</t>
  </si>
  <si>
    <t>อีฟ</t>
  </si>
  <si>
    <t>If</t>
  </si>
  <si>
    <t>ออง-เทร่</t>
  </si>
  <si>
    <t>Entrée</t>
  </si>
  <si>
    <t>Start Plus</t>
  </si>
  <si>
    <t>YumYum</t>
  </si>
  <si>
    <t>UFC</t>
  </si>
  <si>
    <t>Mashita</t>
  </si>
  <si>
    <t>Double Dragon</t>
  </si>
  <si>
    <t>Berman</t>
  </si>
  <si>
    <t>Preaw</t>
  </si>
  <si>
    <t>เอส-26</t>
  </si>
  <si>
    <t>S-26</t>
  </si>
  <si>
    <t xml:space="preserve">McGarrett </t>
  </si>
  <si>
    <t>แม็กกาเร็ต</t>
  </si>
  <si>
    <t>Lactacyd</t>
  </si>
  <si>
    <t>Gogi</t>
  </si>
  <si>
    <t>Cocomax</t>
  </si>
  <si>
    <t>กุมิ กุมิ</t>
  </si>
  <si>
    <t>Gumi Gumi</t>
  </si>
  <si>
    <t>Chocky</t>
  </si>
  <si>
    <t>Sanvo</t>
  </si>
  <si>
    <t>Polar Birds</t>
  </si>
  <si>
    <t>Paula</t>
  </si>
  <si>
    <t>TOILET ROLL</t>
  </si>
  <si>
    <t>Fujisan</t>
  </si>
  <si>
    <t>Mong Kud Phet</t>
  </si>
  <si>
    <t>มงกุฎเพชร</t>
  </si>
  <si>
    <t>ก๊อปปี้แอนด์เลเซอร์</t>
  </si>
  <si>
    <t>เกีย</t>
  </si>
  <si>
    <t>House</t>
  </si>
  <si>
    <t>Grace</t>
  </si>
  <si>
    <t>โกปิโก้</t>
  </si>
  <si>
    <t>แดรี่ฟาร์ม</t>
  </si>
  <si>
    <t>ตราจรวด</t>
  </si>
  <si>
    <t>WD-40</t>
  </si>
  <si>
    <t>ซันนี่</t>
  </si>
  <si>
    <t>เนเจอร์กิฟ</t>
  </si>
  <si>
    <t>Naturegift</t>
  </si>
  <si>
    <t>บรีส</t>
  </si>
  <si>
    <t>เบอร์ทอลลี่</t>
  </si>
  <si>
    <t>Bertolli</t>
  </si>
  <si>
    <t>Prochiz Cheddar</t>
  </si>
  <si>
    <t>Paidang</t>
  </si>
  <si>
    <t>พีเดียชัวร์</t>
  </si>
  <si>
    <t>Pediasure</t>
  </si>
  <si>
    <t>Pantene</t>
  </si>
  <si>
    <t>เมจิก ฟาร์ม</t>
  </si>
  <si>
    <t>โมเดส</t>
  </si>
  <si>
    <t>Monini</t>
  </si>
  <si>
    <t>Rejoice</t>
  </si>
  <si>
    <t>ลิตเติ้ลเชฟ</t>
  </si>
  <si>
    <t>ลิสเตอร์รีน</t>
  </si>
  <si>
    <t>ลีแอนด์เพอร์รินส์</t>
  </si>
  <si>
    <t>Lee &amp; Perrin</t>
  </si>
  <si>
    <t>Wall’s</t>
  </si>
  <si>
    <t>Hanfa</t>
  </si>
  <si>
    <t>ออตโต้</t>
  </si>
  <si>
    <t>Uncle Barns</t>
  </si>
  <si>
    <t>Alfredo</t>
  </si>
  <si>
    <t>ไทยซอสเซส</t>
  </si>
  <si>
    <t>ชิห์สุ</t>
  </si>
  <si>
    <t>ฟอร์แคร์ เทสตี้ฟิต</t>
  </si>
  <si>
    <t>4CARE TASTIFIT</t>
  </si>
  <si>
    <t>ตรานกพิราบ</t>
  </si>
  <si>
    <t>Pigeon brand</t>
  </si>
  <si>
    <t>ยินเลตต์</t>
  </si>
  <si>
    <t>Dragon</t>
  </si>
  <si>
    <t>เปาเอ็มวอช</t>
  </si>
  <si>
    <t>Pao M.Wash</t>
  </si>
  <si>
    <t>แอรี่</t>
  </si>
  <si>
    <t>แอโรเทค</t>
  </si>
  <si>
    <t>ซินซาโน่</t>
  </si>
  <si>
    <t>Zinsano</t>
  </si>
  <si>
    <t>อาร์ ซิมเปิ้ล</t>
  </si>
  <si>
    <t>พริสม่าโปร</t>
  </si>
  <si>
    <t>Prismapro</t>
  </si>
  <si>
    <t>อเพเซอร์</t>
  </si>
  <si>
    <t>Apacer</t>
  </si>
  <si>
    <t>ฮาน่า</t>
  </si>
  <si>
    <t>Hana</t>
  </si>
  <si>
    <t>เฮ้าส์เวิร์ด</t>
  </si>
  <si>
    <t>House Worth</t>
  </si>
  <si>
    <t>เชฟ</t>
  </si>
  <si>
    <t>Chef</t>
  </si>
  <si>
    <t>ม้าลาย</t>
  </si>
  <si>
    <t>Zebra</t>
  </si>
  <si>
    <t>ท็อปโป</t>
  </si>
  <si>
    <t>Toppo</t>
  </si>
  <si>
    <t>ออกซิเจน</t>
  </si>
  <si>
    <t>Oxygen</t>
  </si>
  <si>
    <t>ซุปเปอร์</t>
  </si>
  <si>
    <t>Super</t>
  </si>
  <si>
    <t>เบลจิโอ</t>
  </si>
  <si>
    <t>Belgioioso</t>
  </si>
  <si>
    <t>ชัวร์วิป</t>
  </si>
  <si>
    <t>Sure Whip</t>
  </si>
  <si>
    <t>โปรชีส</t>
  </si>
  <si>
    <t>Prochiz</t>
  </si>
  <si>
    <t>เคซีเอฟ</t>
  </si>
  <si>
    <t>มือที่ 1</t>
  </si>
  <si>
    <t>Hand Brand No.1</t>
  </si>
  <si>
    <t>ซาโบรโซ่</t>
  </si>
  <si>
    <t>Sabroso</t>
  </si>
  <si>
    <t>อาซาฮี</t>
  </si>
  <si>
    <t>Asahi</t>
  </si>
  <si>
    <t>นกอินทรีย์</t>
  </si>
  <si>
    <t>Eagle brand</t>
  </si>
  <si>
    <t>ไรย์วิต้า</t>
  </si>
  <si>
    <t>Ryvita</t>
  </si>
  <si>
    <t>เคเอส 505</t>
  </si>
  <si>
    <t>KS 505</t>
  </si>
  <si>
    <t>ออนเซน</t>
  </si>
  <si>
    <t>ONZEN</t>
  </si>
  <si>
    <t>นูเทลล่า</t>
  </si>
  <si>
    <t>Nutella</t>
  </si>
  <si>
    <t>เอสแอนด์บี</t>
  </si>
  <si>
    <t>S&amp;B</t>
  </si>
  <si>
    <t>มิตเต้</t>
  </si>
  <si>
    <t>Mitte</t>
  </si>
  <si>
    <t>Satin</t>
  </si>
  <si>
    <t>โตโต้</t>
  </si>
  <si>
    <t>TOTO</t>
  </si>
  <si>
    <t>ตราสมอ</t>
  </si>
  <si>
    <t>Anchor brand</t>
  </si>
  <si>
    <t>วิเลดา</t>
  </si>
  <si>
    <t>Vileda</t>
  </si>
  <si>
    <t>เวอร์ค</t>
  </si>
  <si>
    <t>พอนด์</t>
  </si>
  <si>
    <t>POND</t>
  </si>
  <si>
    <t>เซ็ปเป้</t>
  </si>
  <si>
    <t>SAPPE</t>
  </si>
  <si>
    <t>เปปทีน</t>
  </si>
  <si>
    <t>Peptein</t>
  </si>
  <si>
    <t>เบเนคอล</t>
  </si>
  <si>
    <t>Benecol</t>
  </si>
  <si>
    <t>เชนการ์ด</t>
  </si>
  <si>
    <t>Chaingard</t>
  </si>
  <si>
    <t>แคริ่ง</t>
  </si>
  <si>
    <t>Caring</t>
  </si>
  <si>
    <t>ซิสเท็มมา</t>
  </si>
  <si>
    <t>Systema</t>
  </si>
  <si>
    <t>เดทตอล</t>
  </si>
  <si>
    <t>Dettol</t>
  </si>
  <si>
    <t>แวนิช</t>
  </si>
  <si>
    <t>Vanish</t>
  </si>
  <si>
    <t>ชิลด์ท้อกซ์</t>
  </si>
  <si>
    <t>Shieldtox</t>
  </si>
  <si>
    <t>สเวนนี่</t>
  </si>
  <si>
    <t xml:space="preserve">SWENY </t>
  </si>
  <si>
    <t>เนสวิต้า</t>
  </si>
  <si>
    <t>ดิวเบอร์รี่</t>
  </si>
  <si>
    <t>Dewberry</t>
  </si>
  <si>
    <t>ออร่า</t>
  </si>
  <si>
    <t>เอลเซ่</t>
  </si>
  <si>
    <t>Ellse</t>
  </si>
  <si>
    <t>ริกลี่ย์</t>
  </si>
  <si>
    <t>Wrigley</t>
  </si>
  <si>
    <t>เลโมเพลย์</t>
  </si>
  <si>
    <t>LEMOPLAY</t>
  </si>
  <si>
    <t>เมจิ</t>
  </si>
  <si>
    <t>Meji</t>
  </si>
  <si>
    <t>ยูไนเต็ดอัลมอนด์</t>
  </si>
  <si>
    <t>United Almond</t>
  </si>
  <si>
    <t>จี.เอส.ดี</t>
  </si>
  <si>
    <t>G.S.D</t>
  </si>
  <si>
    <t>มิเนเร่</t>
  </si>
  <si>
    <t>Minere</t>
  </si>
  <si>
    <t>แบริ่ง</t>
  </si>
  <si>
    <t>Bearing</t>
  </si>
  <si>
    <t>เพียวฟู้ดส์</t>
  </si>
  <si>
    <t>Purefoods</t>
  </si>
  <si>
    <t>เภสัชมาดาม</t>
  </si>
  <si>
    <t>Bhaesaj Madam</t>
  </si>
  <si>
    <t>อีโน</t>
  </si>
  <si>
    <t>Eno</t>
  </si>
  <si>
    <t>ฟิชเชอร์แมน</t>
  </si>
  <si>
    <t>Fisherman's</t>
  </si>
  <si>
    <t>โอเลย์</t>
  </si>
  <si>
    <t>Olay</t>
  </si>
  <si>
    <t>เลอสกิน</t>
  </si>
  <si>
    <t>Le'skin</t>
  </si>
  <si>
    <t>เคที่ ดอลล์</t>
  </si>
  <si>
    <t>Cathy Doll</t>
  </si>
  <si>
    <t>สมูทโตะ</t>
  </si>
  <si>
    <t>SMOOTO</t>
  </si>
  <si>
    <t>โทนี่ โมลี่</t>
  </si>
  <si>
    <t>Tony Moly</t>
  </si>
  <si>
    <t>ฟูจิ</t>
  </si>
  <si>
    <t>Fuji</t>
  </si>
  <si>
    <t>เบสท์ โคเรีย</t>
  </si>
  <si>
    <t>Best Korea</t>
  </si>
  <si>
    <t>เบบี้เลิฟ</t>
  </si>
  <si>
    <t>BabyLove</t>
  </si>
  <si>
    <t>อาท</t>
  </si>
  <si>
    <t>ARS</t>
  </si>
  <si>
    <t>3เอ็ม</t>
  </si>
  <si>
    <t>3M</t>
  </si>
  <si>
    <t>เปา</t>
  </si>
  <si>
    <t>Pao</t>
  </si>
  <si>
    <t>ฮันนี่ วี</t>
  </si>
  <si>
    <t>Honei V</t>
  </si>
  <si>
    <t>แฟซ่า</t>
  </si>
  <si>
    <t>Feather</t>
  </si>
  <si>
    <t>โลแลน</t>
  </si>
  <si>
    <t>Lolane</t>
  </si>
  <si>
    <t>นิ่มพร</t>
  </si>
  <si>
    <t>Nimporn</t>
  </si>
  <si>
    <t>ควีน</t>
  </si>
  <si>
    <t>QUEEN</t>
  </si>
  <si>
    <t>อีโกร่า</t>
  </si>
  <si>
    <t>Igora</t>
  </si>
  <si>
    <t>พาแคร์</t>
  </si>
  <si>
    <t>Pacare</t>
  </si>
  <si>
    <t>โอเค เฮอเบิล</t>
  </si>
  <si>
    <t>OK Herbal</t>
  </si>
  <si>
    <t>ออด๊าซ</t>
  </si>
  <si>
    <t>Audace</t>
  </si>
  <si>
    <t>มิสเตอร์มัสเซิล</t>
  </si>
  <si>
    <t>Mr.Muscle</t>
  </si>
  <si>
    <t>แม็กซ์โม่</t>
  </si>
  <si>
    <t>Maxmo</t>
  </si>
  <si>
    <t>เบลล์</t>
  </si>
  <si>
    <t>Belle</t>
  </si>
  <si>
    <t>ซิลค์</t>
  </si>
  <si>
    <t>Zilk</t>
  </si>
  <si>
    <t>สไมล์</t>
  </si>
  <si>
    <t>Smile</t>
  </si>
  <si>
    <t>ตาตัว</t>
  </si>
  <si>
    <t>Tatua</t>
  </si>
  <si>
    <t>ฟิลาเดลเฟีย</t>
  </si>
  <si>
    <t>Philadelphia</t>
  </si>
  <si>
    <t>เจด ดราก้อน</t>
  </si>
  <si>
    <t>ดอนเมือง</t>
  </si>
  <si>
    <t>DM</t>
  </si>
  <si>
    <t>เส้นเงิน</t>
  </si>
  <si>
    <t>Sen Ngern</t>
  </si>
  <si>
    <t>มงกุฎ</t>
  </si>
  <si>
    <t>Crown</t>
  </si>
  <si>
    <t>โรเซล ซูพรีม</t>
  </si>
  <si>
    <t>Roselle Supreme</t>
  </si>
  <si>
    <t>โบราณ</t>
  </si>
  <si>
    <t>Boran</t>
  </si>
  <si>
    <t>ตรามือ</t>
  </si>
  <si>
    <t>Tramue</t>
  </si>
  <si>
    <t>แอลคอท</t>
  </si>
  <si>
    <t>Alcott</t>
  </si>
  <si>
    <t>แบล็คแอนด์เดคเคอร์</t>
  </si>
  <si>
    <t>Black&amp;Decker</t>
  </si>
  <si>
    <t>คอฟแมน</t>
  </si>
  <si>
    <t>Coffman</t>
  </si>
  <si>
    <t>โคโค่</t>
  </si>
  <si>
    <t>COCO</t>
  </si>
  <si>
    <t>แองเจิ้ล</t>
  </si>
  <si>
    <t>ANGEL</t>
  </si>
  <si>
    <t>นอร์ก้า</t>
  </si>
  <si>
    <t>NORCA</t>
  </si>
  <si>
    <t>อาทเจ็ท</t>
  </si>
  <si>
    <t>Ars Jet</t>
  </si>
  <si>
    <t>บรีสพาวเวอร์</t>
  </si>
  <si>
    <t>Breeze power</t>
  </si>
  <si>
    <t>เนสท์เล่ซีรีแล็ค</t>
  </si>
  <si>
    <t>พีทีเอ็น</t>
  </si>
  <si>
    <t>PTN</t>
  </si>
  <si>
    <t>โทฟุซัง</t>
  </si>
  <si>
    <t>Tofusan</t>
  </si>
  <si>
    <t>นูโอว่า ซิโมเนลลี่</t>
  </si>
  <si>
    <t>Nuova Simonelli</t>
  </si>
  <si>
    <t>ทไวนิงส์</t>
  </si>
  <si>
    <t>Twinings</t>
  </si>
  <si>
    <t>ดิลม่า</t>
  </si>
  <si>
    <t>Dilmah</t>
  </si>
  <si>
    <t>ซัมยัง</t>
  </si>
  <si>
    <t>Samyang</t>
  </si>
  <si>
    <t>ไพลอต</t>
  </si>
  <si>
    <t>Pilot</t>
  </si>
  <si>
    <t>เท็กส์</t>
  </si>
  <si>
    <t>TEX</t>
  </si>
  <si>
    <t>เพนเทล</t>
  </si>
  <si>
    <t>PENTEL</t>
  </si>
  <si>
    <t>จีซอฟท์</t>
  </si>
  <si>
    <t>G-SOFT</t>
  </si>
  <si>
    <t>เอส ดอล</t>
  </si>
  <si>
    <t>S.DOOL</t>
  </si>
  <si>
    <t>ซุปเปอร์ เบลด</t>
  </si>
  <si>
    <t>SUPER BLADE</t>
  </si>
  <si>
    <t>อีเกิ้ล</t>
  </si>
  <si>
    <t>Eagle</t>
  </si>
  <si>
    <t>เซลล่า</t>
  </si>
  <si>
    <t>CELLA</t>
  </si>
  <si>
    <t>คร็อคโค่</t>
  </si>
  <si>
    <t>Croco</t>
  </si>
  <si>
    <t>แม็กเซฟ</t>
  </si>
  <si>
    <t>Maxsave</t>
  </si>
  <si>
    <t>เซฟมอร์</t>
  </si>
  <si>
    <t>Savemor</t>
  </si>
  <si>
    <t>วีนัส</t>
  </si>
  <si>
    <t>Venus</t>
  </si>
  <si>
    <t>ครีเอตุส</t>
  </si>
  <si>
    <t>Creatus</t>
  </si>
  <si>
    <t>Canon</t>
  </si>
  <si>
    <t>โตชิโน่</t>
  </si>
  <si>
    <t>Toshino</t>
  </si>
  <si>
    <t>โซแนค</t>
  </si>
  <si>
    <t>Sonax</t>
  </si>
  <si>
    <t>โมเดิร์น เฟอร์นิเจอร์</t>
  </si>
  <si>
    <t>Modern Furniture</t>
  </si>
  <si>
    <t>ลอรีเอะ</t>
  </si>
  <si>
    <t>Laurier</t>
  </si>
  <si>
    <t>เดลิช</t>
  </si>
  <si>
    <t>Delici</t>
  </si>
  <si>
    <t>ดาว่า</t>
  </si>
  <si>
    <t>เซอร์คอน</t>
  </si>
  <si>
    <t>แม่ครัว</t>
  </si>
  <si>
    <t>Maekrua</t>
  </si>
  <si>
    <t>มิซาวะ</t>
  </si>
  <si>
    <t>Misawa</t>
  </si>
  <si>
    <t>เรดดี้</t>
  </si>
  <si>
    <t>Ready</t>
  </si>
  <si>
    <t>ทาคุมิ</t>
  </si>
  <si>
    <t>Takumi</t>
  </si>
  <si>
    <t>ฮับเส็ง</t>
  </si>
  <si>
    <t>Hup Seng</t>
  </si>
  <si>
    <t>บิวติ สริน</t>
  </si>
  <si>
    <t>Beauti Srin</t>
  </si>
  <si>
    <t>คอฟฟี่ ดรีมเมอร์</t>
  </si>
  <si>
    <t>Coffee Dreamer</t>
  </si>
  <si>
    <t>ตราต้นน้ำ</t>
  </si>
  <si>
    <t>Tonnum</t>
  </si>
  <si>
    <t>ทวิสตี้</t>
  </si>
  <si>
    <t>Twisties</t>
  </si>
  <si>
    <t>ตราฉัตร</t>
  </si>
  <si>
    <t>เคแอนด์เอ็น</t>
  </si>
  <si>
    <t>มายมิ้นท์</t>
  </si>
  <si>
    <t>Mymint</t>
  </si>
  <si>
    <t>ศิริชิน</t>
  </si>
  <si>
    <t>Sirishin</t>
  </si>
  <si>
    <t>อสร.</t>
  </si>
  <si>
    <t>PFO</t>
  </si>
  <si>
    <t>ป๊อบล็อค</t>
  </si>
  <si>
    <t>POPLOCK</t>
  </si>
  <si>
    <t>พีเจ</t>
  </si>
  <si>
    <t>PJ</t>
  </si>
  <si>
    <t>เมเยอร์</t>
  </si>
  <si>
    <t>แพ็ท มาร์เก็ตติ้ง</t>
  </si>
  <si>
    <t>PAT MARKETING</t>
  </si>
  <si>
    <t>แลงเจอร์</t>
  </si>
  <si>
    <t>Langers</t>
  </si>
  <si>
    <t>แม่กลอง</t>
  </si>
  <si>
    <t>Mae Klong</t>
  </si>
  <si>
    <t>ป๊อปซีเคร็ต</t>
  </si>
  <si>
    <t>Pop secret</t>
  </si>
  <si>
    <t>เอเวอเรสต์</t>
  </si>
  <si>
    <t>Everest</t>
  </si>
  <si>
    <t>แรนซิลิโอ้ ซิลเวีย</t>
  </si>
  <si>
    <t>Rancilio Silvia</t>
  </si>
  <si>
    <t>คิทเช่นเอท</t>
  </si>
  <si>
    <t>KitchenAid</t>
  </si>
  <si>
    <t>Feta cheese</t>
  </si>
  <si>
    <t>โฮเรก้า</t>
  </si>
  <si>
    <t>Horeca</t>
  </si>
  <si>
    <t>ฮอนดาชิ</t>
  </si>
  <si>
    <t>Hondashi</t>
  </si>
  <si>
    <t>เดลฟี่</t>
  </si>
  <si>
    <t>Delfi</t>
  </si>
  <si>
    <t>Koala's March</t>
  </si>
  <si>
    <t>วาซาบิโอ</t>
  </si>
  <si>
    <t>WASABIO</t>
  </si>
  <si>
    <t>ครีมาท็อป</t>
  </si>
  <si>
    <t>Krematop</t>
  </si>
  <si>
    <t>แฟร์ มิกซ์</t>
  </si>
  <si>
    <t>นาทริฟ</t>
  </si>
  <si>
    <t>Natriv</t>
  </si>
  <si>
    <t>แซมบัค</t>
  </si>
  <si>
    <t>Zambuk</t>
  </si>
  <si>
    <t>ฟีนิกซ์</t>
  </si>
  <si>
    <t>Pheonix</t>
  </si>
  <si>
    <t>วีออส</t>
  </si>
  <si>
    <t>แมวบิน</t>
  </si>
  <si>
    <t>SuperCat</t>
  </si>
  <si>
    <t>สวอร์ซ</t>
  </si>
  <si>
    <t>Swash</t>
  </si>
  <si>
    <t>BeMan</t>
  </si>
  <si>
    <t>ธรรมวิทย์</t>
  </si>
  <si>
    <t>Thummavit</t>
  </si>
  <si>
    <t>แลงนีส</t>
  </si>
  <si>
    <t>Langnese</t>
  </si>
  <si>
    <t>บรูค</t>
  </si>
  <si>
    <t>Brook</t>
  </si>
  <si>
    <t>วนาทิพย์</t>
  </si>
  <si>
    <t>Wanatip</t>
  </si>
  <si>
    <t>ซูซูกิ</t>
  </si>
  <si>
    <t>Suzuki</t>
  </si>
  <si>
    <t>อควาปานน่า</t>
  </si>
  <si>
    <t>Acqua Panna</t>
  </si>
  <si>
    <t>โมนิน</t>
  </si>
  <si>
    <t>Monin</t>
  </si>
  <si>
    <t>แคเรียร์</t>
  </si>
  <si>
    <t>Carrier</t>
  </si>
  <si>
    <t>มีเดีย</t>
  </si>
  <si>
    <t>Midea</t>
  </si>
  <si>
    <t>มาร์ติน</t>
  </si>
  <si>
    <t>Madin</t>
  </si>
  <si>
    <t>ออโต้บอท</t>
  </si>
  <si>
    <t>Autobot</t>
  </si>
  <si>
    <t>สโตนแวร์</t>
  </si>
  <si>
    <t>Stoneware</t>
  </si>
  <si>
    <t>สลินดริงค์</t>
  </si>
  <si>
    <t>Slin Drink</t>
  </si>
  <si>
    <t>อควาเรียส</t>
  </si>
  <si>
    <t>Aquarius</t>
  </si>
  <si>
    <t>อินสยาม</t>
  </si>
  <si>
    <t>Insiam</t>
  </si>
  <si>
    <t>ติ่งฟง</t>
  </si>
  <si>
    <t>Dingfong</t>
  </si>
  <si>
    <t>กู๊ดไทม์</t>
  </si>
  <si>
    <t>Good Time</t>
  </si>
  <si>
    <t>ดาวค๊อฟฟี่</t>
  </si>
  <si>
    <t>Dao Coffee</t>
  </si>
  <si>
    <t>สตาร์ อินฟินิติ</t>
  </si>
  <si>
    <t>STARR INFINITI</t>
  </si>
  <si>
    <t>เอ็มไพร์</t>
  </si>
  <si>
    <t>EMPIRE</t>
  </si>
  <si>
    <t>ตราทะเลไทย</t>
  </si>
  <si>
    <t>THAI SEA</t>
  </si>
  <si>
    <t>ยูมิ</t>
  </si>
  <si>
    <t>YUMI</t>
  </si>
  <si>
    <t>พินน์พลัส</t>
  </si>
  <si>
    <t>Pinn Plus</t>
  </si>
  <si>
    <t>ดูเร็กซ์</t>
  </si>
  <si>
    <t>Durex</t>
  </si>
  <si>
    <t>ซุปเปอร์ไฟน์</t>
  </si>
  <si>
    <t>Super-Find</t>
  </si>
  <si>
    <t>ฟิตเน่</t>
  </si>
  <si>
    <t>Fitne</t>
  </si>
  <si>
    <t>มิสเตอร์ชู</t>
  </si>
  <si>
    <t>Mr.chu</t>
  </si>
  <si>
    <t>ริวอง</t>
  </si>
  <si>
    <t>RIVON</t>
  </si>
  <si>
    <t>ตรานกกระเรียนคู่</t>
  </si>
  <si>
    <t>Flamingo twins</t>
  </si>
  <si>
    <t>ฟอร์แคร์ บาลานซ์</t>
  </si>
  <si>
    <t>4CARE BALANCE</t>
  </si>
  <si>
    <t>สกายเวิร์ธ</t>
  </si>
  <si>
    <t>Skyworth</t>
  </si>
  <si>
    <t>ไมดาส</t>
  </si>
  <si>
    <t>Midas</t>
  </si>
  <si>
    <t>ซุปเปอร์ล็อค</t>
  </si>
  <si>
    <t>Super Lock</t>
  </si>
  <si>
    <t>คริสโป</t>
  </si>
  <si>
    <t>Cresspo</t>
  </si>
  <si>
    <t>ตรางูเห่า</t>
  </si>
  <si>
    <t>Cobra brand</t>
  </si>
  <si>
    <t>โซลิโต้</t>
  </si>
  <si>
    <t>Zolito</t>
  </si>
  <si>
    <t>ทูเดย์</t>
  </si>
  <si>
    <t>Today</t>
  </si>
  <si>
    <t>เลดี้เบิร์ด</t>
  </si>
  <si>
    <t>ชิสป้า</t>
  </si>
  <si>
    <t>Chizzpa</t>
  </si>
  <si>
    <t>ลิโป้</t>
  </si>
  <si>
    <t>LIPO</t>
  </si>
  <si>
    <t>บอน</t>
  </si>
  <si>
    <t>Bon</t>
  </si>
  <si>
    <t>เอ็กซ์วัน</t>
  </si>
  <si>
    <t>X-ONE</t>
  </si>
  <si>
    <t>เป๊บพาย</t>
  </si>
  <si>
    <t>PEPPIE</t>
  </si>
  <si>
    <t>โซไลท์</t>
  </si>
  <si>
    <t>SOLITE</t>
  </si>
  <si>
    <t>ซิมิแลค</t>
  </si>
  <si>
    <t>Similac</t>
  </si>
  <si>
    <t>ไอโซมิล</t>
  </si>
  <si>
    <t>Isomil</t>
  </si>
  <si>
    <t>ตรามังกรบิน</t>
  </si>
  <si>
    <t>Fresh Coffe Mung Korn Bin</t>
  </si>
  <si>
    <t>ตราหัวสิงห์</t>
  </si>
  <si>
    <t>LION BRAND</t>
  </si>
  <si>
    <t>ตราหอยนางรม</t>
  </si>
  <si>
    <t>Oyster Brand</t>
  </si>
  <si>
    <t>ระฆังทอง</t>
  </si>
  <si>
    <t>Golden Bell</t>
  </si>
  <si>
    <t>มิกุ</t>
  </si>
  <si>
    <t>Miku</t>
  </si>
  <si>
    <t>ทวิสโก้</t>
  </si>
  <si>
    <t>Twistko</t>
  </si>
  <si>
    <t>ตะวันแดง</t>
  </si>
  <si>
    <t>Tawandeng</t>
  </si>
  <si>
    <t>อีฟ บูมบูม</t>
  </si>
  <si>
    <t>If boomboom</t>
  </si>
  <si>
    <t>จิงโจ้</t>
  </si>
  <si>
    <t>Kangaroo</t>
  </si>
  <si>
    <t>ดับเบิ้ล 5</t>
  </si>
  <si>
    <t>Double 5</t>
  </si>
  <si>
    <t>มาร์วิน</t>
  </si>
  <si>
    <t>Marvin</t>
  </si>
  <si>
    <t>โอโจ้</t>
  </si>
  <si>
    <t>OJO</t>
  </si>
  <si>
    <t>โยโย่</t>
  </si>
  <si>
    <t>YoYo</t>
  </si>
  <si>
    <t>คิสโก้</t>
  </si>
  <si>
    <t>Kisco</t>
  </si>
  <si>
    <t>ทิคกี้</t>
  </si>
  <si>
    <t>Ticky</t>
  </si>
  <si>
    <t>ครีม-โอ</t>
  </si>
  <si>
    <t>Cream-O</t>
  </si>
  <si>
    <t>โลซาน</t>
  </si>
  <si>
    <t>Lausanne</t>
  </si>
  <si>
    <t>แจ็ค แอนด์ จิลล์</t>
  </si>
  <si>
    <t>Jack N' Jill</t>
  </si>
  <si>
    <t>เบลคิวบ์</t>
  </si>
  <si>
    <t>Belcube</t>
  </si>
  <si>
    <t>เคป เมอร์แชนท์</t>
  </si>
  <si>
    <t>Cape merchant</t>
  </si>
  <si>
    <t>ออร์ก้า</t>
  </si>
  <si>
    <t>Orca</t>
  </si>
  <si>
    <t>ดับบลิวดี</t>
  </si>
  <si>
    <t>WD</t>
  </si>
  <si>
    <t>ทีฟาล์ว</t>
  </si>
  <si>
    <t>Tefal</t>
  </si>
  <si>
    <t>เฟอร์โน่</t>
  </si>
  <si>
    <t>Ferno</t>
  </si>
  <si>
    <t>กริลล์เมทส์</t>
  </si>
  <si>
    <t>Grill Mates</t>
  </si>
  <si>
    <t>ยามาโมริ</t>
  </si>
  <si>
    <t>Yamamori</t>
  </si>
  <si>
    <t>บอร์เนียร์</t>
  </si>
  <si>
    <t>Bornier</t>
  </si>
  <si>
    <t>เอลซาบอล</t>
  </si>
  <si>
    <t>EL Sabor</t>
  </si>
  <si>
    <t>แอปเปิ้ล แปซิฟิกโรส</t>
  </si>
  <si>
    <t>Pacific Rose Apple</t>
  </si>
  <si>
    <t>โซกู๊ด</t>
  </si>
  <si>
    <t>So Good</t>
  </si>
  <si>
    <t>พริสม่า</t>
  </si>
  <si>
    <t>Prisma</t>
  </si>
  <si>
    <t>คลอเร็ท</t>
  </si>
  <si>
    <t>Clorets</t>
  </si>
  <si>
    <t>พิงค์พาย</t>
  </si>
  <si>
    <t>สกิปปี้</t>
  </si>
  <si>
    <t>Skippy</t>
  </si>
  <si>
    <t>พร้าวหอม</t>
  </si>
  <si>
    <t>PraoHom</t>
  </si>
  <si>
    <t>ตราฉัตรเพชร</t>
  </si>
  <si>
    <t>ตราซื่อสัตย์</t>
  </si>
  <si>
    <t>Suesat</t>
  </si>
  <si>
    <t>เอเวอร์เซ้นส์</t>
  </si>
  <si>
    <t>Eversense</t>
  </si>
  <si>
    <t>เอ็กซ์ซิท</t>
  </si>
  <si>
    <t>Exit</t>
  </si>
  <si>
    <t>ใกล้ชิด</t>
  </si>
  <si>
    <t>Close Up</t>
  </si>
  <si>
    <t>นิ้ง</t>
  </si>
  <si>
    <t>Nink</t>
  </si>
  <si>
    <t>ไฟท์</t>
  </si>
  <si>
    <t>Fight</t>
  </si>
  <si>
    <t>สมัคเกอร์</t>
  </si>
  <si>
    <t>Smucker's</t>
  </si>
  <si>
    <t>เฟอร์มิพัน</t>
  </si>
  <si>
    <t>Fermipan</t>
  </si>
  <si>
    <t>คาสเทลโล</t>
  </si>
  <si>
    <t>Castello</t>
  </si>
  <si>
    <t>ฮาร์ทติ เบเนคอล</t>
  </si>
  <si>
    <t>Hearti Benecol</t>
  </si>
  <si>
    <t>เค็นโกะ</t>
  </si>
  <si>
    <t>Kenko</t>
  </si>
  <si>
    <t>กรีนสวีท</t>
  </si>
  <si>
    <t>Green Sweet</t>
  </si>
  <si>
    <t>อีเอฟเอส</t>
  </si>
  <si>
    <t>EFS</t>
  </si>
  <si>
    <t>ดาร์ลิ่ง</t>
  </si>
  <si>
    <t>Darling</t>
  </si>
  <si>
    <t>สมาร์ท</t>
  </si>
  <si>
    <t>Smart</t>
  </si>
  <si>
    <t>นิวสตอม</t>
  </si>
  <si>
    <t>Newstorm</t>
  </si>
  <si>
    <t>เซร่า</t>
  </si>
  <si>
    <t>Sera</t>
  </si>
  <si>
    <t>ยูเนียน</t>
  </si>
  <si>
    <t>Union</t>
  </si>
  <si>
    <t>ฟาฟา</t>
  </si>
  <si>
    <t>FAFA</t>
  </si>
  <si>
    <t>ริคุ</t>
  </si>
  <si>
    <t>Riku</t>
  </si>
  <si>
    <t>ไซออส</t>
  </si>
  <si>
    <t>Syoss</t>
  </si>
  <si>
    <t>ดีแคช</t>
  </si>
  <si>
    <t>แทลเลย์ส</t>
  </si>
  <si>
    <t>Talley’s</t>
  </si>
  <si>
    <t>มหาชนก</t>
  </si>
  <si>
    <t>Mahachanok</t>
  </si>
  <si>
    <t>ฟรากาตา</t>
  </si>
  <si>
    <t>Fragata</t>
  </si>
  <si>
    <t>ผึ้งทอง</t>
  </si>
  <si>
    <t>Pueng tong</t>
  </si>
  <si>
    <t>จิมมี่</t>
  </si>
  <si>
    <t>Jimmi</t>
  </si>
  <si>
    <t>ลามาร์เกอริตา</t>
  </si>
  <si>
    <t>เรียลแคลิฟอร์เนียมิลค์</t>
  </si>
  <si>
    <t>Real California Milk</t>
  </si>
  <si>
    <t>กุหลาบแดง</t>
  </si>
  <si>
    <t>Red Rose</t>
  </si>
  <si>
    <t>เอ็มสปอร์ต พลัส</t>
  </si>
  <si>
    <t>M-Sport Plus</t>
  </si>
  <si>
    <t>วอสส์</t>
  </si>
  <si>
    <t>Voss</t>
  </si>
  <si>
    <t>เซลเตอร์ส</t>
  </si>
  <si>
    <t>Selters</t>
  </si>
  <si>
    <t>Rhoenspudel</t>
  </si>
  <si>
    <t>ลีกุมกี่แพนด้า</t>
  </si>
  <si>
    <t>Lee Kum Kee Panda</t>
  </si>
  <si>
    <t>ตราชั่ง</t>
  </si>
  <si>
    <t>Tra Chang</t>
  </si>
  <si>
    <t>ปรุงทิพย์</t>
  </si>
  <si>
    <t>Prung Thip</t>
  </si>
  <si>
    <t>แม่จินต์</t>
  </si>
  <si>
    <t>MAE JIN</t>
  </si>
  <si>
    <t>เนเชอเรล</t>
  </si>
  <si>
    <t>Naturel</t>
  </si>
  <si>
    <t>แฟมิเลีย</t>
  </si>
  <si>
    <t>Familia</t>
  </si>
  <si>
    <t>เบสท์โอเดอร์</t>
  </si>
  <si>
    <t>BEST ODOUR</t>
  </si>
  <si>
    <t>บีไอเอฟ</t>
  </si>
  <si>
    <t>B.I.F.</t>
  </si>
  <si>
    <t>เชอร์รี่</t>
  </si>
  <si>
    <t>Cherri</t>
  </si>
  <si>
    <t>คัสสันบัวตี้</t>
  </si>
  <si>
    <t>CUSSON BEAUTH</t>
  </si>
  <si>
    <t>แฮนดี้แมน</t>
  </si>
  <si>
    <t>HANDYMAN</t>
  </si>
  <si>
    <t>เซ็นคลีน</t>
  </si>
  <si>
    <t>CENCLEAN</t>
  </si>
  <si>
    <t>รถพยาบาล</t>
  </si>
  <si>
    <t>AMBULANCE</t>
  </si>
  <si>
    <t>เอทีเอ็ม</t>
  </si>
  <si>
    <t>ATM</t>
  </si>
  <si>
    <t>เกลด</t>
  </si>
  <si>
    <t>Glade</t>
  </si>
  <si>
    <t>มิกซ์</t>
  </si>
  <si>
    <t>MIXZ</t>
  </si>
  <si>
    <t>เอเวอร์กรีน</t>
  </si>
  <si>
    <t>EVERGREEN</t>
  </si>
  <si>
    <t>มาโอจิ</t>
  </si>
  <si>
    <t>MA-O-JI</t>
  </si>
  <si>
    <t>ตราปูจ๋า</t>
  </si>
  <si>
    <t>POO JA</t>
  </si>
  <si>
    <t>ดีมอลต์</t>
  </si>
  <si>
    <t>DMALT</t>
  </si>
  <si>
    <t>เจ็นไอ</t>
  </si>
  <si>
    <t>GEN I</t>
  </si>
  <si>
    <t>โปเต้</t>
  </si>
  <si>
    <t>Potae</t>
  </si>
  <si>
    <t>ลิโพพลัส</t>
  </si>
  <si>
    <t>LIPO-PLUS</t>
  </si>
  <si>
    <t>เสวยทิพย์</t>
  </si>
  <si>
    <t>SAWOEI TIP</t>
  </si>
  <si>
    <t>หยก</t>
  </si>
  <si>
    <t>Yok</t>
  </si>
  <si>
    <t>ฟูลโอคารีล</t>
  </si>
  <si>
    <t>FLUOCARILL</t>
  </si>
  <si>
    <t>เมย์เบลลีน</t>
  </si>
  <si>
    <t>ศรีราชา</t>
  </si>
  <si>
    <t>Sriracha</t>
  </si>
  <si>
    <t>ไวเดอเนส</t>
  </si>
  <si>
    <t>WILDERNESS</t>
  </si>
  <si>
    <t>พอลลีน</t>
  </si>
  <si>
    <t>บุชเชอร์</t>
  </si>
  <si>
    <t>BUCHER</t>
  </si>
  <si>
    <t>เฟรสแรป</t>
  </si>
  <si>
    <t>Fresh Wrap</t>
  </si>
  <si>
    <t>แซนนิทาเรียม</t>
  </si>
  <si>
    <t>Sanitarium</t>
  </si>
  <si>
    <t>คาอิโซ</t>
  </si>
  <si>
    <t>KA-E-SO</t>
  </si>
  <si>
    <t>ไซเอนซ์ ไดเอท</t>
  </si>
  <si>
    <t>Science Diet</t>
  </si>
  <si>
    <t>เพียวริน่าวัน</t>
  </si>
  <si>
    <t>มอนเจ้ เฟรช</t>
  </si>
  <si>
    <t>Monge Fresh</t>
  </si>
  <si>
    <t>โปรแพลน</t>
  </si>
  <si>
    <t>PRO PLAN</t>
  </si>
  <si>
    <t>เทสต์ ออฟ เดอะ ไวลด์</t>
  </si>
  <si>
    <t>Taste of the Wild</t>
  </si>
  <si>
    <t>รอยัลคานิน</t>
  </si>
  <si>
    <t>Royal Canin</t>
  </si>
  <si>
    <t>เจช้อยส์</t>
  </si>
  <si>
    <t>J'S CHOICE</t>
  </si>
  <si>
    <t>ด็อกเอ็นจอย</t>
  </si>
  <si>
    <t>แค็ทเอ็นจอย</t>
  </si>
  <si>
    <t>เค-ซี</t>
  </si>
  <si>
    <t>K-SY</t>
  </si>
  <si>
    <t>แคทอะโฮลิค</t>
  </si>
  <si>
    <t>Cataholic</t>
  </si>
  <si>
    <t>จินนี่</t>
  </si>
  <si>
    <t>Jinny</t>
  </si>
  <si>
    <t>เชา ชูหรุ</t>
  </si>
  <si>
    <t>CIAO CHU-RU</t>
  </si>
  <si>
    <t>ซาซามิ เจอร์กี้</t>
  </si>
  <si>
    <t>SASAMI JERKY</t>
  </si>
  <si>
    <t>ทีม</t>
  </si>
  <si>
    <t>Team</t>
  </si>
  <si>
    <t>โพลี่</t>
  </si>
  <si>
    <t>Poly</t>
  </si>
  <si>
    <t>ทานีตะ</t>
  </si>
  <si>
    <t>Tanita</t>
  </si>
  <si>
    <t>เพาเวอร์แบ๊งก์</t>
  </si>
  <si>
    <t>Power Bank</t>
  </si>
  <si>
    <t>รีช</t>
  </si>
  <si>
    <t>REACH</t>
  </si>
  <si>
    <t>ซันฟอเรสต์</t>
  </si>
  <si>
    <t>เทอร์มา พลาสท์</t>
  </si>
  <si>
    <t>Therma Plast</t>
  </si>
  <si>
    <t>โบตัน</t>
  </si>
  <si>
    <t>BOTAN</t>
  </si>
  <si>
    <t>เดย์ซอฟท์</t>
  </si>
  <si>
    <t>DAYSOFT</t>
  </si>
  <si>
    <t>ใบไม้ทอง</t>
  </si>
  <si>
    <t>BAI MAI TONG</t>
  </si>
  <si>
    <t>ผักกาดแดง</t>
  </si>
  <si>
    <t>RED LETTUCE</t>
  </si>
  <si>
    <t>อินทรีย์แดง</t>
  </si>
  <si>
    <t>RED EAGLE</t>
  </si>
  <si>
    <t>เชอร์แมน</t>
  </si>
  <si>
    <t>SHERMAN</t>
  </si>
  <si>
    <t>ไมครอน แวร์</t>
  </si>
  <si>
    <t>Micron ware</t>
  </si>
  <si>
    <t>คานิคามะโบโกะ</t>
  </si>
  <si>
    <t>KANIKAMABOKO</t>
  </si>
  <si>
    <t>ตราหงส์</t>
  </si>
  <si>
    <t>Phoenix</t>
  </si>
  <si>
    <t>ปุ้ยเก่ง</t>
  </si>
  <si>
    <t>PUYKENG</t>
  </si>
  <si>
    <t>รวมรส</t>
  </si>
  <si>
    <t>ROUM ROS</t>
  </si>
  <si>
    <t>ซีเซลส์</t>
  </si>
  <si>
    <t>CHEEZELS</t>
  </si>
  <si>
    <t>ชาโชส</t>
  </si>
  <si>
    <t>CHACHO'S</t>
  </si>
  <si>
    <t>ลัคกี้เฟลม</t>
  </si>
  <si>
    <t>Lucky flame</t>
  </si>
  <si>
    <t>คลูพลัส</t>
  </si>
  <si>
    <t>KOOLPLUS</t>
  </si>
  <si>
    <t>โนริตะ</t>
  </si>
  <si>
    <t>Norita</t>
  </si>
  <si>
    <t>ตอง-เค</t>
  </si>
  <si>
    <t>Tonk-KKK</t>
  </si>
  <si>
    <t>แฟร์วีซ่า</t>
  </si>
  <si>
    <t>Faire Visa</t>
  </si>
  <si>
    <t>โอ้โห</t>
  </si>
  <si>
    <t>OHO</t>
  </si>
  <si>
    <t>ฮิปโป</t>
  </si>
  <si>
    <t>Hippo</t>
  </si>
  <si>
    <t>ปืนไขว้</t>
  </si>
  <si>
    <t>Waugh's Curry</t>
  </si>
  <si>
    <t>เอ็นเนอไจเซอร์</t>
  </si>
  <si>
    <t>ENERGIZER</t>
  </si>
  <si>
    <t>ไดร์สตาร์</t>
  </si>
  <si>
    <t>Distar</t>
  </si>
  <si>
    <t>คีย์เวย์</t>
  </si>
  <si>
    <t>Keyway</t>
  </si>
  <si>
    <t>โอกูร่า</t>
  </si>
  <si>
    <t>OKURA</t>
  </si>
  <si>
    <t>แดซัง</t>
  </si>
  <si>
    <t>DAESUNG</t>
  </si>
  <si>
    <t>เมาเทนดิว</t>
  </si>
  <si>
    <t>Mountain Dew</t>
  </si>
  <si>
    <t>มุตติ</t>
  </si>
  <si>
    <t>Mutti</t>
  </si>
  <si>
    <t>มาโซลา</t>
  </si>
  <si>
    <t>Mazola</t>
  </si>
  <si>
    <t>ฮาร์เว่ย์เฟรช</t>
  </si>
  <si>
    <t>HARVERFRESH</t>
  </si>
  <si>
    <t>นิโคนิโค</t>
  </si>
  <si>
    <t>NICO-NICO</t>
  </si>
  <si>
    <t>คาราด้า</t>
  </si>
  <si>
    <t>Carada</t>
  </si>
  <si>
    <t>ลิโพ</t>
  </si>
  <si>
    <t>ไทยเท</t>
  </si>
  <si>
    <t>THAITEH</t>
  </si>
  <si>
    <t>โคคา</t>
  </si>
  <si>
    <t>COCA</t>
  </si>
  <si>
    <t>พาโรคอนแทกซ์</t>
  </si>
  <si>
    <t>PARODONTAX</t>
  </si>
  <si>
    <t>วิเศษนิยม</t>
  </si>
  <si>
    <t>VISATNIYOM</t>
  </si>
  <si>
    <t>โอกาโมโต</t>
  </si>
  <si>
    <t>OKAMOTO</t>
  </si>
  <si>
    <t>วิซ</t>
  </si>
  <si>
    <t>WHIZ</t>
  </si>
  <si>
    <t>ตราห้ามังกร</t>
  </si>
  <si>
    <t>Five Dragon</t>
  </si>
  <si>
    <t>บูมเมอร์</t>
  </si>
  <si>
    <t>BOOMER</t>
  </si>
  <si>
    <t>คอมสเต็ก</t>
  </si>
  <si>
    <t>COMSTOCK</t>
  </si>
  <si>
    <t>เสือคู่</t>
  </si>
  <si>
    <t>TWIN TIGER</t>
  </si>
  <si>
    <t>ดราก้อน</t>
  </si>
  <si>
    <t>เจลาติน / หมากฝรั่งกลิ่นผลไม้</t>
  </si>
  <si>
    <t>คุกกี้และขนมปังกรอบ</t>
  </si>
  <si>
    <t>ส่วนผสมในการปรุงอาหาร</t>
  </si>
  <si>
    <t>รังนก / โสม</t>
  </si>
  <si>
    <t>เครื่องดื่มผสมคอลลาเจน / วิตามินใยอาหาร</t>
  </si>
  <si>
    <t>buy 4 get 1</t>
  </si>
  <si>
    <t>buy 5 get 1</t>
  </si>
  <si>
    <t>buy 6 get 1</t>
  </si>
  <si>
    <t>buy 7 get 1</t>
  </si>
  <si>
    <t>buy 8 get 1</t>
  </si>
  <si>
    <t>buy 9 get 1</t>
  </si>
  <si>
    <t>buy 10 get 1</t>
  </si>
  <si>
    <t>buy 15 get 1</t>
  </si>
  <si>
    <t>Save 10% off</t>
  </si>
  <si>
    <t>Save 50% off</t>
  </si>
  <si>
    <t>Save up to 15% off</t>
  </si>
  <si>
    <t>Save up to 20% off</t>
  </si>
  <si>
    <t>Save up to 25% off</t>
  </si>
  <si>
    <t>Save up to 30% off</t>
  </si>
  <si>
    <t>Save up to 35% off</t>
  </si>
  <si>
    <t>Save up to 40% off</t>
  </si>
  <si>
    <t>Best Seller</t>
  </si>
  <si>
    <t>Frozen</t>
  </si>
  <si>
    <t>Recommended</t>
  </si>
  <si>
    <t>New</t>
  </si>
  <si>
    <t>Free Delivery</t>
  </si>
  <si>
    <t>As seen on TV</t>
  </si>
  <si>
    <t>5 Days Pre-Order</t>
  </si>
  <si>
    <t>Pre-Order</t>
  </si>
  <si>
    <t>New Arrival</t>
  </si>
  <si>
    <t>Double Pack</t>
  </si>
  <si>
    <t>Buy 2 save more</t>
  </si>
  <si>
    <t>Buy 3 save more</t>
  </si>
  <si>
    <t>Buy 4 save more</t>
  </si>
  <si>
    <t>Buy 5 save more</t>
  </si>
  <si>
    <t>Buy 6 save more</t>
  </si>
  <si>
    <t>Carton save more</t>
  </si>
  <si>
    <t>Garnier</t>
  </si>
  <si>
    <t>การ์นิเย่ สกิน</t>
  </si>
  <si>
    <t>Garnier Light</t>
  </si>
  <si>
    <t>กีวี</t>
  </si>
  <si>
    <t>Glico alfie</t>
  </si>
  <si>
    <t>Glade scentd</t>
  </si>
  <si>
    <t>Sandee rice</t>
  </si>
  <si>
    <t>เขาช่อง3in1ซุปเปอร์ริช</t>
  </si>
  <si>
    <t>Copp</t>
  </si>
  <si>
    <t>Colgate</t>
  </si>
  <si>
    <t>Colgate Herbal Salt</t>
  </si>
  <si>
    <t>Campbell's</t>
  </si>
  <si>
    <t>Johnson's</t>
  </si>
  <si>
    <t>Johnson's baby bath milk</t>
  </si>
  <si>
    <t>จีเอสพี</t>
  </si>
  <si>
    <t>ดับบลิวดี สี่สิบ</t>
  </si>
  <si>
    <t>Jele beautie</t>
  </si>
  <si>
    <t>โชกี้ โชกี้</t>
  </si>
  <si>
    <t>Sakura</t>
  </si>
  <si>
    <t>Zilk kotton</t>
  </si>
  <si>
    <t>Sugus</t>
  </si>
  <si>
    <t>SuperChef</t>
  </si>
  <si>
    <t>โซฟีคอมแพคสลิม</t>
  </si>
  <si>
    <t>Crocodile brand</t>
  </si>
  <si>
    <t>Tasto waffle</t>
  </si>
  <si>
    <t>Thai ruang kwan</t>
  </si>
  <si>
    <t>Nescafe Gold</t>
  </si>
  <si>
    <t>Nestle Krematop</t>
  </si>
  <si>
    <t>Nestle Coffee-Mate</t>
  </si>
  <si>
    <t>Nestle Corn Flakes</t>
  </si>
  <si>
    <t>Nestle Carnation 1+ Smartgo</t>
  </si>
  <si>
    <t>Nestle Cerelac with Milk</t>
  </si>
  <si>
    <t>Breeze power turbo</t>
  </si>
  <si>
    <t>Birdy Robusta</t>
  </si>
  <si>
    <t>เบิร์ดวิงส์</t>
  </si>
  <si>
    <t>Priewfood</t>
  </si>
  <si>
    <t>เป๊ปซี่แม็กซ์</t>
  </si>
  <si>
    <t>Protex Fresh</t>
  </si>
  <si>
    <t>Fanta</t>
  </si>
  <si>
    <t>Faire honeymoon valentine</t>
  </si>
  <si>
    <t>Malee Tropical</t>
  </si>
  <si>
    <t>Megachef</t>
  </si>
  <si>
    <t>Roting</t>
  </si>
  <si>
    <t>ลอรีเอะซอฟท์แอนด์เซฟ</t>
  </si>
  <si>
    <t>ไวไวควิก</t>
  </si>
  <si>
    <t>Sandee</t>
  </si>
  <si>
    <t>M&amp;M</t>
  </si>
  <si>
    <t>โอริโอ้</t>
  </si>
  <si>
    <t>Ole</t>
  </si>
  <si>
    <t>Narak</t>
  </si>
  <si>
    <t>Lay</t>
  </si>
  <si>
    <t>ก๊อปปี้ พลัส</t>
  </si>
  <si>
    <t>Taberu</t>
  </si>
  <si>
    <t>เคอร์รี่ เฮาส์</t>
  </si>
  <si>
    <t>Kinzan</t>
  </si>
  <si>
    <t>Glico</t>
  </si>
  <si>
    <t>Sunquick</t>
  </si>
  <si>
    <t>แจ็คแอนด์จิลล์</t>
  </si>
  <si>
    <t>Jack and Jill</t>
  </si>
  <si>
    <t>แคลชีส</t>
  </si>
  <si>
    <t>ไอเดีย แมกซ์</t>
  </si>
  <si>
    <t>ช็อคกี้</t>
  </si>
  <si>
    <t>Work</t>
  </si>
  <si>
    <t>Nestle Cerelac</t>
  </si>
  <si>
    <t>Vios</t>
  </si>
  <si>
    <t>Ladybird</t>
  </si>
  <si>
    <t>Lipo</t>
  </si>
  <si>
    <t>Maybelline</t>
  </si>
  <si>
    <t>Pouly</t>
  </si>
  <si>
    <t>Purina One</t>
  </si>
  <si>
    <t>แฟนซี ฟีสต์</t>
  </si>
  <si>
    <t>Fancy Feast</t>
  </si>
  <si>
    <t>Dog'njoy</t>
  </si>
  <si>
    <t>Cat'n Joy</t>
  </si>
  <si>
    <t>Sunforest</t>
  </si>
  <si>
    <t>เฟรนช์</t>
  </si>
  <si>
    <t>French</t>
  </si>
  <si>
    <t/>
  </si>
  <si>
    <t>|||||</t>
  </si>
  <si>
    <t>1|||||</t>
  </si>
  <si>
    <t>แครกเกอร์ บัตเตอร์โคโคนัท บิสกิต</t>
  </si>
  <si>
    <t>CRACKER BUTTER COCONUT BUSKIT</t>
  </si>
  <si>
    <t>Butter Coconut</t>
  </si>
  <si>
    <t>บัตเตอร์ โคโคนัท</t>
  </si>
  <si>
    <t>ซอสปรุงรสฉลากเขียว</t>
  </si>
  <si>
    <t>Seasoning Sauce Green Label</t>
  </si>
  <si>
    <t>ลด 20 บาท เมื่อซื้อครบ 2 แกลลอน</t>
  </si>
  <si>
    <t>1 พลัส ซุปเปอร์โกลด์</t>
  </si>
  <si>
    <t>1+ SUPERGOLD</t>
  </si>
  <si>
    <t>ฟรี รถปั่นสู่ความสำเร็จ 1 ชิ้น มูลค่า 790 บาท เมื่อซื้อนมผงไฮคิว ซุปเปอร์โกลด์ที่ร่วมรายการ ครบ 2,800 บาท</t>
  </si>
  <si>
    <t xml:space="preserve">ข้าวหอมผสม 85%:15%  </t>
  </si>
  <si>
    <t>FRAGRANT RICE  85%:15%</t>
  </si>
  <si>
    <t>|||4||</t>
  </si>
  <si>
    <t>4-Restaurant</t>
  </si>
  <si>
    <t>ลด 50 บาท เมื่อซื้อผลิตภัณฑ์ข้าวตราปิ่นเงิน ที่ร่วมรายการครบ 500 บาท</t>
  </si>
  <si>
    <t>ข้าวขาว หอมมะลิเก่า 100%</t>
  </si>
  <si>
    <t>น้ำยาปรับผ้านุ่ม กลิ่นแดริ่ง แบบซอง</t>
  </si>
  <si>
    <t>Daring Fabric Softener SACHET</t>
  </si>
  <si>
    <t>ลด 45 บาท เมื่อซื้อผลิตภัณฑ์ ดาวน์นี่ แอมบิเพอร์ครบ 399 บาท</t>
  </si>
  <si>
    <t>ผ้าอ้อมผู้ใหญ่แบบเทป ไซส์ M</t>
  </si>
  <si>
    <t>Tape Diapers for adults size M</t>
  </si>
  <si>
    <t>ฟรี แผ่นรองซับซอฟเท็กซ์ L10 ชิ้น 1 แพ็ค มูลค่า 87 บาท เมื่อซื้อ ครบ 4 แพ็ค</t>
  </si>
  <si>
    <t>กลาง</t>
  </si>
  <si>
    <t>ฟอร์เมน ไวท์แอคเน่</t>
  </si>
  <si>
    <t>FOR MEN WHITE ACNE</t>
  </si>
  <si>
    <t>ลด 20 บาท เมื่อซื้อผลิตภัณฑ์นีเวียที่ร่วมรายการ (ยกเว้นโฟมล้างหน้าผู้ชาย ขนาด 100 กรัม) ครบ 359 บาท</t>
  </si>
  <si>
    <t>คูลมินต์ น้ำยาบ้วนปาก</t>
  </si>
  <si>
    <t>COOLMINT Mouth Wash</t>
  </si>
  <si>
    <t>ลด 15 บาท เมื่อซื้อผลิตภัณฑ์จอห์นสัน แป้งเด็ก, สบู่เด็ก, สบู่ก้อนวิต้าริช, มิคล์บาธ และลิสเตอรีน ที่ร่วมรายการ ครบ 250 บาท</t>
  </si>
  <si>
    <t>ริช แชมพู</t>
  </si>
  <si>
    <t>RICH SHAMPOO</t>
  </si>
  <si>
    <t>เมื่อซื้อแชมพูครีมนวดผมรีจอยส์/แพนทีน/เฮดแอนด์โชว์เดอร์/โอเลย์/ยิลเลตต์/ออรัลบี ครบ 399 บาท รับฟรี โอเลย์เนเชอรัลไวท์ไลท์ซองฉีก x 6 ซอง (140660) จำนวน 1 กล่อง มูลค่า 44 บาท และคูปองพีแอนด์จี 3 ใบ</t>
  </si>
  <si>
    <t>บลูทูพลัส ด้ามมีด</t>
  </si>
  <si>
    <t>Blue II Plus Disposable Razor</t>
  </si>
  <si>
    <t>Blue II Plus</t>
  </si>
  <si>
    <t>บลูทูพลัส</t>
  </si>
  <si>
    <t>มันฝรั่งแท้ทอดกรอบ รสมะเขือเทศ</t>
  </si>
  <si>
    <t>Tomato Flavoured Potato Chips</t>
  </si>
  <si>
    <t>เมื่อซื้อ เลย์ ครบ 500 บาท (ขนาด 5/10/20 บาท ทุกรสชาติ) ฟรี เลย์ โนริสาหร่าย ขนาด 20 บาท 1 ซอง</t>
  </si>
  <si>
    <t>Washing Powder</t>
  </si>
  <si>
    <t>|2||||</t>
  </si>
  <si>
    <t>เมื่อซื้อ บรีส, โอโม, ออล (ทุกสูตร ทุกขนาด) ครบ 399 บาท (ไม่รวมขนาดอุตสาหกรรม 10 กก./ลิตร ขึ้นไป ลด 30 บาท</t>
  </si>
  <si>
    <t>ลิควิด คอมฟอร์ท น้ำยาซักผ้า</t>
  </si>
  <si>
    <t>Comfort Liquid Detergent</t>
  </si>
  <si>
    <t>บิสกิตเคลือบรสช็อกโกแลต</t>
  </si>
  <si>
    <t>Biscuit coating CHOCOLATE</t>
  </si>
  <si>
    <t>ลด 35 บาท เมื่อซื้อผลิตภัณฑ์กูลิโกะ แอลฟี่ เพรทซ์ อย่างใดก็ได้ที่ร่วมรายการ ครบ 350 บาท (รวมภาษี/ใบเสร็จ)</t>
  </si>
  <si>
    <t xml:space="preserve"> ซอสหมักย่าง ปรุงสำเร็จ </t>
  </si>
  <si>
    <t>MARINATE&amp;GRILL</t>
  </si>
  <si>
    <t>ฟรี ยำยำหมูสับ 67 กรัม 3 ซอง มูลค่า 18 บาท เมื่อซื้อผลิตภัณฑ์อายิโนะโมะโต๊ะ ที่ร่วมรายการครบ 420 บาท (รวมภาษี/ใบเสร็จ)</t>
  </si>
  <si>
    <t xml:space="preserve"> ผงปรุงรส รสหมู</t>
  </si>
  <si>
    <t xml:space="preserve"> ผงปรุงรส รสไก่</t>
  </si>
  <si>
    <t>ตู้เย็น #GR-B145Z</t>
  </si>
  <si>
    <t>Refrigerator #GR-B145Z</t>
  </si>
  <si>
    <t>5 คิว|ละลายน้ำแข็งกึ่งอัตโนมัติ  ไม่ต้องเทน้ำทิ้ง|กระจายความเย็นรอบทิศทาง</t>
  </si>
  <si>
    <t>5 cube</t>
  </si>
  <si>
    <t>5 คิว</t>
  </si>
  <si>
    <t>ตู้เย็น 2 ประตู #RH200PA</t>
  </si>
  <si>
    <t>Refrigerator 2 Doors #RH200PA</t>
  </si>
  <si>
    <t>7.7 คิว</t>
  </si>
  <si>
    <t>7.7 cube</t>
  </si>
  <si>
    <t>เครื่องซักผ้า 2 ถัง #WP-1400 ROT</t>
  </si>
  <si>
    <t>Twin Tub Washing Machines #WP-1400 ROT</t>
  </si>
  <si>
    <t>11 กก.|ซักและปั่นหมาดได้พร้อมกัน</t>
  </si>
  <si>
    <t>11 kilograms</t>
  </si>
  <si>
    <t>11 กิโลกรัม</t>
  </si>
  <si>
    <t>เครื่องซักผ้าฝาบน 2 ถัง #WT15J7</t>
  </si>
  <si>
    <t>Twin Tub Washing Machines #WT15J7</t>
  </si>
  <si>
    <t>13 กก.|ซักและปั่นหมาดได้พร้อมกัน</t>
  </si>
  <si>
    <t>13 kg.</t>
  </si>
  <si>
    <t>13 กก.</t>
  </si>
  <si>
    <t>คุกกี้แซนวิช รสช็อกโกแลต</t>
  </si>
  <si>
    <t>COOKIES SANWICH</t>
  </si>
  <si>
    <t>ลด 10 บาท เมื่อซื้อ ครบ 4 แพ็ค</t>
  </si>
  <si>
    <t>เครื่องซักผ้า #WF-T9056TD</t>
  </si>
  <si>
    <t>Washing Machine #WF-T9056TD</t>
  </si>
  <si>
    <t>9 กก.|ป้องกันเชื้อราและแบคทีเรีย</t>
  </si>
  <si>
    <t>9 kiliograms</t>
  </si>
  <si>
    <t>9 กิโลกรัม</t>
  </si>
  <si>
    <t>ปากกาเคมี 2 หัว สีน้ำเงิน</t>
  </si>
  <si>
    <t>Bi Marker Pen (Blue)</t>
  </si>
  <si>
    <t>น้ำเงิน</t>
  </si>
  <si>
    <t>ปากกาเคมี 2 หัว</t>
  </si>
  <si>
    <t>Bi Marker Pen</t>
  </si>
  <si>
    <t>น้ำยาถูพื้น สีชมพู</t>
  </si>
  <si>
    <t>Floor Cleaner Pink</t>
  </si>
  <si>
    <t>10 mm.</t>
  </si>
  <si>
    <t>ปลาหมึกอบ ทรงเครื่อง</t>
  </si>
  <si>
    <t>CUTTLE FISH</t>
  </si>
  <si>
    <t>ลด 5 บาท เมื่อซื้อครบ 250 บาท</t>
  </si>
  <si>
    <t xml:space="preserve">ตู้เย็น #RR19H1049 </t>
  </si>
  <si>
    <t xml:space="preserve">Refrigerator #RR19H1049 </t>
  </si>
  <si>
    <t>6.9 คิว</t>
  </si>
  <si>
    <t>6.9 cube</t>
  </si>
  <si>
    <t>พัดลมอุตสาหกรรม 3 ขา #CIF4181</t>
  </si>
  <si>
    <t>Industrian Fan #CIF4181</t>
  </si>
  <si>
    <t>18 นิ้ว|ใบพัดทำจากอะลูมิเนียม|ปรับแรงลมได้ 3 ระดับ|รับประกัน 1 ปี</t>
  </si>
  <si>
    <t>18 inches</t>
  </si>
  <si>
    <t>18 นิ้ว</t>
  </si>
  <si>
    <t>แอลอีดี ทีวี 40” #40J500AK</t>
  </si>
  <si>
    <t>LED TV 40” #40J500AK</t>
  </si>
  <si>
    <t>LED 40 นิ้ว|USB-1|HDMI-2|รับชมทีวีดิจิตอลได้ทันที</t>
  </si>
  <si>
    <t>40 inches</t>
  </si>
  <si>
    <t>เครื่องซักผ้า  #WF-T1256TD</t>
  </si>
  <si>
    <t>Washing Machine  #WF-T1256TD</t>
  </si>
  <si>
    <t>12 กก.</t>
  </si>
  <si>
    <t>12 kilograms</t>
  </si>
  <si>
    <t>12 กิโลกรัม</t>
  </si>
  <si>
    <t xml:space="preserve"> ลด 10 บาท เมื่อซื้อผลิตภัณฑ์ โค้ก แฟนต้า สไปร์ท ขนาดใดก็ได้ (ยกเว้นขนาด 300 มล. แลพ ผลิตภัณฑ์ชเวปส์) ครบ 900 บาท</t>
  </si>
  <si>
    <t>|2||4||</t>
  </si>
  <si>
    <t>น้ำเต้าหูผสมเมล็ดเจีย</t>
  </si>
  <si>
    <t>SOY PLUS CHIASEED</t>
  </si>
  <si>
    <t xml:space="preserve"> ลด 54 บาท เมื่อซื้อสินค้าเนสท์เล่ ที่ร่วมรายการครบ 749 บาท</t>
  </si>
  <si>
    <t xml:space="preserve"> กาแฟปรุงสำเร็จ ชนิดผง 3in1 รสดั้งเดิม</t>
  </si>
  <si>
    <t>SUPER COFFEE 3IN1 original</t>
  </si>
  <si>
    <t>ฟรี เก้าอี้กลม 1 ตัว มูลค่า 79 บาท เมื่อซื้นสินค้าซุปเปอร์กาแฟครบ 499 บาท</t>
  </si>
  <si>
    <t xml:space="preserve">กาแฟสำเร็จรูปชนิดผง  3in1 </t>
  </si>
  <si>
    <t>Coffee Essence 3in1</t>
  </si>
  <si>
    <t>เห็ดนางรมหลวง (ยกลัง)</t>
  </si>
  <si>
    <t>King Oyster Mushroom (Carton)</t>
  </si>
  <si>
    <t>มันเทศหวานเวียดนาม สีเหลือง (ยกลัง)</t>
  </si>
  <si>
    <t>Sweet Potato (Carton)</t>
  </si>
  <si>
    <t>เนื้อส้มแมนดาริน แช่แข็ง</t>
  </si>
  <si>
    <t>Frozen Mandarin Orange Segmont</t>
  </si>
  <si>
    <t>rice</t>
  </si>
  <si>
    <t>1|2||4||</t>
  </si>
  <si>
    <t>ลด 50 บาท เมื่อซื้อผลิตภัณฑ์ข้าวเบญจรงค์ที่ร่วมรายการครบ 1,000 บาท</t>
  </si>
  <si>
    <t>น้ำก๋วยเตี๋ยว สำเร็จรูปน้ำใส</t>
  </si>
  <si>
    <t>Concentrated Noodle Clear Soup</t>
  </si>
  <si>
    <t>คุกกี้ รสสตรอเบอร์รี่</t>
  </si>
  <si>
    <t>Cookies  strawberry</t>
  </si>
  <si>
    <t>Strawberry</t>
  </si>
  <si>
    <t>ซีอิ๊วหวาน</t>
  </si>
  <si>
    <t>Sweet Black Soy Sauce</t>
  </si>
  <si>
    <t xml:space="preserve"> รสช็อกโกแลต</t>
  </si>
  <si>
    <t>SNACK CHOCOLATE</t>
  </si>
  <si>
    <t>ลด 5 บาท เมื่อซื้อครบ 3 แพ็ค (ยกเว้นสาขาเกาะสมุย หัวหิน และแหลมฉบัง)</t>
  </si>
  <si>
    <t xml:space="preserve"> น้ำแร่</t>
  </si>
  <si>
    <t>MINERAL WATER</t>
  </si>
  <si>
    <t>ฟรี เป๊ปซี่ 245 มล. 2 กระป๋อง มูลค่า 24 บาท พร้อมรับคูปอง 3 ใบ เมื่อซื้อครบ 300 บาท (ยกเว้นสาขาเกาะสมุย หัวหิน และแหลมฉบัง)</t>
  </si>
  <si>
    <t>ผงปรุงรส รสไก่</t>
  </si>
  <si>
    <t>Chicken Flavored Seasoning Powder</t>
  </si>
  <si>
    <t>ผงปรุงรส รสหมู</t>
  </si>
  <si>
    <t>Pork Flavored Seasoning Powder</t>
  </si>
  <si>
    <t xml:space="preserve"> นํ้ามันปาล์มขวด</t>
  </si>
  <si>
    <t>BONUS PALM OIL</t>
  </si>
  <si>
    <t xml:space="preserve"> ซอสมะเขือเทศ </t>
  </si>
  <si>
    <t>ketchup</t>
  </si>
  <si>
    <t xml:space="preserve"> นํ้าจิ้มไก่ </t>
  </si>
  <si>
    <t>CHICKEN SAUCE</t>
  </si>
  <si>
    <t>ฟรี ง่วนเชียง ซอสปรุงรส ฉลากเขียว 200 มล. 1 ขวด มูลค่า 12 บาท (ของแถมรวมในแพ็ค)</t>
  </si>
  <si>
    <t>ครีมเทียมข้นหวาน พร่องไขมัน</t>
  </si>
  <si>
    <t>sweetened condendsend non dairy cremer</t>
  </si>
  <si>
    <t>ฟรี ขวดบีบ 1 ใบ เมื่อซื้อครบ 3 ถุง</t>
  </si>
  <si>
    <t>เครื่องซักผ้า #SF-130XA</t>
  </si>
  <si>
    <t>Washing Machine #SF-130XA</t>
  </si>
  <si>
    <t>13 กก.|ระบบทำความสะอาดถังซักอัตโนมัติ</t>
  </si>
  <si>
    <t>ฟรี เตารีดไอน้ำ รุ่น CG1018 มูลค่า 990 บาท *เมื่อซื้อเครื่องซักผ้าที่ร่วมรายการ ตั้งแต่ 9,000 บาทขึ้นไป (ของแถมมีจำนวนจำกัด)</t>
  </si>
  <si>
    <t>13 kilograms</t>
  </si>
  <si>
    <t>13 กิโลกรัม</t>
  </si>
  <si>
    <t>เครื่องซักผ้า 2 ถัง #PS-140SJ</t>
  </si>
  <si>
    <t>Twin Tub Washing Machines #PS-140SJ</t>
  </si>
  <si>
    <t>14 กก.|ถังสเตนเลส ไม่เป็นสนิม|ซักปั่นหมาดได้พร้อมกัน</t>
  </si>
  <si>
    <t>14 kilograms</t>
  </si>
  <si>
    <t>14 กิโลกรัม</t>
  </si>
  <si>
    <t>เครื่องซักผ้า #WA85J5711</t>
  </si>
  <si>
    <t>Washing Machine #WA85J5711</t>
  </si>
  <si>
    <t>8.5 กก.|ตั้งโปรแกรมซักอัตโนมัติ</t>
  </si>
  <si>
    <t>8.5 kilograms</t>
  </si>
  <si>
    <t>8.5 กิโลกรัม</t>
  </si>
  <si>
    <t>เครื่องซักผ้า #SF160XTV</t>
  </si>
  <si>
    <t>Washing Machine #SF160XTV</t>
  </si>
  <si>
    <t>16 กก.|ระบบทำความสะอาดถังซักอัตโนมัติ</t>
  </si>
  <si>
    <t>16 kg.</t>
  </si>
  <si>
    <t>16 กก.</t>
  </si>
  <si>
    <t>เครื่องซักผ้าฝาบน 2 ถัง LG #WP-1350ROT</t>
  </si>
  <si>
    <t>Twin Tub Washing Machines #WP-1350ROT</t>
  </si>
  <si>
    <t>9.5 กก.|ถังเรซิ่น ไม่เป็นสนิม|ซักและปั่นหมาดได้พร้อมกัน</t>
  </si>
  <si>
    <t>9.5 kg.</t>
  </si>
  <si>
    <t>9.5 กก.</t>
  </si>
  <si>
    <t>เนเชอรัล แชมพู</t>
  </si>
  <si>
    <t>Natural Shampoo</t>
  </si>
  <si>
    <t>ฟรี แชมพูซันซิล เนเชอรัล สีเขียว 60 มล. 3 ขวด มูลค่า 60 บาท เมื่อซื้อ ซันวิล , โดฟ , เคลียร์ แชมพู / ครีมนวด ขนาด 60-70 มล. ครบ 6 แพ็ค</t>
  </si>
  <si>
    <t xml:space="preserve"> บะหมี่กึ่งสำเร็จรูป</t>
  </si>
  <si>
    <t>INSTANT NOODLE</t>
  </si>
  <si>
    <t>bulb</t>
  </si>
  <si>
    <t>เอสเปรสโซ</t>
  </si>
  <si>
    <t xml:space="preserve"> ชุดกล่องยาสังฆทาน 3.8 ลิตร + ชุดยา/ มหามงคล สังฆทานถัง 3 แกลลอน/ มหามงคล ชุดสังฆทาน...</t>
  </si>
  <si>
    <t xml:space="preserve">MONK SET BOX </t>
  </si>
  <si>
    <t>Black</t>
  </si>
  <si>
    <t>24x28 in.</t>
  </si>
  <si>
    <t>24x28 นิ้ว</t>
  </si>
  <si>
    <t xml:space="preserve">36x45 in. </t>
  </si>
  <si>
    <t>36x45 นิ้ว</t>
  </si>
  <si>
    <t>18x20 in.</t>
  </si>
  <si>
    <t>18x20 นิ้ว</t>
  </si>
  <si>
    <t>รากบัวสไลด์ แช่แข็ง</t>
  </si>
  <si>
    <t>SLICED LOTUS ROOT</t>
  </si>
  <si>
    <t>15/3/2017</t>
  </si>
  <si>
    <t>28/3/2017</t>
  </si>
  <si>
    <t xml:space="preserve"> เวเฟอร์เคลือบช็อกโกแลต</t>
  </si>
  <si>
    <t>WAFER CHOCOLATE</t>
  </si>
  <si>
    <t xml:space="preserve"> แครกเกอร์ รสมะพร้าว</t>
  </si>
  <si>
    <t>COCONUT CRACKER</t>
  </si>
  <si>
    <t>มะพร้าว</t>
  </si>
  <si>
    <t xml:space="preserve"> ถั่วลันเตาอบกรอบ</t>
  </si>
  <si>
    <t>PEA EXTRUDE</t>
  </si>
  <si>
    <t>ลด 2 บาท เมื่อซื้อครบ 2 แพ็ค</t>
  </si>
  <si>
    <t xml:space="preserve"> น้ำดื่ม</t>
  </si>
  <si>
    <t>ขนมน่องไก่ บาบิคิว+สาหร่าย</t>
  </si>
  <si>
    <t>BREAD STICK BBQ+Seaweed</t>
  </si>
  <si>
    <t>BBQ+Seaweed</t>
  </si>
  <si>
    <t>บีบีคิว+สาหร่าย</t>
  </si>
  <si>
    <t>ลด 15 บาท เมื่อซื้อครบ 2 แพ็ค</t>
  </si>
  <si>
    <t>ลูกอมแท่ง รวมรส</t>
  </si>
  <si>
    <t>MIX</t>
  </si>
  <si>
    <t>สาหร่ายบิ๊กชีท ทอดแผ่น</t>
  </si>
  <si>
    <t>SEAWEED BIG SHEET</t>
  </si>
  <si>
    <t>ลด 30 บาท เมื่อซื้อสาหร่ายเถ้าแก่น้อยที่ร่วมรายการครบ 1000 บาท</t>
  </si>
  <si>
    <t>SHEET</t>
  </si>
  <si>
    <t>ชีท</t>
  </si>
  <si>
    <t xml:space="preserve"> เวเฟอร์ เคลือบช็อกโกแลต</t>
  </si>
  <si>
    <t xml:space="preserve"> วาฟเฟิลครันซ์</t>
  </si>
  <si>
    <t xml:space="preserve">WAFFLE CRUNCH </t>
  </si>
  <si>
    <t xml:space="preserve"> ขนมทอดกรอบ รสปลาหมึก</t>
  </si>
  <si>
    <t>EXTRUDE SQUID</t>
  </si>
  <si>
    <t>SQUID</t>
  </si>
  <si>
    <t>ปลาหมึก</t>
  </si>
  <si>
    <t xml:space="preserve"> ข้าวโพดรสเนย</t>
  </si>
  <si>
    <t>POPCORN EXTRUDE</t>
  </si>
  <si>
    <t>butter</t>
  </si>
  <si>
    <t>เนย</t>
  </si>
  <si>
    <t xml:space="preserve"> ปลาสวรรค์ รสเข้มข้น</t>
  </si>
  <si>
    <t>FISH SNACK spicy flavoured</t>
  </si>
  <si>
    <t>ฟรี ทาโร่เข้มข้น 5 บาท 4 ซอง มูลค่า 20 บาท เมื่อซื้อทาโร่ชนิดใดก็ได้ ที่ร่วมรายการครบ 350 บาท</t>
  </si>
  <si>
    <t>spicy flavoured</t>
  </si>
  <si>
    <t>เข้มข้น</t>
  </si>
  <si>
    <t xml:space="preserve"> โคล่า เครื่องดื่มน้ำอัดลม</t>
  </si>
  <si>
    <t>COLA Soft drink</t>
  </si>
  <si>
    <t>COLA</t>
  </si>
  <si>
    <t>โคล่า</t>
  </si>
  <si>
    <t xml:space="preserve"> กาแฟรสเข้ม</t>
  </si>
  <si>
    <t>COFFEE STRONG BLEND</t>
  </si>
  <si>
    <t>STRONG</t>
  </si>
  <si>
    <t>ข้ม</t>
  </si>
  <si>
    <t xml:space="preserve"> น้ำลิ้นจี่ 25% ผสมวุ้นมะพร้าว</t>
  </si>
  <si>
    <t>25% LYCHEE+NATA COCONUT</t>
  </si>
  <si>
    <t xml:space="preserve"> นมข้นหวาน</t>
  </si>
  <si>
    <t>Sweetened condensed milk</t>
  </si>
  <si>
    <t>น้ำส้มเข้มข้น</t>
  </si>
  <si>
    <t>SQUASH ORANGE</t>
  </si>
  <si>
    <t>ข้าวโอ๊ตปรุงสำเร็จ</t>
  </si>
  <si>
    <t>INSTANT OAT MEAL</t>
  </si>
  <si>
    <t>นมผงโกลด์</t>
  </si>
  <si>
    <t>GOLD MILK POWDER</t>
  </si>
  <si>
    <t>ฟรี กล่องไมโครเวฟ 1 ชุด มูลค่า 215 บาท เมื่อซื้อนมผงแอนลีนโกลด์ครบ 1 กล่อง</t>
  </si>
  <si>
    <t>ปลาแมคเคอเรลราดพริก</t>
  </si>
  <si>
    <t>SMILING FISH SARDINE CURRY</t>
  </si>
  <si>
    <t>น้ำมันปาล์มปี๊บ</t>
  </si>
  <si>
    <t>ปีบ</t>
  </si>
  <si>
    <t>ซีอิ๊วขาวเห็ดหอม</t>
  </si>
  <si>
    <t>MUSHROOM SAUCE</t>
  </si>
  <si>
    <t>กระสอบ</t>
  </si>
  <si>
    <t>ลด 51 บาท เมื่อซื้อครบ 2 ถุง</t>
  </si>
  <si>
    <t xml:space="preserve">SEAFOOD </t>
  </si>
  <si>
    <t>เต้าเจี้ยวโม่อิ่มสี</t>
  </si>
  <si>
    <t>ลด 8 บาท เมื่อซื้อครบ 2 แพ็ค</t>
  </si>
  <si>
    <t xml:space="preserve"> นมข้นจืด</t>
  </si>
  <si>
    <t>EVAPORATED MILK</t>
  </si>
  <si>
    <t>รับ คูปองชิงโชค 1 ใบ เมื่อซื้อผลิตภัณฑ์เอฟแอนด์เอ็น ที่ร่วมรายการ ครบทุก 500 บาท</t>
  </si>
  <si>
    <t xml:space="preserve"> รังนกแท้ รอยัลพรีเมี่ยม สูตรไซลิทอล</t>
  </si>
  <si>
    <t>ROYALE PREMIUM XYLITOL</t>
  </si>
  <si>
    <t>ฟรี สก๊อตซุปไก่ 100% 45 มล. 1 แพ็ค มูลค่า 210 บาท เมื่อซื้อครบ 3 แพ็ค</t>
  </si>
  <si>
    <t xml:space="preserve"> นมยูเอชที สูตร4  รสจืด</t>
  </si>
  <si>
    <t xml:space="preserve">Milk UHT PLAIN </t>
  </si>
  <si>
    <t>ฟรี โซฟาดิสนีย์ 1 ชิ้น มูลค่า 599 บาท เมื่อซื้อครบ 1,200 บาท</t>
  </si>
  <si>
    <t xml:space="preserve">PLAIN </t>
  </si>
  <si>
    <t xml:space="preserve"> เอ็กซ์ตร้า ครีมเทียมข้นจืด </t>
  </si>
  <si>
    <t xml:space="preserve">EXTRA cream PLAIN </t>
  </si>
  <si>
    <t xml:space="preserve"> ครีมเทียม</t>
  </si>
  <si>
    <t xml:space="preserve"> บะหมี่ กึ่งสำเร็จรูปคัพ รสต้มยำกุ้งแซ่บ</t>
  </si>
  <si>
    <t>CUP TOM YUM KUNG</t>
  </si>
  <si>
    <t>TOM YUM KUNG</t>
  </si>
  <si>
    <t>Cooking Sauce</t>
  </si>
  <si>
    <t>20/6/2560</t>
  </si>
  <si>
    <t xml:space="preserve"> ข้าวขาวเสาไห้ 100% </t>
  </si>
  <si>
    <t xml:space="preserve"> ข้าวหอมมะลิ 100% </t>
  </si>
  <si>
    <t xml:space="preserve">JASMINE RICE1 00% </t>
  </si>
  <si>
    <t xml:space="preserve"> น้ำมันปาล์ม</t>
  </si>
  <si>
    <t xml:space="preserve"> ข้าวหอมผสม 70%:30%</t>
  </si>
  <si>
    <t xml:space="preserve">FRAGRANT RICE 70%:30% </t>
  </si>
  <si>
    <t xml:space="preserve"> ข้าวหอมมะลิ อุบล 100%</t>
  </si>
  <si>
    <t>เอ็กซ์ตร้า กระดาษชำระ ความยาวพิเศษ</t>
  </si>
  <si>
    <t>Extra Big Roll Toilet Tissue</t>
  </si>
  <si>
    <t>ลด 10 บาท เมื่อซื้อครบ 2 แพ็ค</t>
  </si>
  <si>
    <t>ฟรุตซอล รสส้ม</t>
  </si>
  <si>
    <t xml:space="preserve">ORANGE FRUITSAL </t>
  </si>
  <si>
    <t>Orange</t>
  </si>
  <si>
    <t>จัมโบ้ ผ้าอ้อมเด็ก</t>
  </si>
  <si>
    <t xml:space="preserve">DAYPANT JUMBO </t>
  </si>
  <si>
    <t>L 62 I XL 54 I XXL 48</t>
  </si>
  <si>
    <t>ลด 60 บาท เมื่อซื้อผ้าอ้อมเบบี้เลิฟทุกรุ่น ทุกขนาดครบ 590 บาท</t>
  </si>
  <si>
    <t xml:space="preserve"> แป้งเด็กสีฟ้า</t>
  </si>
  <si>
    <t>TALCUM BLUE</t>
  </si>
  <si>
    <t>2+1</t>
  </si>
  <si>
    <t>blue</t>
  </si>
  <si>
    <t>ฟ้า</t>
  </si>
  <si>
    <t>TOOTHPASTE</t>
  </si>
  <si>
    <t>ลด 20 บาท เมื่อซื้อผลิตภัณฑ์ดอกบัวคู่ ที่ร่วมรายการ ครบ 399 บาท</t>
  </si>
  <si>
    <t>แป้งเย็น ปริกลีฮีท</t>
  </si>
  <si>
    <t>PRICKLY HEAT TALCUM</t>
  </si>
  <si>
    <t>ลด 20 บาท เมื่อซื้อแป้งตรางู ที่ร่วมรายการครบ 250 บาท</t>
  </si>
  <si>
    <t>กระดาษชำระ ความยาว2เท่า</t>
  </si>
  <si>
    <t xml:space="preserve">EXTRA DOUBLE ROLL </t>
  </si>
  <si>
    <t>ยูวี อควาริช</t>
  </si>
  <si>
    <t>UV AQUA ESSENCE</t>
  </si>
  <si>
    <t>ฟรี บีโอเรอควาริช 15 มล. 1 หลอด มูลค่า 103 บาท เมื่อซื้อบีโอเรที่ร่วมรายการครบ 1 แพ็ค</t>
  </si>
  <si>
    <t>น้ำยาถูพื้นสีชมพู</t>
  </si>
  <si>
    <t>เฟรชไลท์ มิลค์กี้ ผลิตภัณฑ์เปลี่ยนสีผม สีเทาสว่าง</t>
  </si>
  <si>
    <t>FRESHLIGHT MILKY hair Light gray</t>
  </si>
  <si>
    <t xml:space="preserve">ฟรี ทัฟสเปร์ย 75 มล. 1 กระป๋อง มูลค่า 99 บาท เมื่อซื้อผลิตภัณฑ์ชวาล์ฟคอร์ฟครบ 199 บาท </t>
  </si>
  <si>
    <t xml:space="preserve"> เฮอร์เบิ้ลซอลท์ ยาสีฟัน</t>
  </si>
  <si>
    <t>HERBAL SALT toothpaste</t>
  </si>
  <si>
    <t>12+1</t>
  </si>
  <si>
    <t>ฟรี ยาสีฟันซอลท์เฮอร์เบิ้ล 35 กรัม 2 หลอด มูลค่า 30 บาท เมื่อซื้อ ยาสีฟันคอลเกตขนาดใดสูตรใดก็ได้ที่ร่วมรายการครบ 3 แพ็ค</t>
  </si>
  <si>
    <t>SALT</t>
  </si>
  <si>
    <t>ซอลท์</t>
  </si>
  <si>
    <t xml:space="preserve"> น้ำยาล้างจาน</t>
  </si>
  <si>
    <t>DISHWASH</t>
  </si>
  <si>
    <t xml:space="preserve"> น้ำยา ปรับผ้านุ่ม สีชมพู</t>
  </si>
  <si>
    <t>SOFTENER  PINK</t>
  </si>
  <si>
    <t>แฮปปี้สวีท ผงซักฟอก</t>
  </si>
  <si>
    <t>HAPPY  SWEET washing powder</t>
  </si>
  <si>
    <t>ฟรี แอทแทคอีซีแฮปปี้สวีท 120 กรัม 1 ซอง มูลค่า 10 บาท เมื่อซื้อ ครบ 1 แพ็ค</t>
  </si>
  <si>
    <t>แอลฟี่ รสช็อคโกแลต</t>
  </si>
  <si>
    <t>Alfie Chocolate</t>
  </si>
  <si>
    <t>26/4/2017</t>
  </si>
  <si>
    <t>ลด 35บาท เมื่อซื้อสินค้ากูลิโกะที่ร่วมรายการ แอลฟี่ เพรทซ์ อย่างใดก็ได้ที่ร่วมรายการ ครบ 350 บาท (รวมภาษี/ใบเสร็จ)</t>
  </si>
  <si>
    <t>ช็อคโกแลต</t>
  </si>
  <si>
    <t>ปลาแมคเคอเรล ในซอสมะเขือเทศ</t>
  </si>
  <si>
    <t>MACKEREL in tomato source</t>
  </si>
  <si>
    <t>ลด 15 บาท เมื่อซื้อผลิตภัณฑ์ทีซีบี ที่ร่วมรายการครบ 299 บาท</t>
  </si>
  <si>
    <t>Tomato Sauce</t>
  </si>
  <si>
    <t>เนเชอรัลไวท์ ฝาหมุน</t>
  </si>
  <si>
    <t>NATURAL WHTE FAIRNES</t>
  </si>
  <si>
    <t>แป้งเด็ก สีชมพู</t>
  </si>
  <si>
    <t xml:space="preserve">BABY TALCUM PINK </t>
  </si>
  <si>
    <t>คูลมินต์ น้ำยาม้วนปาก</t>
  </si>
  <si>
    <t>COOLMINT mouthwash</t>
  </si>
  <si>
    <t>Coolmint</t>
  </si>
  <si>
    <t>คูลมินต์</t>
  </si>
  <si>
    <t xml:space="preserve"> แครกเกอร์</t>
  </si>
  <si>
    <t>CRACKER</t>
  </si>
  <si>
    <t xml:space="preserve"> ยูวี ไวท์ เอ็กซ์ตร้ารีแพร์</t>
  </si>
  <si>
    <t>EXTRA WHITE Extra Repair</t>
  </si>
  <si>
    <t xml:space="preserve"> เอกเซล ผงซักฟอก</t>
  </si>
  <si>
    <t>EXCEL washing powder</t>
  </si>
  <si>
    <t xml:space="preserve"> แป้งเด็ก สีชมพู</t>
  </si>
  <si>
    <t>BABY TALCUM PINK</t>
  </si>
  <si>
    <t xml:space="preserve"> เบบี้ บาธ มิลด์</t>
  </si>
  <si>
    <t>BABY BATH MILK</t>
  </si>
  <si>
    <t xml:space="preserve"> ลูกอมถุงรสมินต์</t>
  </si>
  <si>
    <t>SOFT CANDY MINT</t>
  </si>
  <si>
    <t>MINT</t>
  </si>
  <si>
    <t>มินต์</t>
  </si>
  <si>
    <t xml:space="preserve"> แอลฟี่ ช็อกโกแลต </t>
  </si>
  <si>
    <t>ALEIE CHOCOLATE</t>
  </si>
  <si>
    <t xml:space="preserve">ช็อกโกแลต </t>
  </si>
  <si>
    <t>WAFER</t>
  </si>
  <si>
    <t>รสหมูสับ</t>
  </si>
  <si>
    <t>MINCE PORK</t>
  </si>
  <si>
    <t>แชมพู คูลเมนทอล</t>
  </si>
  <si>
    <t>SHAMPOO COOL MENTOL</t>
  </si>
  <si>
    <t>COOL MENTOL</t>
  </si>
  <si>
    <t>คูลเมนทอล</t>
  </si>
  <si>
    <t>ดับเบิ้ล แอคชั่น ยาสีฟัน</t>
  </si>
  <si>
    <t>Double Action TOOTHPASTE</t>
  </si>
  <si>
    <t>170/180</t>
  </si>
  <si>
    <t>ฟรี เมื่อซื้อยาสีฟัน ดาร์ลี่ (ขนาดและรสชาติใดก็ได้) ครบ 499 บาท รับฟรี!ร่มกันยูวีดาร์ลี่ 1 คัน มูลค่า 199 บาท</t>
  </si>
  <si>
    <t>iy[ij,</t>
  </si>
  <si>
    <t>แฮปปี้แพนท์ ผ้าอ้อมเด็ก</t>
  </si>
  <si>
    <t>HAPPY PANTS</t>
  </si>
  <si>
    <t>แตนดาร์ด ผ้าอ้อมเด็ก</t>
  </si>
  <si>
    <t>STANDARD PANTS</t>
  </si>
  <si>
    <t>85/90</t>
  </si>
  <si>
    <t>เวฟอร์ เคลือบช็อกโกแลต</t>
  </si>
  <si>
    <t xml:space="preserve"> ซอสโชยุ</t>
  </si>
  <si>
    <t xml:space="preserve">SAUCE SHOYU </t>
  </si>
  <si>
    <t xml:space="preserve"> กาแฟปรุงสำเร็จรูป ชนิดผง 3in1 โรบัสต้า</t>
  </si>
  <si>
    <t xml:space="preserve">Coffee 3IN1 ROBUSTA </t>
  </si>
  <si>
    <t>ROBUSTA</t>
  </si>
  <si>
    <t>โรบัสต้า</t>
  </si>
  <si>
    <t>แชมพูแพนทีนโททัลแคร์</t>
  </si>
  <si>
    <t>SHAMP TOTAL CARE</t>
  </si>
  <si>
    <t xml:space="preserve"> เลมอน น้ำยาล้างจาน</t>
  </si>
  <si>
    <t xml:space="preserve">lemon DISHWASHING </t>
  </si>
  <si>
    <t xml:space="preserve"> อัลตร้า สีฟ้า</t>
  </si>
  <si>
    <t>ULTRA BLUE</t>
  </si>
  <si>
    <t>BLUE</t>
  </si>
  <si>
    <t xml:space="preserve"> จัมโบ้ บะหมี่กึ่งสำเร็จรูป รสต้มยำกุ้ง</t>
  </si>
  <si>
    <t xml:space="preserve"> เฮลตี้ไบรท์ น้ำยาบ้วนปาก</t>
  </si>
  <si>
    <t>HEALTHY BRIGHT</t>
  </si>
  <si>
    <t xml:space="preserve"> ลูกอมแท่งรสมินต์</t>
  </si>
  <si>
    <t>SOFT CANDY Mint</t>
  </si>
  <si>
    <t>Mint</t>
  </si>
  <si>
    <t xml:space="preserve"> ช็อกโกแลตบิทส์</t>
  </si>
  <si>
    <t>CHOCOLATE BITS</t>
  </si>
  <si>
    <t xml:space="preserve"> บิสกิตมัตชะ</t>
  </si>
  <si>
    <t>BISCUIT MATCHA</t>
  </si>
  <si>
    <t xml:space="preserve"> กัมมี่แฟนซี คละแบบ</t>
  </si>
  <si>
    <t>JELLY GUMMY PIZZA</t>
  </si>
  <si>
    <t xml:space="preserve"> ฟูเซ็น โนมิโคล่าเลมอน</t>
  </si>
  <si>
    <t>GUM FUSEN COLA lemon</t>
  </si>
  <si>
    <t>COLA lemon</t>
  </si>
  <si>
    <t>โคล่าเลมอน</t>
  </si>
  <si>
    <t xml:space="preserve"> เพรทช์ รสชีส </t>
  </si>
  <si>
    <t>PRETZ CHEESE</t>
  </si>
  <si>
    <t>NATURAL FREEZER #NFT-4208</t>
  </si>
  <si>
    <t xml:space="preserve"> ตู้แช่แข็ง ฝาทึบ #NFT-4208 </t>
  </si>
  <si>
    <t>7.3 Q</t>
  </si>
  <si>
    <t>7.3 คิว</t>
  </si>
  <si>
    <t>ตู้เย็น 2 ประตู #MR-FV38EJ</t>
  </si>
  <si>
    <t>2 Doors  Refrigerator #MR-FV38EJ</t>
  </si>
  <si>
    <t>12.2 คิว|ละลายน้ำแข็งกึ่งอัตโนมัติ|ป้องกันเชื้อรา และแบคทีเรีย|กระจายความเย็นรอบทิศทาง</t>
  </si>
  <si>
    <t>12.2 Q</t>
  </si>
  <si>
    <t>12.2 คิว</t>
  </si>
  <si>
    <t>แอลอีดี ทีวี 40” #UA40J5200K</t>
  </si>
  <si>
    <t>40"  LED TV #UA40J5200AK</t>
  </si>
  <si>
    <t>40”</t>
  </si>
  <si>
    <t xml:space="preserve"> กระทะไฟฟ้า #MP-12Q </t>
  </si>
  <si>
    <t>ELECTRIC PAN #MP-12Q 3L</t>
  </si>
  <si>
    <t>3 ลิตร|ฝากระทะ มีช่องระบาย ไอน้ำป้องกันน้ำล้น</t>
  </si>
  <si>
    <t>3 L</t>
  </si>
  <si>
    <t>3 ลิตร</t>
  </si>
  <si>
    <t xml:space="preserve"> พัดลมตั้งพื้น #HT-18M2/3</t>
  </si>
  <si>
    <t xml:space="preserve">DESK FAN #HT-T18M/2/3 </t>
  </si>
  <si>
    <t xml:space="preserve">18 นิ้ว|ปรับแรงลม  3 ระดับ </t>
  </si>
  <si>
    <t>18"</t>
  </si>
  <si>
    <t>แอลอีดีทีวี  #AN-32DH800SM</t>
  </si>
  <si>
    <t>LED TV  #AN-32DH800SM</t>
  </si>
  <si>
    <t>26/4/2560</t>
  </si>
  <si>
    <t>LED 32"|USB-2|HDMI -2|SMART TV|</t>
  </si>
  <si>
    <t>32"</t>
  </si>
  <si>
    <t>ตู้แช่ 1 ประตู #SPA-0353</t>
  </si>
  <si>
    <t>FREEZER #SPA-0353</t>
  </si>
  <si>
    <t>11.9 คิว</t>
  </si>
  <si>
    <t>11.9 c.</t>
  </si>
  <si>
    <t>9.5Q</t>
  </si>
  <si>
    <t xml:space="preserve">หม้อหุงข้าว #710/110  1 ลิตร </t>
  </si>
  <si>
    <t>Rice Cooker #710/110 1L</t>
  </si>
  <si>
    <t xml:space="preserve">พัดลมสไลด์ #PJ-SL161/SL163 </t>
  </si>
  <si>
    <t>SLIDE FAN  #PJ-SL161/163</t>
  </si>
  <si>
    <t xml:space="preserve">16นิ้ว|ปรับระดับสูงต่ำได้|ปรับแรงลมได้  3 ระดับ </t>
  </si>
  <si>
    <t>16 in.</t>
  </si>
  <si>
    <t xml:space="preserve">ตู้เย็น #R-64V </t>
  </si>
  <si>
    <t>REFRIGERATOR #R-64V</t>
  </si>
  <si>
    <t xml:space="preserve">6.6 คิว| ละลายน้ำแข็ง กึ่งอัตโนมัติ|กระจาย ความเย็น รอบทิศทาง </t>
  </si>
  <si>
    <t>6.6Q</t>
  </si>
  <si>
    <t>6.6 คิว</t>
  </si>
  <si>
    <t xml:space="preserve">ตู้เย็น 2 ประตู #RT20HARIDSA/ST </t>
  </si>
  <si>
    <t>REFRIGERATOR #RT20HAR1DSA/ST</t>
  </si>
  <si>
    <t xml:space="preserve">7.4 คิว|ละลายน้ำแข็ง กึ่งอัตโนมัติ|ป้องกันเชื้อรา และแบคทีเรีย </t>
  </si>
  <si>
    <t>7.4Q</t>
  </si>
  <si>
    <t>7.4 คิว</t>
  </si>
  <si>
    <t>แอลอีดี ทีวี 32” #32PHT5200</t>
  </si>
  <si>
    <t>TV LED 32" #32PHT5200S</t>
  </si>
  <si>
    <t>32 นิ้ว|USB-1|HDML-1|HOTEL MODE|รับชม DIGITAL TV ได้ทันที</t>
  </si>
  <si>
    <t>32 inches</t>
  </si>
  <si>
    <t>แอลอีดี ทีวี 24" #24PHA4100</t>
  </si>
  <si>
    <t>LED TV 24"  #24PHA4100</t>
  </si>
  <si>
    <t>24 นิ้ว</t>
  </si>
  <si>
    <t>24 inches</t>
  </si>
  <si>
    <t xml:space="preserve">พัดลมตั้งโต๊ะ #CF-4165 16 นิ้ว </t>
  </si>
  <si>
    <t xml:space="preserve">TABLE FAN # CF-4165 16" </t>
  </si>
  <si>
    <t>16 inch</t>
  </si>
  <si>
    <t>เครื่องซักผ้า 6.5 กก. #AW-750ST</t>
  </si>
  <si>
    <t>WASHING MASCHINE  6.5KG #AW-750ST</t>
  </si>
  <si>
    <t>6.5 กก.|ถังสแตนเลสไม่เป็นสนิม|ตั้งโปรแกรม ซักอัตโนมัติ</t>
  </si>
  <si>
    <t>6.5 kg</t>
  </si>
  <si>
    <t>6.5 กก.</t>
  </si>
  <si>
    <t xml:space="preserve">พัดลมอุตสาหกรรม #18HC/HCT </t>
  </si>
  <si>
    <t>INDUSTRIAL FAN #18HC/RC</t>
  </si>
  <si>
    <t>18 นิ้ว|ปรับส่ายได้ ปรับสูงต่ำได้</t>
  </si>
  <si>
    <t>18 inch</t>
  </si>
  <si>
    <t xml:space="preserve">เครื่องซักผ้า12 กก. #SP-120XA </t>
  </si>
  <si>
    <t>WASHING MACHINE 12 KG. #SF-120XA</t>
  </si>
  <si>
    <t>12 กก.|ตั้งโปรแกรม ซักอัตโนมัติ</t>
  </si>
  <si>
    <t>12 kg</t>
  </si>
  <si>
    <t>เครื่องฉีดน้ำ #Angara 90 บาร์</t>
  </si>
  <si>
    <t>HIGH PRESSURE CLEANER #CARIBBEAN II  90 Bar</t>
  </si>
  <si>
    <t>90 บาร์</t>
  </si>
  <si>
    <t>90 bar</t>
  </si>
  <si>
    <t>เครื่องฉีดน้ำ #Caribbean II100 บาร์</t>
  </si>
  <si>
    <t>HIGH PRESSURE CLEANER #ANGARA 100 Bar</t>
  </si>
  <si>
    <t>100 บาร์</t>
  </si>
  <si>
    <t>100 bar</t>
  </si>
  <si>
    <t>แฟ้มก้านยก สันกว้าง 3” #100F</t>
  </si>
  <si>
    <t>Lever Arch Files 3" #100F</t>
  </si>
  <si>
    <t>แฟ้มก้านยก สันกว้าง 3” #100A4</t>
  </si>
  <si>
    <t>Lever Arch Files 3" #100A4</t>
  </si>
  <si>
    <t>ปากกาลบคำผิด 4 มล. MARE คละสี</t>
  </si>
  <si>
    <t>Correction Pen 4 ml MARE</t>
  </si>
  <si>
    <t>ปากกาลบคำผิด 4 มล. MAI คละสี</t>
  </si>
  <si>
    <t>Correction Pen 4 ml MAI</t>
  </si>
  <si>
    <t xml:space="preserve">ป้ายสติ๊กเกอร์อเนกประสงค์ </t>
  </si>
  <si>
    <t xml:space="preserve">Versatile Sticker Labels </t>
  </si>
  <si>
    <t>A4</t>
  </si>
  <si>
    <t>เอ4</t>
  </si>
  <si>
    <t xml:space="preserve">เทปใสแกนใหญ่ 1/2” 72 หลา </t>
  </si>
  <si>
    <t xml:space="preserve">CLEAR TAPE 1/2" 72Y </t>
  </si>
  <si>
    <t>1/2" 72 y</t>
  </si>
  <si>
    <t>1/2" 72 หลา</t>
  </si>
  <si>
    <t>เทปใสแกนใหญ่ 3/4” 72 หลา</t>
  </si>
  <si>
    <t xml:space="preserve">CLEAR TAPE 3/4" 72Y </t>
  </si>
  <si>
    <t>3/4" 72 Y</t>
  </si>
  <si>
    <t>3/4" 72 หลา</t>
  </si>
  <si>
    <t>ชั้นเหล็ก 120x45x160 ซม. #120BK สีดำ</t>
  </si>
  <si>
    <t>SHELF 120X45X160 CM #120BK BLACK</t>
  </si>
  <si>
    <t>120x45x160 cm.</t>
  </si>
  <si>
    <t>120x45x160 ซม.</t>
  </si>
  <si>
    <t>ชั้นเหล็ก 120x45x160 ซม. #120BK สีขาว</t>
  </si>
  <si>
    <t>SHELF 120X45X160 CM #120BK WHITE</t>
  </si>
  <si>
    <t>White</t>
  </si>
  <si>
    <t>โต๊ะพับหน้าไม้สีบีช 80x60x75 ซม.</t>
  </si>
  <si>
    <t>wooden Foldable Table Beach 80x60x75 cm</t>
  </si>
  <si>
    <t>เปเปอร์ พลัส</t>
  </si>
  <si>
    <t>Paper Plus</t>
  </si>
  <si>
    <t>กระดาษถ่ายเอกสาร A4</t>
  </si>
  <si>
    <t xml:space="preserve">COPY PAPER A4 </t>
  </si>
  <si>
    <t>ream</t>
  </si>
  <si>
    <t>70 gram</t>
  </si>
  <si>
    <t>70 แกรม</t>
  </si>
  <si>
    <t xml:space="preserve">ลวดเย็บ #10-1M </t>
  </si>
  <si>
    <t xml:space="preserve">STAPLE #10-1M </t>
  </si>
  <si>
    <t xml:space="preserve">กระดาษถ่ายเอกสาร A4 </t>
  </si>
  <si>
    <t>COPY PAPER A4</t>
  </si>
  <si>
    <t xml:space="preserve">กระดาษถ่ายเอกสาร A4 70 แกรม </t>
  </si>
  <si>
    <t>COPY PAPER (O) A4 70G</t>
  </si>
  <si>
    <t xml:space="preserve">กระดาษถ่ายเอกสาร A4 80 แกรม </t>
  </si>
  <si>
    <t>COPY PAPER (V) A4 80G</t>
  </si>
  <si>
    <t>พริ้นเตอร์ #L360</t>
  </si>
  <si>
    <t>MULTIFUNCTION PRINTER #L360</t>
  </si>
  <si>
    <t>PRINT|SCAN|COPY|ความละเอียด ในการพิมพ์ 5760x1440 DPI|ความเร็วใน การพิมพ์ขาวดำ33/สี 15 แผ่นต่อนาที</t>
  </si>
  <si>
    <t>ฟรี ซอสปรุงรสอาหารแม็กกี้สูตรเข้มข้น 680 มล. 3 ขวด มูลค่า 87 บาท เมื่อซื้อครบ 2 แพ็ค</t>
  </si>
  <si>
    <t xml:space="preserve">อเนกประสงค์เล็ก 3"x4" </t>
  </si>
  <si>
    <t xml:space="preserve">3"x4" </t>
  </si>
  <si>
    <t>รางปลั๊กไฟ #MK4 3หลา</t>
  </si>
  <si>
    <t>Power Strip #MK4 3 yards</t>
  </si>
  <si>
    <t>สายยาว 3 หลา</t>
  </si>
  <si>
    <t>3 yard</t>
  </si>
  <si>
    <t>3 หลา</t>
  </si>
  <si>
    <t xml:space="preserve">นมถั่วเหลือง สูตรกลมกล่อม </t>
  </si>
  <si>
    <t>SMOOTH&amp;MILKY</t>
  </si>
  <si>
    <t>ลด 10 บาท เมื่อซื้อ ครบ 3 แพ็ค</t>
  </si>
  <si>
    <t>Smooth&amp;Milky</t>
  </si>
  <si>
    <t>เครื่องดื่มบำรุงกำลัง</t>
  </si>
  <si>
    <t xml:space="preserve">Refreshment Drink </t>
  </si>
  <si>
    <t>น้ำยาปรับผ้านุ่ม สีชมพู (ถุงเติม)</t>
  </si>
  <si>
    <t>SOFTENER PINK (Refill)</t>
  </si>
  <si>
    <t>3IN1 เครื่องดื่มปรุงสำเร็จมอลต์สกัด รสช็อกโกแลต</t>
  </si>
  <si>
    <t>3IN1 Malt extract Chocolate Flavour</t>
  </si>
  <si>
    <t>นมข้นหวาน</t>
  </si>
  <si>
    <t>Sweetened Condensed Milk</t>
  </si>
  <si>
    <t>sweet</t>
  </si>
  <si>
    <t>SAUCE Green</t>
  </si>
  <si>
    <t>เครื่องดื่มน้ำอัดลม TN</t>
  </si>
  <si>
    <t>SOFT DRINK CAN TN</t>
  </si>
  <si>
    <t>เครื่องดื่มน้ำอัดลม HT</t>
  </si>
  <si>
    <t>SOFT DRINK CAN HT</t>
  </si>
  <si>
    <t xml:space="preserve">ชาเขียวน้ำผึ้งผสมมะนาว </t>
  </si>
  <si>
    <t xml:space="preserve">GREENTEA HONEYLEMON </t>
  </si>
  <si>
    <t>honeylemon</t>
  </si>
  <si>
    <t>น้ำผึ้งผสมมะนาว</t>
  </si>
  <si>
    <t>นมถั่วเหลือง ยูเอชที รสหวาน</t>
  </si>
  <si>
    <t>SOYMILK SWEET FLAVOUR</t>
  </si>
  <si>
    <t>5-Other</t>
  </si>
  <si>
    <t>นมยูเอชที รสจืด</t>
  </si>
  <si>
    <t>UHT MILK PLAIN</t>
  </si>
  <si>
    <t>pain</t>
  </si>
  <si>
    <t>White Rice 100%</t>
  </si>
  <si>
    <t>สบู่พฤกษา สีเขียว</t>
  </si>
  <si>
    <t>SOAP GREEN</t>
  </si>
  <si>
    <t>ลด 10 บาท เมื่อซื้อสบู่พฤกษานกแก้ว ขนาด 75 กรัม ครบ 3 แพ็ค</t>
  </si>
  <si>
    <t>POWDER PORK</t>
  </si>
  <si>
    <t xml:space="preserve">POWDER CHICKEN </t>
  </si>
  <si>
    <t xml:space="preserve">แหนมเอ็นข้อไก่ แช่แข็ง </t>
  </si>
  <si>
    <t>FROZEN FERMENTED CHICKEN TENDON</t>
  </si>
  <si>
    <t>FROZEN FERMENTEDCHICKENTENDON</t>
  </si>
  <si>
    <t>สโม้กเบคอน</t>
  </si>
  <si>
    <t>SMOKED BACON</t>
  </si>
  <si>
    <t>หมูกระทะหมัก แช่แข็ง</t>
  </si>
  <si>
    <t>FROZEN MARINATED PORK SHABU</t>
  </si>
  <si>
    <t>ตู้เย็น 2 ประตู #RH230PA</t>
  </si>
  <si>
    <t>REFRIGERTOR 2 DOOR  #RH230PA</t>
  </si>
  <si>
    <t>8.1คิว</t>
  </si>
  <si>
    <t>8.1Q</t>
  </si>
  <si>
    <t>หม้อหุงข้าว #RC-114/10</t>
  </si>
  <si>
    <t>RICE COOKER #RC-114/10</t>
  </si>
  <si>
    <t>1 l.</t>
  </si>
  <si>
    <t>LED TV 32"  #32LE275x</t>
  </si>
  <si>
    <t>55 นิ้ว|USB-1|HDMI-3|SMART TV 4K|รับชม DIGITAL TV ได้ฟรีทันที</t>
  </si>
  <si>
    <t>เครื่องออกกำลังกาย SIT&amp;FIT</t>
  </si>
  <si>
    <t>TRAINING EQUIPMENT SIT&amp;FIT</t>
  </si>
  <si>
    <t xml:space="preserve">ชุดหม้อแขก 28-36 ซม. </t>
  </si>
  <si>
    <t xml:space="preserve">Stainless Steel Indian Pot Pan Set 28-36 cm. </t>
  </si>
  <si>
    <t>ชุดถังปั่นสแตนเลส พร้อมม๊อบถูพื้น สีดำ</t>
  </si>
  <si>
    <t>SPIN Mop with Bucket BLACK</t>
  </si>
  <si>
    <t>BLACK</t>
  </si>
  <si>
    <t>ชุดถังปั่นสแตนเลส พร้อมม๊อบถูพื้น สีม่วง</t>
  </si>
  <si>
    <t>Floor Mop with Bucket PURPLE</t>
  </si>
  <si>
    <t>ม่วง</t>
  </si>
  <si>
    <t>ไฟแช็คก๊าซ</t>
  </si>
  <si>
    <t>Gas Lighter</t>
  </si>
  <si>
    <t>Red</t>
  </si>
  <si>
    <t>แดง</t>
  </si>
  <si>
    <t>กระดาษถ่ายเอกสาร A4 80 แกรม</t>
  </si>
  <si>
    <t>COPY PAPER  A4 80G</t>
  </si>
  <si>
    <t xml:space="preserve">พัดลมสไลด์ #ASF-4164 </t>
  </si>
  <si>
    <t xml:space="preserve">SLIDE FAN#ASF-4164 </t>
  </si>
  <si>
    <t xml:space="preserve">16นิ้ว|ปรับแรงลมได้  3 ระดับ </t>
  </si>
  <si>
    <t>16 นิ้ว.</t>
  </si>
  <si>
    <t>ไมโครเวฟ #ME711K /XST</t>
  </si>
  <si>
    <t>MICROWAVE # ME-711K/XST</t>
  </si>
  <si>
    <t>20 ลิตร|1550 วีตต์</t>
  </si>
  <si>
    <t>20 L</t>
  </si>
  <si>
    <t>20 ลิตร</t>
  </si>
  <si>
    <t>โอพีพีเทปใสเนื้ออคริลิค 2” 45 หลา</t>
  </si>
  <si>
    <t>OPP TAPE CLEAR 2"X45Y</t>
  </si>
  <si>
    <t xml:space="preserve">โอพีพีเทปสีชาเนื้ออคริลิค 2” 45 หลา </t>
  </si>
  <si>
    <t>OPP TAPE TAN 2"X45Y</t>
  </si>
  <si>
    <t>แอลอีดี ทีวี 32” #32PHA4100</t>
  </si>
  <si>
    <t>TV LED   32" #32PHA4100S</t>
  </si>
  <si>
    <t>32 นิ้ว|USB-1|HDMI-1|HOTEL MODE</t>
  </si>
  <si>
    <t>พัดลมตั้งโต๊ะ 12 นิ้ว</t>
  </si>
  <si>
    <t>Desktop fan 12"</t>
  </si>
  <si>
    <t>12 นิ้ว|ปรับแรงลมได้ 3 ระดับ</t>
  </si>
  <si>
    <t>12 inches</t>
  </si>
  <si>
    <t>12 นิ้ว</t>
  </si>
  <si>
    <t>เบลนด์แอนด์บรู หวานน้อย กาแฟปรุงสำเร็จรูปชนิดผง</t>
  </si>
  <si>
    <t>BLEND&amp;BREW  LESS SUGAR INSTANT COFFEE</t>
  </si>
  <si>
    <t>ลด 54 บาท เมื่อซื้อสินค้าเนสท์เล่ที่ร่วมรายการครบ 749 บาท</t>
  </si>
  <si>
    <t>Less sugar</t>
  </si>
  <si>
    <t>หวานน้อย</t>
  </si>
  <si>
    <t>ชามิกซ์เบอรี</t>
  </si>
  <si>
    <t>TEA MIX BERRY</t>
  </si>
  <si>
    <t>มิกซ์เบอรรี่</t>
  </si>
  <si>
    <t>โกโก้ครั้นช์ อาหารเช้าซีเรียล</t>
  </si>
  <si>
    <t>Cocoa</t>
  </si>
  <si>
    <t>โกโก้</t>
  </si>
  <si>
    <t>เบลนด์แอนบรู เอสเปรสโซ โรสต์ กาแฟปรุงสำเร็จรูปชนิดผง</t>
  </si>
  <si>
    <t>BLEND&amp;BREW ESPRESSO ROAST INSTANT COFFEE</t>
  </si>
  <si>
    <t>ไมโล ซีเรียล</t>
  </si>
  <si>
    <t>MILO COLD CEREAL</t>
  </si>
  <si>
    <t>โกล์ด คาปูชิโน่ กาแฟปรุงสำเร็จชนิดผง</t>
  </si>
  <si>
    <t>GOLD CAPPUCINO INSTANT COFFEE</t>
  </si>
  <si>
    <t>โกล์ด มัคคิอาโต้ กาแฟปรุงสำเร็จชนิดผง</t>
  </si>
  <si>
    <t>GOLD LATTE MACCHATO INSTANT COFFEE</t>
  </si>
  <si>
    <t>โกล์ด ไวท์เอสเปรสโซ่ กาแฟปรุงสำเร็จชนิดผง</t>
  </si>
  <si>
    <t>GOLD WHITE ESPRESSO INSTANT COFFEE</t>
  </si>
  <si>
    <t>มะนาวโซดา</t>
  </si>
  <si>
    <t>LEMON SODA CAN</t>
  </si>
  <si>
    <t>lemon Soda</t>
  </si>
  <si>
    <t>เบลนด์แอนด์บรู ริชอโรมา กาแฟปรุงสำเร็จชนิดผง</t>
  </si>
  <si>
    <t xml:space="preserve">BLEND&amp;BREW RICHAROMA INSTANT COFFEE </t>
  </si>
  <si>
    <t xml:space="preserve"> ลด 54 บาท เมื่อซื้อสินค้าเนสท์เล่ ที่ร่วรายการครบ 749 บาท</t>
  </si>
  <si>
    <t>เรดคัพซอง กาแฟปรุงสำเร็จชนิดผง</t>
  </si>
  <si>
    <t>REDCUP POUCH INSTANT COFFEE</t>
  </si>
  <si>
    <t>โกลด์</t>
  </si>
  <si>
    <t>GOLD CREAMER</t>
  </si>
  <si>
    <t>เพียวไลฟ์ น้ำดื่ม</t>
  </si>
  <si>
    <t>PURELIFE WATER</t>
  </si>
  <si>
    <t>ฟรี น้ำดื่มเนสท์เล่เพียวไลฟ์ ขนาด 1.5 ลิตร x 6 จำนวน 1 แพ็ค มูลค่า 58 บาท (รับของแถมที่จุดบริการ) เมื่อซื้อ เสนท์เล่เพียวไลฟ์ และ มิเนเร่ ที่ร่วมรายการ ครบ 349 บาท</t>
  </si>
  <si>
    <t>นํ้าแร่</t>
  </si>
  <si>
    <t xml:space="preserve">MINERAL WATER </t>
  </si>
  <si>
    <t>3IN1 เอสเปรสโซ่ กาแฟปรุงสำเร็จชนิดผง</t>
  </si>
  <si>
    <t>ฟรี เก้าอี้กลม 1 ตัว มูลค่า 79 บาท เมื่อซื้อสินค้าซุปเปอร์กาแฟ คาเฟ่เฮาส์ ซุปเปอร์ ครบ 499 บาท</t>
  </si>
  <si>
    <t>MINERALWATER</t>
  </si>
  <si>
    <t xml:space="preserve">MINERALWATER </t>
  </si>
  <si>
    <t>ปูเทียมอัด แช่แข็ง</t>
  </si>
  <si>
    <t>Frozen Crab Stick</t>
  </si>
  <si>
    <t>เฉาก๊วย ชนิดชิ้นสี่เหลี่ยม</t>
  </si>
  <si>
    <t>Jelly Grass Square</t>
  </si>
  <si>
    <t>เฉาก๊วย ชนิดเส้น</t>
  </si>
  <si>
    <t>Jelly Grass</t>
  </si>
  <si>
    <t>เชดด้าโพรเชสชีส</t>
  </si>
  <si>
    <t>CHEEDA CHEESE</t>
  </si>
  <si>
    <t>ฟิลาเดลเฟียครีมชีส</t>
  </si>
  <si>
    <t>PHILADELPHIA CREAM CHEESE</t>
  </si>
  <si>
    <t>น้ำกะทิพาสเจอร์ไรส์</t>
  </si>
  <si>
    <t>COCONUT MILK  Pasteurized</t>
  </si>
  <si>
    <t>coconut milk</t>
  </si>
  <si>
    <t>เต้าหู้ถั่วเหลือง</t>
  </si>
  <si>
    <t>SOY BEAN TOFU</t>
  </si>
  <si>
    <t>นักเก็ตไก่แช่แข็ง</t>
  </si>
  <si>
    <t>Frozen CHICKEN NUGGET</t>
  </si>
  <si>
    <t>FERMENTED PORK</t>
  </si>
  <si>
    <t>น้ำนมถั่วเหลืองออร์แกนิค รสจืด</t>
  </si>
  <si>
    <t>Organic Unsweetened Soymilk</t>
  </si>
  <si>
    <t>น้ำนมถั่วเหลืองออร์แกนิค รสหวานน้อย</t>
  </si>
  <si>
    <t>Organic Sweet Little Soymilk</t>
  </si>
  <si>
    <t>Sweet Little</t>
  </si>
  <si>
    <t xml:space="preserve"> วาซาบิสด </t>
  </si>
  <si>
    <t xml:space="preserve">WASABI PASTE </t>
  </si>
  <si>
    <t>ปูอัด SUPERIOR JAPANESE</t>
  </si>
  <si>
    <t>CRABSTICK SUPERIOR JANPANESE</t>
  </si>
  <si>
    <t>ไก่จ๊อ</t>
  </si>
  <si>
    <t>Chicken Jock</t>
  </si>
  <si>
    <t>ไก่จ๊อ (ยกลัง)</t>
  </si>
  <si>
    <t>Chilli</t>
  </si>
  <si>
    <t>พริกสด</t>
  </si>
  <si>
    <t xml:space="preserve"> วาซาบิสดบด แช่แข็ง</t>
  </si>
  <si>
    <t xml:space="preserve">WASABI </t>
  </si>
  <si>
    <t xml:space="preserve"> วาซาบิสด แช่แข็ง</t>
  </si>
  <si>
    <t>WASABI PASTE</t>
  </si>
  <si>
    <t xml:space="preserve"> ยำสาหร่าย ญี่ปุ่นแช่แข็ง</t>
  </si>
  <si>
    <t>SEASONED SEAWEED</t>
  </si>
  <si>
    <t xml:space="preserve"> เนื้อลิ้นจี่ แช่แข็ง</t>
  </si>
  <si>
    <t>FZ ARO LYCHEE MEAT</t>
  </si>
  <si>
    <t xml:space="preserve"> น้ำนมโค พาสเจอร์ไรส์</t>
  </si>
  <si>
    <t>PASTURIZED MILK</t>
  </si>
  <si>
    <t xml:space="preserve"> มอสซาเรลล่าชีส</t>
  </si>
  <si>
    <t>MOZ CHEESE</t>
  </si>
  <si>
    <t>ปลาดุกหั่น</t>
  </si>
  <si>
    <t>Cat Fish Portion Cut</t>
  </si>
  <si>
    <t>ปีกบนเป็ดแช่แข็ง</t>
  </si>
  <si>
    <t>Frozen Duck Wing Stick</t>
  </si>
  <si>
    <t>ปีกบนเป็ดแช่แข็ง (ยกลัง)</t>
  </si>
  <si>
    <t>Frozen Duck Wing Stick (Carton)</t>
  </si>
  <si>
    <t>ขนมปัง</t>
  </si>
  <si>
    <t>bread</t>
  </si>
  <si>
    <t>(F) CHICKEN MARINATED FOR SHABU</t>
  </si>
  <si>
    <t xml:space="preserve"> ไก่กระทะหมักแช่แข็ง</t>
  </si>
  <si>
    <t xml:space="preserve"> ผงปรุง</t>
  </si>
  <si>
    <t>Cooked powder</t>
  </si>
  <si>
    <t xml:space="preserve"> คอร์นเฟลก</t>
  </si>
  <si>
    <t>CORN FLAKES</t>
  </si>
  <si>
    <t xml:space="preserve"> เห็ดแชมปิญอง ในน้ำเกลือ</t>
  </si>
  <si>
    <t>CHAMPIGNON IN BRINE</t>
  </si>
  <si>
    <t>FROZEN SOW UDDERS</t>
  </si>
  <si>
    <t xml:space="preserve"> แป้งนมหมู แช่แข็ง</t>
  </si>
  <si>
    <t xml:space="preserve"> แมงกะพรุน (จืด)</t>
  </si>
  <si>
    <t>JELLY FISH</t>
  </si>
  <si>
    <t>fresh</t>
  </si>
  <si>
    <t xml:space="preserve"> ปลาแซลมอน แอตแลนติก (ชิลี) แช่แข็ง</t>
  </si>
  <si>
    <t>ATLANTIC SALMON CHILE</t>
  </si>
  <si>
    <t>4,5</t>
  </si>
  <si>
    <t>ATLANTIC SALMON CHILE 4-5 CTN</t>
  </si>
  <si>
    <t xml:space="preserve"> ปลาแซลมอน แอตแลนติก (ชิลี) แช่แข็ง (ยกลัง)</t>
  </si>
  <si>
    <t xml:space="preserve"> โดนัทน้ำตาล  วงแหวน</t>
  </si>
  <si>
    <t>SUGAR DONUT (RING)</t>
  </si>
  <si>
    <t xml:space="preserve"> โดนัทน้ำตาล เกลียว</t>
  </si>
  <si>
    <t>SUGAR DONUT (TWIST)</t>
  </si>
  <si>
    <t>นํ้าส้ม 100%</t>
  </si>
  <si>
    <t>100% Pure Orange Juice</t>
  </si>
  <si>
    <t>Oeange</t>
  </si>
  <si>
    <t>นํ้าแครอทผสมน้ำผลไม้ 100%</t>
  </si>
  <si>
    <t>carrot with mixed fruit juice</t>
  </si>
  <si>
    <t>apple</t>
  </si>
  <si>
    <t>นํ้าส้ม 100% พร้อมเนื้อส้ม</t>
  </si>
  <si>
    <t>100% Pure Orange Juice With Pulp</t>
  </si>
  <si>
    <t>น้ำเชื่อมกลิ่นผลไม้ บลูพาราไดซ์</t>
  </si>
  <si>
    <t>BLUEPARADISE SYRUP</t>
  </si>
  <si>
    <t>Blue Paradise</t>
  </si>
  <si>
    <t>บลูพาราไดซ์</t>
  </si>
  <si>
    <t>น้ำเชื่อมกลิ่นผลไม้ ลิ้นจี่</t>
  </si>
  <si>
    <t>LYCHEE SYRUP</t>
  </si>
  <si>
    <t>Lychee</t>
  </si>
  <si>
    <t>ลิ้นจี่</t>
  </si>
  <si>
    <t>น้ำเชื่อมกลิ่นผลไม้ กีวี่</t>
  </si>
  <si>
    <t>KIWI SYRUP</t>
  </si>
  <si>
    <t>Kiwi</t>
  </si>
  <si>
    <t>กีวี่</t>
  </si>
  <si>
    <t>น้ำเชื่อมกลิ่นผลไม้ สตรอเบอร์รี่</t>
  </si>
  <si>
    <t>STRAWBERRY SYRUP</t>
  </si>
  <si>
    <t>น้ำเชื่อมกลิ่นผลไม้ เลม่อนน้ำผึ้ง</t>
  </si>
  <si>
    <t>LEMON HONEY SYRUP</t>
  </si>
  <si>
    <t>Lemon Honey</t>
  </si>
  <si>
    <t>เลม่อนน้ำผึ้ง</t>
  </si>
  <si>
    <t>น้ำเชื่อมกลิ่นผลไม้ ราสเบอร์รี่</t>
  </si>
  <si>
    <t>RASPBERRY SYRUP</t>
  </si>
  <si>
    <t>Raspberry</t>
  </si>
  <si>
    <t>ราสเบอร์รี่</t>
  </si>
  <si>
    <t>น้ำเชื่อมกลิ่นผลไม้ มิ้นต์</t>
  </si>
  <si>
    <t>MINT SYRUP</t>
  </si>
  <si>
    <t>มิ้นต์</t>
  </si>
  <si>
    <t>น้ำเชื่อมกลิ่นผลไม้ แอปเปิ้ล</t>
  </si>
  <si>
    <t>GREEN APPLE SYRUP</t>
  </si>
  <si>
    <t>น้ำเชื่อมกลิ่นผลไม้ เมล่อน</t>
  </si>
  <si>
    <t>MELON SYRUP</t>
  </si>
  <si>
    <t>Melon</t>
  </si>
  <si>
    <t>เมล่อน</t>
  </si>
  <si>
    <t>น้ำเชื่อมกลิ่นผลไม้ มะม่วง</t>
  </si>
  <si>
    <t>MANGO SYRUP</t>
  </si>
  <si>
    <t>Mango</t>
  </si>
  <si>
    <t>มะม่วง</t>
  </si>
  <si>
    <t>น้ำเชื่อมกลิ่นคาราเมล</t>
  </si>
  <si>
    <t>CARAMEL SYRUP</t>
  </si>
  <si>
    <t>Caramel</t>
  </si>
  <si>
    <t>น้ำเชื่อมกลิ่นวานิลลา</t>
  </si>
  <si>
    <t>VANILLA SYRUP</t>
  </si>
  <si>
    <t>Vanilla</t>
  </si>
  <si>
    <t>น้ำเชื่อมกลิ่นเฮเซลนัท</t>
  </si>
  <si>
    <t>HEZELNUT SYRUP</t>
  </si>
  <si>
    <t>Hazelnut</t>
  </si>
  <si>
    <t>เฮเซลนัท</t>
  </si>
  <si>
    <t>กีวีสไลด์ แช่แข็ง</t>
  </si>
  <si>
    <t>FROZEN KIWI SLICED</t>
  </si>
  <si>
    <t>น้ำสตรอเบอรีสคอวช</t>
  </si>
  <si>
    <t>Strawberry Squash</t>
  </si>
  <si>
    <t>สตรอเบอรี</t>
  </si>
  <si>
    <t xml:space="preserve"> น้ำสควอช  รสลิ้นจี่</t>
  </si>
  <si>
    <t>LYCHEE SQUASH</t>
  </si>
  <si>
    <t xml:space="preserve">LYCHEE </t>
  </si>
  <si>
    <t>น้ำสคอวช รสสตรอเบอรี่</t>
  </si>
  <si>
    <t>STRAWBERRY SQUASH</t>
  </si>
  <si>
    <t xml:space="preserve">STRAWBERRY </t>
  </si>
  <si>
    <t>น้ำสควอซ รสสับปะรด</t>
  </si>
  <si>
    <t>PINEAPPLE SQAUSH</t>
  </si>
  <si>
    <t>น้ำสควอช รสเสาวรส</t>
  </si>
  <si>
    <t>PASSION FRUIT SQUASH</t>
  </si>
  <si>
    <t>PASSION FRUIT</t>
  </si>
  <si>
    <t>เสาวรส</t>
  </si>
  <si>
    <t>น้ำสคอวช รสส้ม</t>
  </si>
  <si>
    <t>ORANGE SQUASH</t>
  </si>
  <si>
    <t>ORANGE</t>
  </si>
  <si>
    <t xml:space="preserve"> ครีมเทียมข้นหวาน</t>
  </si>
  <si>
    <t>SWEETENED CONDENSE</t>
  </si>
  <si>
    <t>beverage creamer</t>
  </si>
  <si>
    <t>1|||4||</t>
  </si>
  <si>
    <t xml:space="preserve"> ยาจุดกันยุง</t>
  </si>
  <si>
    <t>SWAN MOSQUITO-COIL</t>
  </si>
  <si>
    <t xml:space="preserve">FISH SAUCE </t>
  </si>
  <si>
    <t>RICE BRAN</t>
  </si>
  <si>
    <t>น้ำยาล้างจาน กลิ่นชามะนาว</t>
  </si>
  <si>
    <t>LEMON-LIQUID</t>
  </si>
  <si>
    <t>WHITE DETERGENT</t>
  </si>
  <si>
    <t>TUNA SANDWICH in mineral</t>
  </si>
  <si>
    <t xml:space="preserve"> แป้งทอดกรอบ</t>
  </si>
  <si>
    <t xml:space="preserve"> เครื่องดื่มน้ำอัดลม สลิมแคน</t>
  </si>
  <si>
    <t>Soft drink SLIM CAN</t>
  </si>
  <si>
    <t xml:space="preserve"> ข้าวขาวเสาไห้ 100%</t>
  </si>
  <si>
    <t xml:space="preserve"> KHAW WHITE RICE100%</t>
  </si>
  <si>
    <t xml:space="preserve"> โอเมก้า นมยูเอชที รสจืด</t>
  </si>
  <si>
    <t>OMEGA PLAIN</t>
  </si>
  <si>
    <t>ลด 20 บาท เมื่อซื้อโฟร์โมสต์ โอเมก้า 180 มล. x 36 รสใดก็ได้ที่ร่วมรายการ ครบ 2 ลัง (ยกเว้นสาขาเกาะสมุย หัวหิน และแหลมฉบัง)</t>
  </si>
  <si>
    <t>Dried Noodle</t>
  </si>
  <si>
    <t xml:space="preserve"> DRINKINGWATER</t>
  </si>
  <si>
    <t>ลด 8 บาท เมื่อซื้อสิงห์น้ำดื่มที่ร่วมราย ครบ 4 แพ็ค  (ยกเว้นสาขาเกาะสมุย หัวหิน และแหลมฉบัง)</t>
  </si>
  <si>
    <t xml:space="preserve"> ครีมเทียม ข้นหวาน ชนิดพร่องไขมัน</t>
  </si>
  <si>
    <t xml:space="preserve">SBC </t>
  </si>
  <si>
    <t>ลด 12 บาท พร้อมรับคูปองชิงโชค 4 ใบ เมื่อซื้อครบ 2 ลัง</t>
  </si>
  <si>
    <t xml:space="preserve"> น้ำส้ม แมนดาริน 100% ผสมเนื้อส้ม</t>
  </si>
  <si>
    <t xml:space="preserve"> 100%ORANGE JUICE</t>
  </si>
  <si>
    <t>เอสเปรสโซ่ กาแฟปรุงรสสำเร็จพร้อมดื่ม</t>
  </si>
  <si>
    <t>Espresso drink coffee</t>
  </si>
  <si>
    <t>Espresso</t>
  </si>
  <si>
    <t xml:space="preserve"> นมถั่วเหลือง ยูเอชที รสออริจินัล</t>
  </si>
  <si>
    <t>SOYMILK ORIGINAL</t>
  </si>
  <si>
    <t xml:space="preserve"> น้ำส้ม สายชูกลั่น 5% </t>
  </si>
  <si>
    <t xml:space="preserve"> VINEGAR</t>
  </si>
  <si>
    <t xml:space="preserve"> ปลาแมคเคอเรล ในซอสมะเขือเทศ</t>
  </si>
  <si>
    <t xml:space="preserve"> MAKEREL in tomato source</t>
  </si>
  <si>
    <t xml:space="preserve"> ซักผ้าขาว</t>
  </si>
  <si>
    <t xml:space="preserve"> BLEACH </t>
  </si>
  <si>
    <t xml:space="preserve"> กระดาษชำระ</t>
  </si>
  <si>
    <t xml:space="preserve"> ชาสมุนไพรจับเลี้ยง</t>
  </si>
  <si>
    <t xml:space="preserve"> HERBAL WITH </t>
  </si>
  <si>
    <t xml:space="preserve"> ชุดหม้อสตูว์</t>
  </si>
  <si>
    <t>ROCKET STEWPORT SET</t>
  </si>
  <si>
    <t>22,26 CM.</t>
  </si>
  <si>
    <t>22,26 ซม.</t>
  </si>
  <si>
    <t xml:space="preserve"> นํ้าจิ้มไก่</t>
  </si>
  <si>
    <t>CHICKEN DIPPING SAUCE</t>
  </si>
  <si>
    <t xml:space="preserve"> ตับหมูแช่แข็ง</t>
  </si>
  <si>
    <t>PORK LIVER</t>
  </si>
  <si>
    <t>ที่นอนปิคนิคกุ๊น (คละลาย)</t>
  </si>
  <si>
    <t>PICNIC</t>
  </si>
  <si>
    <t>ถูกลง 45%</t>
  </si>
  <si>
    <t>ถุงขยะแบบม้วน 18"x20" กลิ่นแอปเปิ้ล</t>
  </si>
  <si>
    <t>GARBAGE BAGS ON ROLL 18"X20" APPLE</t>
  </si>
  <si>
    <t xml:space="preserve">APPLE </t>
  </si>
  <si>
    <t>ถุงขยะแบบม้วน 18"x20" กลิ่นสตรอเบอร์รี่</t>
  </si>
  <si>
    <t>GARBAGE BAGS ON ROLL 18"X20" STRAWBERRY</t>
  </si>
  <si>
    <t>ถุงขยะแบบม้วน 18"x20" กลิ่นมะลิ</t>
  </si>
  <si>
    <t>GARBAGE BAGS ON ROLL 18"X20" JASMINE</t>
  </si>
  <si>
    <t>JASMINE</t>
  </si>
  <si>
    <t>ถุงขยะแบบม้วน 18"x20" กลิ่นส้ม</t>
  </si>
  <si>
    <t>GARBAGE BAGS ON ROLL 18"X20" ORANGE</t>
  </si>
  <si>
    <t>ถุงขยะแบบม้วน 24"x28" กลิ่นส้ม</t>
  </si>
  <si>
    <t>GARBAGE BAGS ON ROLL 24"X28" ORANGE</t>
  </si>
  <si>
    <t>ถุงขยะแบบม้วน 24"x28" กลิ่นแอปเปิ้ล</t>
  </si>
  <si>
    <t>GARBAGE BAGS ON ROLL 24"X28" APPLE</t>
  </si>
  <si>
    <t>ถุงขยะแบบม้วน 24"x28" กลิ่นสตรอเบอร์รี่</t>
  </si>
  <si>
    <t>GARBAGE BAGS ON ROLL 24"X28" STRAWBERRY</t>
  </si>
  <si>
    <t>ถุงขยะแบบม้วน 24"x28" กลิ่นมะลิ</t>
  </si>
  <si>
    <t>GARBAGE BAGS ON ROLL 24"X28" JASMINE</t>
  </si>
  <si>
    <t>ถุงขยะแบบม้วน 18"x20" กลิ่นลาเวนเดอร์</t>
  </si>
  <si>
    <t>GARBAGE BAGS ON ROLL 18"X20" LAVENDER</t>
  </si>
  <si>
    <t>ถุงขยะแบบม้วน 24"x28" กลิ่นลาเวนเดอร์</t>
  </si>
  <si>
    <t>GARBAGE BAGS ON ROLL 24"X28" LAVENDER</t>
  </si>
  <si>
    <t>กล่องล้อเลื่อน พร้อมฝาล็อค 55 ลิตร สีดำ</t>
  </si>
  <si>
    <t>CONTAINER 55 L.</t>
  </si>
  <si>
    <t>55 l.</t>
  </si>
  <si>
    <t>55 ลิตร</t>
  </si>
  <si>
    <t>ถังเหลี่ยม เจาะรู+ฝา #413 สีส้ม</t>
  </si>
  <si>
    <t>BUCKET SQUARE #413 ORANGE</t>
  </si>
  <si>
    <t>ถังเหลี่ยม เจาะรู+ฝา #413 สีน้ำตาล</t>
  </si>
  <si>
    <t>BUCKET SQUARE #413 BROWN</t>
  </si>
  <si>
    <t>Brown</t>
  </si>
  <si>
    <t>กล่องโฟมขาว 20 กก.</t>
  </si>
  <si>
    <t>FOAM BOX 20 KG.</t>
  </si>
  <si>
    <t>20 kg.</t>
  </si>
  <si>
    <t>20 กก.</t>
  </si>
  <si>
    <t>ถังน้ำ สีดำ 118 ลิตร #999</t>
  </si>
  <si>
    <t>PLASTIC BUCKET 118 L. #999 BLACK</t>
  </si>
  <si>
    <t>118 l.</t>
  </si>
  <si>
    <t>118 ลิตร</t>
  </si>
  <si>
    <t>เก้าอี้โมเดิร์น</t>
  </si>
  <si>
    <t>CHAIR MODERN</t>
  </si>
  <si>
    <t>ชุดถุงทอง</t>
  </si>
  <si>
    <t>MONK SET</t>
  </si>
  <si>
    <t>SMALL MEDICINE MONK SET</t>
  </si>
  <si>
    <t>สังฆทานยา กล่องเล็ก</t>
  </si>
  <si>
    <t>หมอนหนุนสูญญากาศ</t>
  </si>
  <si>
    <t>PILLOW (VACCUUM PACKING)</t>
  </si>
  <si>
    <t>ถุงขยะดำ หนาพิเศษ 24x30 นิ้ว</t>
  </si>
  <si>
    <t>BLACK GARBAGE BAGS 24X30"</t>
  </si>
  <si>
    <t>24x30 in.</t>
  </si>
  <si>
    <t>24x30 นิ้ว</t>
  </si>
  <si>
    <t>ถุงขยะดำ หนาพิเศษ 28x36 นิ้ว</t>
  </si>
  <si>
    <t>BLACK GARBAGE BAGS 28X36"</t>
  </si>
  <si>
    <t>28x36 in.</t>
  </si>
  <si>
    <t>28x36 นิ้ว</t>
  </si>
  <si>
    <t>ถุงขยะดำ หนาพิเศษ 30x40 นิ้ว</t>
  </si>
  <si>
    <t>BLACK GARBAGE BAGS 30X40"</t>
  </si>
  <si>
    <t>30x40 in.</t>
  </si>
  <si>
    <t>30x40 นิ้ว</t>
  </si>
  <si>
    <t>ถุงขยะดำ หนาพิเศษ 36x45 นิ้ว</t>
  </si>
  <si>
    <t>BLACK GARBAGE BAGS 36X45"</t>
  </si>
  <si>
    <t>กล่องล้อเลื่อน พร้อมฝาล็อค 43x63x36 ซม. 70.5 ล.</t>
  </si>
  <si>
    <t>PLASTIC CONTAINER+LID 43X63X36 CM. 70.5 L.</t>
  </si>
  <si>
    <t>70.5 ลิตร|เกรด A</t>
  </si>
  <si>
    <t>43x63x36 cm.</t>
  </si>
  <si>
    <t>43x63x36 ซม.</t>
  </si>
  <si>
    <t>โต๊ะพับหน้าขาว (เมลามีน) ขาพ่นดำ 90x60x75 ซม.</t>
  </si>
  <si>
    <t>FOLDABLE TABLE 90X60X75 CM.</t>
  </si>
  <si>
    <t>90x60x75 cm.</t>
  </si>
  <si>
    <t>กล่องโฟมใหญ่ 25 กก. 45x60x30 ซม.</t>
  </si>
  <si>
    <t>FOAM BOX 25 KG. 45X60X30 CM.</t>
  </si>
  <si>
    <t>45x60x30 cm.</t>
  </si>
  <si>
    <t>45x60x30 ซม.</t>
  </si>
  <si>
    <t>ชุดหม้ออะลูมิเนียม 30-34 ซม.</t>
  </si>
  <si>
    <t>ALUMINIUM POT SET 30-34 CM.</t>
  </si>
  <si>
    <t>30-34 cm.</t>
  </si>
  <si>
    <t>30-34 ซม.</t>
  </si>
  <si>
    <t>ถ้วยน้ำจัมโบ้ พีพี+ฝา ใส 32 ออนซ์</t>
  </si>
  <si>
    <t>JUMBO PP CUP+LID 32 OZ.</t>
  </si>
  <si>
    <t>32 oz.</t>
  </si>
  <si>
    <t>32 ออนซ์</t>
  </si>
  <si>
    <t>ถ้วยน้ำจัมโบ้ พีพี+ฝา ลาย 32 ออนซ์</t>
  </si>
  <si>
    <t>ตู้เย็น 1.6 คิว #RE50COM</t>
  </si>
  <si>
    <t>REFRIGERATOR 1.6 Q. #RE50COM</t>
  </si>
  <si>
    <t>1.6 คิว|ละลายน้ำกึ่งอัตโนมัติ|เทน้ำทิ้ง</t>
  </si>
  <si>
    <t>1.6 q.</t>
  </si>
  <si>
    <t>1.6 คิว</t>
  </si>
  <si>
    <t>โต๊ะญี่ปุ่นหน้าเมลามีน ขาว 40x60 ซม.</t>
  </si>
  <si>
    <t>FOLDABLE TABLE 40X60 CM.</t>
  </si>
  <si>
    <t xml:space="preserve">White </t>
  </si>
  <si>
    <t>40x60 cm.</t>
  </si>
  <si>
    <t>40x60 ซม.</t>
  </si>
  <si>
    <t>โต๊ะพับหน้าสแตนเลส 60x60 ซม.</t>
  </si>
  <si>
    <t>STAINLESS FOLDABLE TABLE 60x60 CM.</t>
  </si>
  <si>
    <t>60x60 cm.</t>
  </si>
  <si>
    <t>60x60 ซม.</t>
  </si>
  <si>
    <t>หม้อหุงข้าว 5 ลิตร #KSH-D55</t>
  </si>
  <si>
    <t>RICE COOKER #KSH-D55 5 L.</t>
  </si>
  <si>
    <t>5 l.</t>
  </si>
  <si>
    <t xml:space="preserve">หม้อทอดไฟฟ้า 3 ลิตร #DF-375 </t>
  </si>
  <si>
    <t>DEEP FRYER 3L. #DF-375</t>
  </si>
  <si>
    <t>3 l.</t>
  </si>
  <si>
    <t>หมอนหนุนใยสังเคราะห์ 19x29 นิ้ว</t>
  </si>
  <si>
    <t>PILLOW 19"X29"</t>
  </si>
  <si>
    <t>19x29 in.</t>
  </si>
  <si>
    <t>19x29 นิ้ว</t>
  </si>
  <si>
    <t>POT+STREAMER 28 CM.</t>
  </si>
  <si>
    <t>หม้ออเนกประสงค์พร้อมชั้นนึ่ง 28 ซม.</t>
  </si>
  <si>
    <t>28 cm.</t>
  </si>
  <si>
    <t>โต๊ะพับหน้าเหล็ก 3 ฟุต 91x60x75 ซม.</t>
  </si>
  <si>
    <t>FOLDING TABLE 3 FEET 91X60X75 CM.</t>
  </si>
  <si>
    <t>91x60x75 cm.</t>
  </si>
  <si>
    <t xml:space="preserve">91x60x75 ซม. </t>
  </si>
  <si>
    <t>ซุปผงรสหมู</t>
  </si>
  <si>
    <t>PORK POWDER</t>
  </si>
  <si>
    <t>น้ำจิ้มสุกี้สูตรกวางตุ้ง</t>
  </si>
  <si>
    <t>SUKIYAKI SAUCE</t>
  </si>
  <si>
    <t xml:space="preserve">นักเก็ตไก่ </t>
  </si>
  <si>
    <t>FROZEN CHICKEN NUGGET</t>
  </si>
  <si>
    <t>นักเก็ตไก่</t>
  </si>
  <si>
    <t>ข้าวหอมคัดพิเศษ 100%</t>
  </si>
  <si>
    <t>COCONUT NECTAR DRINK</t>
  </si>
  <si>
    <t>ซุปผงรสไก่</t>
  </si>
  <si>
    <t>CHICKEN POWDER</t>
  </si>
  <si>
    <t>ไส้กรอกอีสาน</t>
  </si>
  <si>
    <t>E-SARN SAUSAGE</t>
  </si>
  <si>
    <t>เนื้อไก่บด แช่แข็ง</t>
  </si>
  <si>
    <t>FROZEN CHICKEN MINCED</t>
  </si>
  <si>
    <t>เนื้อไก่บด แช่แข็ง (ยกลัง)</t>
  </si>
  <si>
    <t>FROZEN CHICKEN MINCED CARTON</t>
  </si>
  <si>
    <t>กระทะเหล็กมีด้ามจับ 14 นิ้ว</t>
  </si>
  <si>
    <t>14  in.</t>
  </si>
  <si>
    <t>หม้อด้าม 20 ซม.</t>
  </si>
  <si>
    <t>ALUMINIUM SAUCE PAN 20 CM.</t>
  </si>
  <si>
    <t>20 cm.</t>
  </si>
  <si>
    <t>20 ซม.</t>
  </si>
  <si>
    <t>คอกเทลไก่</t>
  </si>
  <si>
    <t>Chicken COCKTAIL</t>
  </si>
  <si>
    <t>มันฝรั่งแช่แข็ง สเตรทคัท 10 มม.</t>
  </si>
  <si>
    <t>FRENCHFRIES 10 MM.</t>
  </si>
  <si>
    <t>มันฝรั่งแช่แข็ง ชูสตริง 7มม.</t>
  </si>
  <si>
    <t>FRENCHFRIES 7 MM.</t>
  </si>
  <si>
    <t>7 mm.</t>
  </si>
  <si>
    <t>FROZEN PORK MINCED</t>
  </si>
  <si>
    <t>ไข่แดงเค็ม</t>
  </si>
  <si>
    <t>YOLK EGG</t>
  </si>
  <si>
    <t>หมูยอ</t>
  </si>
  <si>
    <t>PORK STICK BAR</t>
  </si>
  <si>
    <t>ซีอิ๊วดำ สูตร 5</t>
  </si>
  <si>
    <t>DARK SOYSAUCE #5</t>
  </si>
  <si>
    <t>ช้อนสั้น พีพี ใส</t>
  </si>
  <si>
    <t>TRANSPARENT SPOON</t>
  </si>
  <si>
    <t>Transparent</t>
  </si>
  <si>
    <t>SPOON PP WHITE</t>
  </si>
  <si>
    <t>ช้อนยาว พีพี ใส</t>
  </si>
  <si>
    <t>LONGSPOON PP</t>
  </si>
  <si>
    <t>ส้อมยาว พีพี ใส</t>
  </si>
  <si>
    <t>LONGFORK PP</t>
  </si>
  <si>
    <t>ช้อนยาว พีเอส</t>
  </si>
  <si>
    <t>LONG SPOON PS</t>
  </si>
  <si>
    <t>ส้อมยาว พีเอส</t>
  </si>
  <si>
    <t>FORK PS</t>
  </si>
  <si>
    <t>น้ำปลาพริก</t>
  </si>
  <si>
    <t>น้ำปลาแท้</t>
  </si>
  <si>
    <t>คอร์นเฟลค</t>
  </si>
  <si>
    <t>น้ำส้มสายชูกลั่น 5%</t>
  </si>
  <si>
    <t>DISTILLED VENIGAR</t>
  </si>
  <si>
    <t>ลด 12 บาท เมื่อซื้อครบ 2 แพ็ค</t>
  </si>
  <si>
    <t>พาสต้าทรงผีเสื้อ</t>
  </si>
  <si>
    <t>FARFALLE</t>
  </si>
  <si>
    <t>มักกะโรนีข้องอ</t>
  </si>
  <si>
    <t>MACARONI ELBOW</t>
  </si>
  <si>
    <t>มักกะโรนีเกลียว</t>
  </si>
  <si>
    <t>FUSLLI</t>
  </si>
  <si>
    <t>มักกะโรนีเพนเน่</t>
  </si>
  <si>
    <t>MACARONI PENNE</t>
  </si>
  <si>
    <t>น้ำมันถั่วเหลืองปี๊บ</t>
  </si>
  <si>
    <t>SOYBEAN OIL</t>
  </si>
  <si>
    <t>ครีมเปรี้ยว</t>
  </si>
  <si>
    <t>SOUR CREAM</t>
  </si>
  <si>
    <t>น้ำมะนาวแช่แข็ง</t>
  </si>
  <si>
    <t>FROZEN LIME</t>
  </si>
  <si>
    <t>บาโลน่าหมู</t>
  </si>
  <si>
    <t>BOLOGNA</t>
  </si>
  <si>
    <t>บาโลน่าหมูพริก</t>
  </si>
  <si>
    <t>CHILI BOLOGNA</t>
  </si>
  <si>
    <t>SOFT DRINK</t>
  </si>
  <si>
    <t>เครื่องซักผ้า 13 กก. 2 ถัง #WP-1650ROT</t>
  </si>
  <si>
    <t>WASHING MACHINE 13 KG. #WP-1650ROT</t>
  </si>
  <si>
    <t>13 กก.|ซักปั่นหมาดได้พร้อมกัน</t>
  </si>
  <si>
    <t>เตารีดไอน้ำ #GC-1018</t>
  </si>
  <si>
    <t>STREAM IRON #GC-1018</t>
  </si>
  <si>
    <t>1800 วัตต์|ให้พลังไอน้ำต่อเนื่อง|รับประกัน 2 ปี</t>
  </si>
  <si>
    <t>ตะกร้าผ้า ทรงสูง #5948</t>
  </si>
  <si>
    <t>PLASTIC OVAL BASKET #5948</t>
  </si>
  <si>
    <t>ตะกร้าผ้า ทรงกลม #5909</t>
  </si>
  <si>
    <t>ROUND BASKET #5909</t>
  </si>
  <si>
    <t>ร่มสนามไนล่อน ปรับเอียงได้ 1.8 ม. 36 น.</t>
  </si>
  <si>
    <t>PICNIC UMBRELLAS 1.8 M. 36"</t>
  </si>
  <si>
    <t>1.8 m.|36 in.</t>
  </si>
  <si>
    <t>1.8 ม.|36 น.</t>
  </si>
  <si>
    <t>ร่มสนามผ้าไนล่อน มีชาย 1.8 ม. 36 น.</t>
  </si>
  <si>
    <t>UMBELLA 1.8 M. 36"</t>
  </si>
  <si>
    <t>ร่มสนามผ้า UV สีพื้น 1.8 ม. 36 น.</t>
  </si>
  <si>
    <t>UV UMBRELLA 1.8 M. 36"</t>
  </si>
  <si>
    <t>ผ้าเช็ดตัวนาโน 12x12 นิ้ว (คละสี)</t>
  </si>
  <si>
    <t>NANO FACE TOWEL 12X12 MIX COLOURS</t>
  </si>
  <si>
    <t>12x12 in.</t>
  </si>
  <si>
    <t>ผ้าเช็ดตัวนาโน 15x30 นิ้ว (คละสี)</t>
  </si>
  <si>
    <t>NANO HAIR TOWEL15X30 MIX COLOURS</t>
  </si>
  <si>
    <t>15x30 in.</t>
  </si>
  <si>
    <t>ผ้าขนหนูเช็ดผม SUMMER 15x30 นิ้ว</t>
  </si>
  <si>
    <t>SUMMER HAND TOWEL 15X30 IN.</t>
  </si>
  <si>
    <t>ผ้าเช็ดตัวนาโน 27x54 นิ้ว (คละสี)</t>
  </si>
  <si>
    <t>NANO BODY TOWEL 27X54 MIX COLOURS</t>
  </si>
  <si>
    <t>27x54 in.</t>
  </si>
  <si>
    <t>ผ้าขนหนูเช็ดตัว SUMMER 27x54 นิ้ว</t>
  </si>
  <si>
    <t>SUMMER BATH TOWEL 27X54 IN.</t>
  </si>
  <si>
    <t>ผ้าขนหนูเช็ดตัว คอตตอน 100% 30x60 นิ้ว (คละสี)</t>
  </si>
  <si>
    <t>BATH TOWEL 30X60 IN. MIX</t>
  </si>
  <si>
    <t>30x60 in.</t>
  </si>
  <si>
    <t>ม็อบเพาเวอร์ อะลูมิเนียม 10 นิ้ว</t>
  </si>
  <si>
    <t>POWER MOP 10"</t>
  </si>
  <si>
    <t>10 in.</t>
  </si>
  <si>
    <t>ร่มชายหาด 1.5 เมตร (คละลาย)</t>
  </si>
  <si>
    <t>BEACH UMBRELLA 1.5 M. ASSORTED</t>
  </si>
  <si>
    <t>1.5 m.</t>
  </si>
  <si>
    <t>1.5 ม.</t>
  </si>
  <si>
    <t>เตารีดแห้ง เคลือบเทฟล่อน #GC-160</t>
  </si>
  <si>
    <t>DRY IRON TEFLON #GC-160</t>
  </si>
  <si>
    <t>1200 วัตต์|แผ่นความร้อน Dynaglide ทนทาน</t>
  </si>
  <si>
    <t>เตารีดไอน้ำ #HD-210/208</t>
  </si>
  <si>
    <t>STEAM IRON #HD-210/208</t>
  </si>
  <si>
    <t>2000 วัตต์</t>
  </si>
  <si>
    <t>เตารีด #AM-P455</t>
  </si>
  <si>
    <t>IRON #AM-P455</t>
  </si>
  <si>
    <t>3.5 ปอนด์|ปรับระดับความร้อนได้ตามชนิดเนื้อผ้ส</t>
  </si>
  <si>
    <t>3.5 pd.</t>
  </si>
  <si>
    <t>3.5 ปอนด์</t>
  </si>
  <si>
    <t>ตะกร้าผ้าทรงเตี้ย #2157</t>
  </si>
  <si>
    <t>SHORT BASKET #2157</t>
  </si>
  <si>
    <t>ตะกร้าผ้าทรงสูง #2158</t>
  </si>
  <si>
    <t>HIGH BASKET #2158</t>
  </si>
  <si>
    <t>ครีมนวดผม สีชมพู</t>
  </si>
  <si>
    <t>CONDITIONER PINK</t>
  </si>
  <si>
    <t>ฟรี แชมพูซันซิล เนเชอรัล สีเขียว 60 มล. 3 ขวด มูลค่า 60 บาท เมื่อซื้อซันซิล, โดฟ, เคลียร์ แชมพู/ครีมนวด ขนาด 60-70 มล. ครบ 6 แพ็ค</t>
  </si>
  <si>
    <t>แชมพู สีส้ม</t>
  </si>
  <si>
    <t>SHAMPOO ORANGE</t>
  </si>
  <si>
    <t>สบู่ก้อน สีชมพู</t>
  </si>
  <si>
    <t>BAR SOAP PINK</t>
  </si>
  <si>
    <t>บิสชิน แครกเกอร์ บัตเตอร์โคโคนัท บิสกิต 36 กรัม x12 ชิ้น</t>
  </si>
  <si>
    <t>Bissin CRACKER BUTTER COCONUT BUSKIT 36 g x12 pcs.</t>
  </si>
  <si>
    <t>ง่วนเชียง ซอสปรุงรสฉลากเขียว 4300 มล. x1 แกลลอน</t>
  </si>
  <si>
    <t>Nguan Chiang Seasoning Sauce Green Label 4300 ml x1 gallon</t>
  </si>
  <si>
    <t>ไฮคิว 1 พลัส ซุปเปอร์โกลด์ 3000 กรัม x1 ชิ้น</t>
  </si>
  <si>
    <t>Hi-Q 1+ SUPERGOLD 3000 g x1 pcs.</t>
  </si>
  <si>
    <t>ปิ่นเงิน ข้าวหอมผสม 85%:15% 5 กก. x1 ถุง</t>
  </si>
  <si>
    <t>Pin Ngoen FRAGRANT RICE  85%:15% 5 kg x1 pcs.</t>
  </si>
  <si>
    <t>ดาวน์นี่ น้ำยาปรับผ้านุ่ม กลิ่นแดริ่ง แบบซอง 20 มล. x24 ซอง</t>
  </si>
  <si>
    <t>Downy Daring Fabric Softener SACHET 20 ml x24 pcs.</t>
  </si>
  <si>
    <t>เซอร์เทนตี้ ผ้าอ้อมผู้ใหญ่แบบเทป ไซส์ M 28 ชิ้น x1 แพ็ค</t>
  </si>
  <si>
    <t>Certainty Tape Diapers for adults size M 28 pcs x1 pack</t>
  </si>
  <si>
    <t>นีเวีย ฟอร์เมน ไวท์แอคเน่ 8 มล. x6 ชิ้น</t>
  </si>
  <si>
    <t>Nivea FOR MEN WHITE ACNE 8 ml x6 pcs.</t>
  </si>
  <si>
    <t>เลย์ มันฝรั่งแท้ทอดกรอบ รสมะเขือเทศ 50 กรัม x6 ถุง</t>
  </si>
  <si>
    <t>LAY Tomato Flavoured Potato Chips 50 g x6 pcs.</t>
  </si>
  <si>
    <t>บรีส ผงซักฟอก 90 กรัม x12 ซอง</t>
  </si>
  <si>
    <t>Breeze Excel Washing Powder 90 g x12 pcs.</t>
  </si>
  <si>
    <t>บรีส ลิควิด คอมฟอร์ท น้ำยาซักผ้า 30 มล. x12 ซอง</t>
  </si>
  <si>
    <t>Breeze Excel Comfort Liquid Detergent 30 ml x12 pcs.</t>
  </si>
  <si>
    <t>กูลิโกะ บิสกิตเคลือบรสช็อกโกแลต 13.5 กรัม x12 ชิ้น</t>
  </si>
  <si>
    <t>Glico Pocky Biscuit coating CHOCOLATE 13.5 g x12 pcs.</t>
  </si>
  <si>
    <t>โตชิบา ตู้เย็น #GR-B145Z 1 เครื่อง x1 ชิ้น</t>
  </si>
  <si>
    <t>Toshiba Refrigerator #GR-B145Z 1 Unit x1 pcs</t>
  </si>
  <si>
    <t>แอลจี เครื่องซักผ้า 2 ถัง #WP-1400 ROT 1 เครื่อง x1 ชิ้น</t>
  </si>
  <si>
    <t>LG Twin Tub Washing Machines #WP-1400 ROT 1 Unit x1 pcs</t>
  </si>
  <si>
    <t>ซัมซุง เครื่องซักผ้าฝาบน 2 ถัง #WT15J7 1 เครื่อง x1 ชิ้น</t>
  </si>
  <si>
    <t>Samsung Twin Tub Washing Machines #WT15J7 1 Unit x1 pcs</t>
  </si>
  <si>
    <t>โอรีโอ คุกกี้แซนวิช รสช็อกโกแลต 29.4 กรัม x12 ห่อ</t>
  </si>
  <si>
    <t>OREO COOKIES SANWICH 29.4 g x12 pcs.</t>
  </si>
  <si>
    <t>แอลจี เครื่องซักผ้า #WF-T9056TD 1 เครื่อง x1 ชิ้น</t>
  </si>
  <si>
    <t>LG Washing Machine #WF-T9056TD 1 Unit x1 pcs</t>
  </si>
  <si>
    <t>ตราม้า ปากกาเคมี 2 หัว สีน้ำเงิน 12 ด้าม x1 แพ็ค</t>
  </si>
  <si>
    <t>Horse Bi Marker Pen (Blue) 12 pcs. x1 pack</t>
  </si>
  <si>
    <t>ตราม้า ปากกาเคมี 2 หัว 12 ด้าม x1 แพ็ค</t>
  </si>
  <si>
    <t>Horse Bi Marker Pen 12 pcs. x1 pack</t>
  </si>
  <si>
    <t>มาจิคลีน น้ำยาถูพื้น สีชมพู 5200 มล. x1 แกลลอน</t>
  </si>
  <si>
    <t>Magiclean Floor Cleaner Pink 5200 ml x1 gallon</t>
  </si>
  <si>
    <t>เบนโตะ ปลาหมึกอบ ทรงเครื่อง 5 กรัม x12 ซอง</t>
  </si>
  <si>
    <t>Bento CUTTLE FISH 5 g x12 pcs.</t>
  </si>
  <si>
    <t>เอส เครื่องดื่มน้ำอัดลม 490 มล. x12 ขวด</t>
  </si>
  <si>
    <t>EST COLA  Soft drink 490 ml x12 bottle</t>
  </si>
  <si>
    <t>ซัมซุง ตู้เย็น #RR19H1049 1 เครื่อง x1 ชิ้น</t>
  </si>
  <si>
    <t>Samsung Refrigerator #RR19H1049  1 Unit x1 pcs</t>
  </si>
  <si>
    <t>คลีโอ พัดลมอุตสาหกรรม 3 ขา #CIF4181 1 เครื่อง x1 ชิ้น</t>
  </si>
  <si>
    <t>Cleo Industrian Fan #CIF4181 1 Unit x1 pcs</t>
  </si>
  <si>
    <t>ซัมซุง แอลอีดี ทีวี 40” #40J500AK 1 เครื่อง x1 ชิ้น</t>
  </si>
  <si>
    <t>Samsung LED TV 40” #40J500AK 1 Unit x1 pcs</t>
  </si>
  <si>
    <t>แอลจี เครื่องซักผ้า #WF-T1256TD 1 เครื่อง x1 ชิ้น</t>
  </si>
  <si>
    <t>LG Washing Machine  #WF-T1256TD 1 Unit x1 pcs</t>
  </si>
  <si>
    <t>โค้ก เครื่องดื่มน้ำอัดลม 590 มล. x12 ขวด</t>
  </si>
  <si>
    <t>coke Soft Drink 590 ml x12 bottle</t>
  </si>
  <si>
    <t>เนสวิต้า น้ำเต้าหูผสมเมล็ดเจีย 23 กรัม x10 ซอง</t>
  </si>
  <si>
    <t>Nesvita SOY PLUS CHIASEED 23 g x10 pcs.</t>
  </si>
  <si>
    <t>ซุปเปอร์ กาแฟปรุงสำเร็จ ชนิดผง 3in1 รสดั้งเดิม 20 กรัม x25 ซอง</t>
  </si>
  <si>
    <t>SUPER SUPER COFFEE 3IN1 original 20 g x25 pcs.</t>
  </si>
  <si>
    <t>เอสเซนโซ่ กาแฟสำเร็จรูปชนิดผง 3in1 22 กรัม x25 ซอง</t>
  </si>
  <si>
    <t>Essenso Coffee Essence 3in1 22 g x25 pcs.</t>
  </si>
  <si>
    <t>เอโร่ เนื้อส้มแมนดาริน แช่แข็ง 1 กก. x1 แพ็ค</t>
  </si>
  <si>
    <t>aro Frozen Mandarin Orange Segmont 1 kg x1 pack</t>
  </si>
  <si>
    <t>เอโร่ เนื้อส้มแมนดาริน แช่แข็ง 1 กก. x10 แพ็ค</t>
  </si>
  <si>
    <t>aro Frozen Mandarin Orange Segmont 1 kg x10 pack</t>
  </si>
  <si>
    <t>ข้าวเบญจรงค์ ข้าวหอมมะลิ 100% 5 กก. x1 แพ็ค</t>
  </si>
  <si>
    <t>Benjarong Rice rice 5 kg x1 pack</t>
  </si>
  <si>
    <t>ฟ้าไทย น้ำก๋วยเตี๋ยว สำเร็จรูปน้ำใส 350 กรัม x6 ซอง</t>
  </si>
  <si>
    <t>Fa Thai Concentrated Noodle Clear Soup 350 g x6 pcs.</t>
  </si>
  <si>
    <t>ดิวเบอร์รี่ คุกกี้ รสสตรอเบอร์รี่ 36 กรัม x12 ซอง</t>
  </si>
  <si>
    <t>DEWBERRY Cookies  strawberry 36 g x12 pcs.</t>
  </si>
  <si>
    <t>ง่วนเชียง ซีอิ๊วหวาน 1950 ซีซี x1 ขวด</t>
  </si>
  <si>
    <t>Nguan Chiang Sweet Black Soy Sauce 1950 ml x1 bottle</t>
  </si>
  <si>
    <t>แคมปัส รสช็อกโกแลต 13 กรัม x12 ซอง</t>
  </si>
  <si>
    <t>Campus SNACK CHOCOLATE 13 g x12 pcs.</t>
  </si>
  <si>
    <t>ฟ้าไทย ผงปรุงรส รสไก่ 850 กรัม x1 ซอง</t>
  </si>
  <si>
    <t>Fa Thai Chicken Flavored Seasoning Powder 850 g x1 pcs.</t>
  </si>
  <si>
    <t>ฟ้าไทย ผงปรุงรส รสหมู 850 กรัม x1 ซอง</t>
  </si>
  <si>
    <t>Fa Thai Pork Flavored Seasoning Powder 850 g x1 pcs.</t>
  </si>
  <si>
    <t>โบนัส นํ้ามันปาล์มขวด 1 ลิตร x12 ขวด</t>
  </si>
  <si>
    <t>Bonus BONUS PALM OIL 1 L x12 bottle</t>
  </si>
  <si>
    <t>โรซ่า ซอสมะเขือเทศ 5500 กรัม x1 แกลลอน</t>
  </si>
  <si>
    <t>Roza ketchup 5500 g x1 gallon</t>
  </si>
  <si>
    <t>แม่ประนอม นํ้าจิ้มไก่ 5 กก. x1 แกลลอน</t>
  </si>
  <si>
    <t>Mae Pranom CHICKEN SAUCE 5 kg x1 gallon</t>
  </si>
  <si>
    <t>ง่วนเชียง ซีอิ๊วหวาน 340 มล. x4 ขวด</t>
  </si>
  <si>
    <t>Nguan Chiang Sweet Black Soy Sauce 340 ml x4 bottle</t>
  </si>
  <si>
    <t>เอโร่ ครีมเทียมข้นหวาน พร่องไขมัน 2 กก. x1 แพ็ค</t>
  </si>
  <si>
    <t>aro sweetened condendsend non dairy cremer 2 kg x1 pack</t>
  </si>
  <si>
    <t>ซัมซุง เครื่องซักผ้า #WA85J5711 1 เครื่อง x1 ชิ้น</t>
  </si>
  <si>
    <t>Samsung Washing Machine #WA85J5711 1 Unit x1 pcs</t>
  </si>
  <si>
    <t>แอลจี เครื่องซักผ้าฝาบน 2 ถัง LG #WP-1350ROT 1 เครื่อง x1 ชิ้น</t>
  </si>
  <si>
    <t>LG Twin Tub Washing Machines #WP-1350ROT 1 Unit x1 pcs</t>
  </si>
  <si>
    <t>ซันซิล เนเชอรัล แชมพู 60 มล. x6 ขวด</t>
  </si>
  <si>
    <t>Sunsilk Natural Shampoo 60 ml x6 bottle</t>
  </si>
  <si>
    <t>คอฟฟี่ ดรีมเมอร์ ครีมเทียม 1000 กรัม x1 ถุง</t>
  </si>
  <si>
    <t>Coffee Dreamer CREAMER 1000 g x1 Bag</t>
  </si>
  <si>
    <t>ตราฉัตร บะหมี่กึ่งสำเร็จรูป 1 กก. x1 แพ็ค</t>
  </si>
  <si>
    <t>Royal Umbrella INSTANT NOODLE 1 kg x1 Pack</t>
  </si>
  <si>
    <t>เอโร่ รากบัวสไลด์ แช่แข็ง 1 กก. x10 แพ็ค</t>
  </si>
  <si>
    <t>aro SLICED LOTUS ROOT 1 kg x10 Pack</t>
  </si>
  <si>
    <t>ซานเบเนเดตโต น้ำแร่ 500 มล. x6 ขวด</t>
  </si>
  <si>
    <t>San Benedetto MINERAL WATER 500 ml x6 Bottle</t>
  </si>
  <si>
    <t>กัสเซ็น เวเฟอร์เคลือบช็อกโกแลต 22 กรัม x12 ชิ้น</t>
  </si>
  <si>
    <t>Gussen WAFER CHOCOLATE 22 g x12 pcs</t>
  </si>
  <si>
    <t>โฮมมี่ แครกเกอร์ รสมะพร้าว 80 กรัม x6 ชิ้น</t>
  </si>
  <si>
    <t>Homey COCONUT CRACKER 80 g x6 pcs</t>
  </si>
  <si>
    <t>เนปจูน น้ำดื่ม 600 มล. x12 ขวด</t>
  </si>
  <si>
    <t>Neptune DRINKING WATER 600 ml x12 Bottle</t>
  </si>
  <si>
    <t>โลตัส ขนมน่องไก่ บาบิคิว+สาหร่าย 18 กรัม x6 ห่อ</t>
  </si>
  <si>
    <t>Lotus BREAD STICK BBQ+Seaweed 18 g x6 pcs.</t>
  </si>
  <si>
    <t>คาลพิสแลคโตะ ออริจินัล 350 กรัม x6 ขวด</t>
  </si>
  <si>
    <t>Calpis Lacto ORIGINAL 350 g x6 Bottle</t>
  </si>
  <si>
    <t>ซูกัส ลูกอมแท่ง รวมรส 30 กรัม x36 ชิ้น</t>
  </si>
  <si>
    <t>sugus SOFT CANDY MIX 30 g x36 pcs</t>
  </si>
  <si>
    <t>เถ้าแก่น้อย สาหร่ายบิ๊กชีท ทอดแผ่น 3.5 กรัม x12 ชิ้น</t>
  </si>
  <si>
    <t>Taokaenoi SEAWEED BIG SHEET 3.5 g x12 pcs</t>
  </si>
  <si>
    <t>เซียงไฮ เวเฟอร์ เคลือบช็อกโกแลต 6 กรัม x15 ชิ้น</t>
  </si>
  <si>
    <t>Sanghai WAFER CHOCOLATE 6 g x15 pcs</t>
  </si>
  <si>
    <t>ปูไทย ขนมทอดกรอบ รสปลาหมึก 14 กรัม x12 ชิ้น</t>
  </si>
  <si>
    <t>PuThai EXTRUDE SQUID 14 g x12 pcs</t>
  </si>
  <si>
    <t>โตโร ข้าวโพดรสเนย 25 กรัม x12 ชิ้น</t>
  </si>
  <si>
    <t>TORO POPCORN EXTRUDE 25 g x12 pcs</t>
  </si>
  <si>
    <t>ทาโร่ ปลาสวรรค์ รสเข้มข้น 7.5 กรัม x12 ชิ้น</t>
  </si>
  <si>
    <t>Taro FISH SNACK spicy flavoured 7.5 g x12 pcs</t>
  </si>
  <si>
    <t>เอส โคล่า เครื่องดื่มน้ำอัดลม 1 ลิตร x12 ขวด</t>
  </si>
  <si>
    <t>est COLA Soft drink 1 L x12 Bottle</t>
  </si>
  <si>
    <t>โกปิโก้ กาแฟรสเข้ม 240 มล. x24 ขวด</t>
  </si>
  <si>
    <t>Kopiko COFFEE STRONG BLEND 240 ml x24 Bottle</t>
  </si>
  <si>
    <t>กาโตะ น้ำลิ้นจี่ 25% ผสมวุ้นมะพร้าว 320 มล. x6 ขวด</t>
  </si>
  <si>
    <t>Kato 25% LYCHEE+NATA COCONUT 320 ml x6 Bottle</t>
  </si>
  <si>
    <t>มะลิ นมข้นหวาน 385 กรัม x48 ชิ้น</t>
  </si>
  <si>
    <t>Mali Sweetened condensed milk 385 g x48 pcs</t>
  </si>
  <si>
    <t>โกลเด้นแพน น้ำส้มเข้มข้น 4500 มล. x1 แกลอน</t>
  </si>
  <si>
    <t>Golden Pan SQUASH ORANGE 4500 ml x1 Gallon</t>
  </si>
  <si>
    <t>เควกเกอร์ ข้าวโอ๊ตปรุงสำเร็จ 800 กรัม x1 กระป๋อง</t>
  </si>
  <si>
    <t>Quaker INSTANT OAT MEAL 800 g x1 can</t>
  </si>
  <si>
    <t>แอนลีน นมผงโกลด์ 1000 กรัม x1 กล่อง</t>
  </si>
  <si>
    <t>ANLENE GOLD MILK POWDER 1000 g x1 box</t>
  </si>
  <si>
    <t>ปุ้มปุ้ย ปลาแมคเคอเรลราดพริก 155 กรัม x10 กระป๋อง</t>
  </si>
  <si>
    <t>Pumpui SMILING FISH SARDINE CURRY 155 g x10 can</t>
  </si>
  <si>
    <t>โอลีน น้ำมันปาล์มปี๊บ 13.75 ลิตร x1 ปีบ</t>
  </si>
  <si>
    <t>Oleen PALM OIL 13.75 L x1 pcs.</t>
  </si>
  <si>
    <t>เด็กสมบูรณ์ ซีอิ๊วขาวเห็ดหอม 700 มล. x3 ขวด</t>
  </si>
  <si>
    <t>Healthy Boy MUSHROOM SAUCE 700 ml x3 Bottle</t>
  </si>
  <si>
    <t>ฟริสกี้ส์ อาหารแมว รสปลาทะเล 1.2 กก. x1 กระสอบ</t>
  </si>
  <si>
    <t>Friskies SEAFOOD SENSATIONS CAT FOOD 1.2 kg x1 Sack</t>
  </si>
  <si>
    <t>ซีเล็ค ทูน่าสเต็กในน้ำมันพืช 185 กรัม x4 กระป๋อง</t>
  </si>
  <si>
    <t>Sealect TUNA IN SOYBEAN OIL 185 g x4 Canned</t>
  </si>
  <si>
    <t>ซีเล็ค ทูน่าสเต็กในน้ำเกลือ 185 กรัม x4 กระป๋อง</t>
  </si>
  <si>
    <t>Sealect TUNA IN BRINE 185 g x4 Canned</t>
  </si>
  <si>
    <t>ซีเล็ค ทูน่าสเต็กในน้ำแร่ 185 กรัม x4 กระป๋อง</t>
  </si>
  <si>
    <t>Sealect TUNA IN MINERAL 185 g x4 Canned</t>
  </si>
  <si>
    <t>ชาวนาไทย ข้าวขาว 100% 5 กก. x1 ถุง</t>
  </si>
  <si>
    <t>Thai Farmer WHITE RICE 100% 5 kg x1 Bag</t>
  </si>
  <si>
    <t>ปิ่นเงิน ข้าวขาวเสาไห้ 100% 5 กก. x1 ถุง</t>
  </si>
  <si>
    <t>Pin Ngoen WHITE RICE 100% 5 kg x1 Bag</t>
  </si>
  <si>
    <t>เด็กสมบูรณ์ เต้าเจี้ยวโม่อิ่มสี 5 กก. x1 ขวด</t>
  </si>
  <si>
    <t>Healthy Boy Soybean Paste 5 kg x1 Bottle</t>
  </si>
  <si>
    <t>โอวัลติน 3IN1 เครื่องดื่มมอลต์สกัด รสช็อกโกแลต 20 กรัม x24 ชิ้น</t>
  </si>
  <si>
    <t>Ovaltine 3IN1 Malt extract Chocolate 20 g x24 pcs</t>
  </si>
  <si>
    <t>ต้นสน วุ้นเส้น 500 กรัม x1 ชิ้น</t>
  </si>
  <si>
    <t>Ton-Son Vermicelli 500 g x1 pcs</t>
  </si>
  <si>
    <t>เด็กสมบูรณ์ ซีอิ๋วขาวสูตร1 2000 ซีซี x1 ขวด</t>
  </si>
  <si>
    <t>Healthy Boy SOYBEAN SAUCE 1 2000 cc. x1 Bottle</t>
  </si>
  <si>
    <t>เอโร่ ข้าวเหนียวเขี้ยวงู 5 กก. x1 ถุง</t>
  </si>
  <si>
    <t>aro STICKY RICE 5 kg x1 Bag</t>
  </si>
  <si>
    <t>คาร์เนชั่น นมข้นจืด 405 กรัม x48 กระป๋อง</t>
  </si>
  <si>
    <t>Carnation EVAPORATED MILK 405 g x48 Canned</t>
  </si>
  <si>
    <t>เอนฟาโกรเอพลัส นมยูเอชที สูตร4 รสจืด 180 มล. x24 ชิ้น</t>
  </si>
  <si>
    <t>Enfagrow A+ Milk UHT PLAIN 180 ml x24 pcs</t>
  </si>
  <si>
    <t>ทีพอท เอ็กซ์ตร้า ครีมเทียมข้นจืด 385 กรัม x48 กระป๋อง</t>
  </si>
  <si>
    <t>Tea Pot EXTRA cream PLAIN 385 g x48 Canned</t>
  </si>
  <si>
    <t>เอโร่ ครีมเทียม 1000 กรัม x1 ถุง</t>
  </si>
  <si>
    <t>aro CREAMER 1000 g x1 Bag</t>
  </si>
  <si>
    <t>นิสชิน บะหมี่ กึ่งสำเร็จรูปคัพ รสต้มยำกุ้งแซ่บ 60 กรัม x6 ชิ้น</t>
  </si>
  <si>
    <t>Nissin CUP TOM YUM KUNG 60 g x6 pcs</t>
  </si>
  <si>
    <t>แม็กกี้ ซอสปรุงอาหาร 980 มล. x3 ขวด</t>
  </si>
  <si>
    <t>Maggi Cooking Sauce 980 ml x3 Bottle</t>
  </si>
  <si>
    <t>ข้าวเบญจรงค์ ข้าวขาวเสาไห้ 100% 5 กก. x1 ถุง</t>
  </si>
  <si>
    <t>Benjarong Rice WHITE RICE 100% 5 kg x1 Bag</t>
  </si>
  <si>
    <t>ข้าวเบญจรงค์ ข้าวหอมมะลิ 100% 48 กก. x1 ถุง</t>
  </si>
  <si>
    <t>Benjarong Rice JASMINE RICE 100% 48 kg x1 Bag</t>
  </si>
  <si>
    <t>ข้าวเบญจรงค์ ข้าวหอมมะลิ 100% 1 กก. x20 ถุง</t>
  </si>
  <si>
    <t>Benjarong Rice JASMINE RICE1 00% 1 kg x20 Bag</t>
  </si>
  <si>
    <t>ทับทิม น้ำมันปาล์ม 1 ลิตร x12 ขวด</t>
  </si>
  <si>
    <t>TubTim PALM OIL 1 L x12 Bottle</t>
  </si>
  <si>
    <t>ตราฉัตร ข้าวหอมผสม 70%:30% 5 กก. x1 ถุง</t>
  </si>
  <si>
    <t>Royal Umbrella FRAGRANT RICE 70%:30% 5 kg x1 Bag</t>
  </si>
  <si>
    <t>ปิ่นเงิน ข้าวหอมมะลิ อุบล 100% 5 กก. x1 ถุง</t>
  </si>
  <si>
    <t>Pin Ngoen JASMINE RICE 100% 5 kg x1 Bag</t>
  </si>
  <si>
    <t>เบบี้เลิฟเดย์แพ้นท์ จัมโบ้ ผ้าอ้อมเด็ก 74 ชิ้น x1 แพ็ค</t>
  </si>
  <si>
    <t>Baby Love DayPants DAYPANT JUMBO 74 pcs x1 Pack</t>
  </si>
  <si>
    <t>แคร์ แป้งเด็กสีฟ้า 400 กรัม x2+1 ชิ้น</t>
  </si>
  <si>
    <t>Care TALCUM BLUE 400 g x2+1 pcs</t>
  </si>
  <si>
    <t>ดอกบัวคู่ ยาสีฟัน 150 กรัม x6 หลอด</t>
  </si>
  <si>
    <t>Dok Bua Ku/Twin Lotus TOOTHPASTE 150 g x6 pc</t>
  </si>
  <si>
    <t>ตรางู แป้งเย็น ปริกลีฮีท 50 กรัม x12 กระป๋อง</t>
  </si>
  <si>
    <t>Snake Brand PRICKLY HEAT TALCUM 50 g x12 Canned</t>
  </si>
  <si>
    <t>พาราแคพ ยาลดไข้ 10 เม็ด x50 แผง</t>
  </si>
  <si>
    <t>Paracap Paracetamol 10 pills x50 Panel</t>
  </si>
  <si>
    <t>บิโอเร ยูวี อควาริช 15 มล. x3 ชิ้น</t>
  </si>
  <si>
    <t>Bioré UV AQUA ESSENCE 15 ml x3 pcs</t>
  </si>
  <si>
    <t>มาจิคลีน น้ำยาถูพื้นสีชมพู 800 มล. x3 ชิ้น</t>
  </si>
  <si>
    <t>Magiclean Floor Cleaner Pink 800 ml x3 pcs</t>
  </si>
  <si>
    <t>ชวาร์สคอฟ เฟรชไลท์ มิลค์กี้ ผลิตภัณฑ์เปลี่ยนสีผม สีเทาสว่าง 40 มล. x1 ชิ้น</t>
  </si>
  <si>
    <t>Schwarzkopf FRESHLIGHT MILKY hair Light gray 40 ml x1 pcs</t>
  </si>
  <si>
    <t>เบอร์แมน แปรงสีฟัน แอคทีฟซอฟท์ 6 ชิ้น x1 แพ็ค</t>
  </si>
  <si>
    <t>Berman TOOTHBRUSH ACTIVE SOFT 6 pcs x1 Pack</t>
  </si>
  <si>
    <t>คอลเกต เฮอร์เบิ้ลซอลท์ ยาสีฟัน 35 กรัม x12+1 ชิ้น</t>
  </si>
  <si>
    <t>colgate HERBAL SALT toothpaste 35 g x12+1 pcs</t>
  </si>
  <si>
    <t>ไลปอนเอฟ น้ำยาล้างจาน 550 มล. x3 ชิ้น</t>
  </si>
  <si>
    <t>Lipon F DISHWASH 550 ml x3 pcs</t>
  </si>
  <si>
    <t>ไฮคลาส น้ำยา ปรับผ้านุ่ม สีชมพู 600 มล. x3 ชิ้น</t>
  </si>
  <si>
    <t>Hiclass SOFTENER PINK 600 ml x3 pcs</t>
  </si>
  <si>
    <t>แอทแทคอีซี่ แฮปปี้สวีท ผงซักฟอก 120 กรัม x12 ชิ้น</t>
  </si>
  <si>
    <t>Attack Easy HAPPY SWEET washing powder 120 g x12 pcs</t>
  </si>
  <si>
    <t>กูลิโกะ แอลฟี่ รสช็อคโกแลต 15 กรัม x12 ชิ้น</t>
  </si>
  <si>
    <t>glico Alfie Chocolate 15 g x12 pcs</t>
  </si>
  <si>
    <t>ทีซีบี ปลาแมคเคอเรล ในซอสมะเขือเทศ 155 กรัม x10 กระป๋อง</t>
  </si>
  <si>
    <t>TCB MACKEREL in tomato source 155 g x10 Canned</t>
  </si>
  <si>
    <t>โอเลย์ เนเชอรัลไวท์ ฝาหมุน 7.5 กรัม x6 ซอง</t>
  </si>
  <si>
    <t>Olay NATURAL WHTE FAIRNES 7.5 g x6 g</t>
  </si>
  <si>
    <t>จอห์นสัน แป้งเด็ก สีชมพู 50 กรัม x12 กระป๋อง</t>
  </si>
  <si>
    <t>johnson's BABY TALCUM PINK 50 g x12 Canned</t>
  </si>
  <si>
    <t>มอลคิสท์ แครกเกอร์ 18 กรัม x24 ชิ้น</t>
  </si>
  <si>
    <t>Malkist CRACKER 18 g x24 pcs</t>
  </si>
  <si>
    <t>นีเวีย ยูวี ไวท์ เอ็กซ์ตร้ารีแพร์ 400 มล. x1 ขวด</t>
  </si>
  <si>
    <t>Nivea EXTRA WHITE Extra Repair 400 ml x1 Bottle</t>
  </si>
  <si>
    <t>บรีส เอกเซล ผงซักฟอก 90 กรัม x12 ชิ้น</t>
  </si>
  <si>
    <t>Breeze EXCEL washing powder 90 g x12 pcs</t>
  </si>
  <si>
    <t>จอห์นสัน แป้งเด็ก สีชมพู 200 กรัม x6 กระป๋อง</t>
  </si>
  <si>
    <t>johnson's BABY TALCUM PINK 200 g x6 Canned</t>
  </si>
  <si>
    <t>จอห์นสัน เบบี้ บาธ มิลด์ 1000 มล. x1 ขวด</t>
  </si>
  <si>
    <t>johnson's BABY BATH MILK 1000 ml x1 Bottle</t>
  </si>
  <si>
    <t>เมนทอส ลูกอมถุงรสมินต์ 100 เม็ด x1 ถุง</t>
  </si>
  <si>
    <t>Mentos SOFT CANDY MINT 100 pills x1 Bag</t>
  </si>
  <si>
    <t>กูลิโกะ แอลฟี่ ช็อกโกแลต 31 กรัม x20 ชิ้น</t>
  </si>
  <si>
    <t>glico ALEIE CHOCOLATE 31 g x20 pcs</t>
  </si>
  <si>
    <t>แคลชีท เวเฟอร์ 8.5 กรัม x24 ชิ้น</t>
  </si>
  <si>
    <t>Calcheese WAFER 8.5 g x24 pcs</t>
  </si>
  <si>
    <t>ยำยำจัมโบ้ รสหมูสับ 67 กรัม x30 ซอง</t>
  </si>
  <si>
    <t>Yum Yum Jumbo MINCE PORK 67 g x30 g</t>
  </si>
  <si>
    <t>เฮดแอนด์โชว์เดอร์ แชมพู คูลเมนทอล 65 มล. x6 ขวด</t>
  </si>
  <si>
    <t>Head &amp; Shoulders SHAMPOO COOL MENTOL 65 ml x6 Bottle</t>
  </si>
  <si>
    <t>ดาร์ลี่ ดับเบิ้ล แอคชั่น ยาสีฟัน 170/180 กรัม x6 ชิ้น</t>
  </si>
  <si>
    <t>Darlie Double Action TOOTHPASTE 170/180 g x6 pcs</t>
  </si>
  <si>
    <t>มามี่โพโค แฮปปี้แพนท์ ผ้าอ้อมเด็ก 4 ชิ้น x4 แพ็ค</t>
  </si>
  <si>
    <t>MAMY POKO HAPPY PANTS 4 pcs x4 Pack</t>
  </si>
  <si>
    <t>มามี่โพโค แตนดาร์ด ผ้าอ้อมเด็ก 66 ชิ้น x1 แพ็ค</t>
  </si>
  <si>
    <t>MAMY POKO STANDARD PANTS 66 pcs x1 Pack</t>
  </si>
  <si>
    <t>ดาร์ลี่ ยาสีฟัน ดับเบิ้ลแอ็คชั่น 85/90 กรัม x12 ชิ้น</t>
  </si>
  <si>
    <t>Darlie Double Action Toothpaste 85/90 g x12 pcs</t>
  </si>
  <si>
    <t>เบงเบง เวฟอร์ เคลือบช็อกโกแลต 25 กรัม x12 ชิ้น</t>
  </si>
  <si>
    <t>Beng Beng Wafer Chocolate 25 g x12 pcs</t>
  </si>
  <si>
    <t>ทาคูมิอายิ ซอสโชยุ 1000 มล. x2 ขวด</t>
  </si>
  <si>
    <t>Takumi Aji SAUCE SHOYU 1000 ml x2 Bottle</t>
  </si>
  <si>
    <t>เบอร์ดี้ กาแฟปรุงสำเร็จรูป ชนิดผง 3in1 โรบัสต้า 16.5 กรัม x60 ชิ้น</t>
  </si>
  <si>
    <t>Birdy Coffee 3IN1 ROBUSTA 16.5 g x60 pcs</t>
  </si>
  <si>
    <t>บรีสเอกเซล ผงซักฟอก 900 กรัม x1 ชิ้น</t>
  </si>
  <si>
    <t>Breeze Excel washing powder 900 g x1 pcs</t>
  </si>
  <si>
    <t>นีเวีย ยูวี ไวท์ เอ็กซ์ตร้ารีแพร์ 125 มล. x3 ขวด</t>
  </si>
  <si>
    <t>Nivea EXTRA WHITE Extra Repair 125 ml x3 Bottle</t>
  </si>
  <si>
    <t>แพนทีน แชมพูแพนทีนโททัลแคร์ 70 มล. x6 ขวด</t>
  </si>
  <si>
    <t>Pantene SHAMP TOTAL CARE 70 ml x6 Bottle</t>
  </si>
  <si>
    <t>ซันไลต์ เลมอน น้ำยาล้างจาน 20 ลิตร x1 แกลลอน</t>
  </si>
  <si>
    <t>Sunlight lemon DISHWASHING 20 L x1 Gallon</t>
  </si>
  <si>
    <t>คอมฟอร์ท อัลตร้า สีฟ้า 1600 มล. x1 ชิ้น</t>
  </si>
  <si>
    <t>Comfort ULTRA BLUE 1600 ml x1 pcs</t>
  </si>
  <si>
    <t>ยำยำ จัมโบ้ บะหมี่กึ่งสำเร็จรูป รสต้มยำกุ้ง 60 กรัม x6 ชิ้น</t>
  </si>
  <si>
    <t>YumYum CUP TOM YUM KUNG 60 g x6 pcs</t>
  </si>
  <si>
    <t>เมนทอส ลูกอมแท่งรสมินต์ 37 กรัม x24 ชิ้น</t>
  </si>
  <si>
    <t>Mentos SOFT CANDY Mint 37 g x24 pcs</t>
  </si>
  <si>
    <t>เดลฟี่ ช็อกโกแลตบิทส์ 13 กรัม x12 ชิ้น</t>
  </si>
  <si>
    <t>Delfi CHOCOLATE BITS 13 g x12 pcs</t>
  </si>
  <si>
    <t>โคอาล่ามาร์ช บิสกิตมัตชะ 33 กรัม x6 ชิ้น</t>
  </si>
  <si>
    <t>Koala's March BISCUIT MATCHA 33 g x6 pcs</t>
  </si>
  <si>
    <t>กูลิโกะ เพรทช์ รสชีส 37 กรัม x10 ชิ้น</t>
  </si>
  <si>
    <t>glico PRETZ CHEESE 37 g x10 pcs</t>
  </si>
  <si>
    <t>มิตซูบิชิ อีเล็คทริค ตู้เย็น 2 ประตู #MR-FV38EJ 1 เครื่อง x1 ชิ้น</t>
  </si>
  <si>
    <t>Mitsubishi Electric 2 Doors Refrigerator #MR-FV38EJ 1 Unit x1 pcs</t>
  </si>
  <si>
    <t>ซัมซุง แอลอีดี ทีวี 40” #UA40J5200K 1 เครื่อง x1 ชิ้น</t>
  </si>
  <si>
    <t>Samsung 40" LED TV #UA40J5200AK 1 Unit x1 pcs</t>
  </si>
  <si>
    <t>ซันเด้นอินเตอร์คูล ตู้แช่ 1 ประตู #SPA-0353 1 เครื่อง x1 ชิ้น</t>
  </si>
  <si>
    <t>Sanden Intercool FREEZER #SPA-0353 1 Unit x1 pcs.</t>
  </si>
  <si>
    <t>พานาโซนิค ตู้แช่แข็งฝาทึบ #SF-PC997 1 เครื่อง x1 ชิ้น</t>
  </si>
  <si>
    <t>Panasonic Freezer #SF-PC997 1 Unit x1 pcs.</t>
  </si>
  <si>
    <t>คาชิวา หม้อหุงข้าว #710/110 1 ลิตร 1 เครื่อง x1 ชิ้น</t>
  </si>
  <si>
    <t>Kashiwa Rice Cooker #710/110 1L 1 Unit x1 pcs.</t>
  </si>
  <si>
    <t>ชาร์ป พัดลมสไลด์ #PJ-SL161/SL163 1 เครื่อง x1 ชิ้น</t>
  </si>
  <si>
    <t>Sharp SLIDE FAN #PJ-SL161/163 1 Unit x1 pcs.</t>
  </si>
  <si>
    <t>ซัมซุง ตู้เย็น 2 ประตู #RT20HARIDSA/ST 1 เครื่อง x1 ชิ้น</t>
  </si>
  <si>
    <t>Samsung REFRIGERATOR #RT20HAR1DSA/ST 1 Unit x1 pcs.</t>
  </si>
  <si>
    <t>ฟิลิปส์ แอลอีดี ทีวี 32” #32PHT5200 1 เครื่อง x1 ชิ้น</t>
  </si>
  <si>
    <t>Philips TV LED 32" #32PHT5200S 1 Unit x1 pcs.</t>
  </si>
  <si>
    <t>ฟิลิปส์ แอลอีดี ทีวี 24" #24PHA4100 1 เครื่อง x1 ชิ้น</t>
  </si>
  <si>
    <t>Philips LED TV 24" #24PHA4100 1 Unit x1 pcs.</t>
  </si>
  <si>
    <t>แอรี่ พัดลมตั้งโต๊ะ #CF-4165 16 นิ้ว 1 เครื่อง x1 ชิ้น</t>
  </si>
  <si>
    <t>Airy TABLE FAN # CF-4165 16" 1 Unit x1 pcs.</t>
  </si>
  <si>
    <t>โตชิบา เครื่องซักผ้า 6.5 กก. #AW-750ST 1 เครื่อง x1 ชิ้น</t>
  </si>
  <si>
    <t>Toshiba WASHING MASCHINE 6.5KG #AW-750ST 1 Unit x1 pcs.</t>
  </si>
  <si>
    <t>แอคคอร์ด พัดลมอุตสาหกรรม #18HC/HCT 1 เครื่อง x1 ชิ้น</t>
  </si>
  <si>
    <t>ACCORD INDUSTRIAL FAN #18HC/RC 1 Unit x1 pcs.</t>
  </si>
  <si>
    <t>ซินซาโน่ เครื่องฉีดน้ำ #Angara 90 บาร์ 1 เครื่อง x1 ชิ้น</t>
  </si>
  <si>
    <t>Zinsano HIGH PRESSURE CLEANER #CARIBBEAN II 90 Bar 1 Unit x1 pcs.</t>
  </si>
  <si>
    <t>ซินซาโน่ เครื่องฉีดน้ำ #Caribbean II100 บาร์ 1 เครื่อง x1 ชิ้น</t>
  </si>
  <si>
    <t>Zinsano HIGH PRESSURE CLEANER #ANGARA 100 Bar 1 Unit x1 pcs.</t>
  </si>
  <si>
    <t>ตราช้าง แฟ้มก้านยก สันกว้าง 3” #100F 6 เล่ม x1 แพ็ค</t>
  </si>
  <si>
    <t>Elephant Brand Lever Arch Files 3" #100F 6 pcs. x1 Pack</t>
  </si>
  <si>
    <t>ตราช้าง แฟ้มก้านยก สันกว้าง 3” #100A4 6 เล่ม x1 แพ็ค</t>
  </si>
  <si>
    <t>Elephant Brand Lever Arch Files 3" #100A4 6 pcs. x1 Pack</t>
  </si>
  <si>
    <t>เอลเฟ่น ปากกาลบคำผิด 4 มล. MARE คละสี 12 ด้าม x1 แพ็ค</t>
  </si>
  <si>
    <t>Elfen Correction Pen 4 ml MARE 12 pcs. x1 Pack</t>
  </si>
  <si>
    <t>เอลเฟ่น ปากกาลบคำผิด 4 มล. MAI คละสี 12 ด้าม x1 แพ็ค</t>
  </si>
  <si>
    <t>Elfen Correction Pen 4 ml MAI 12 pcs. x1 Pack</t>
  </si>
  <si>
    <t>ตราช้าง ป้ายสติ๊กเกอร์อเนกประสงค์ 50 แผ่น x1 แพ็ค</t>
  </si>
  <si>
    <t>Elephant Brand Versatile Sticker Labels 50 sheets x1 Pack</t>
  </si>
  <si>
    <t>เปเปอร์ พลัส กระดาษถ่ายเอกสาร A4 500 แผ่น x5 รีม</t>
  </si>
  <si>
    <t>Paper Plus COPY PAPER A4 500 sheets x5 ream</t>
  </si>
  <si>
    <t>แม็กซ์ ลวดเย็บ #10-1M 24 กล่อง x1 แพ็ค</t>
  </si>
  <si>
    <t>Max STAPLE #10-1M 24 box x1 Pack</t>
  </si>
  <si>
    <t>เปเปอร์แม็กซ์ กระดาษถ่ายเอกสาร A4 450 แผ่น x1 รีม</t>
  </si>
  <si>
    <t>Paper Max COPY PAPER A4 450 sheets x1 Reak</t>
  </si>
  <si>
    <t>ควอลิตี้ กระดาษถ่ายเอกสาร A4 70 แกรม 500 แผ่น x5 รีม</t>
  </si>
  <si>
    <t>Quality COPY PAPER (O) A4 70G 500 sheets x5 ream</t>
  </si>
  <si>
    <t>ควอลิตี้ กระดาษถ่ายเอกสาร A4 80 แกรม 500 แผ่น x5 รีม</t>
  </si>
  <si>
    <t>Quality COPY PAPER (V) A4 80G 500 sheets x5 ream</t>
  </si>
  <si>
    <t>เอปสัน พริ้นเตอร์ #L360 1 เครื่อง x1 ชิ้น</t>
  </si>
  <si>
    <t>EPSON MULTIFUNCTION PRINTER #L360 1 Unit x1 pcs.</t>
  </si>
  <si>
    <t>แม็กกี้ ซอสปรุงอาหาร 680 มล. x3 ขวด</t>
  </si>
  <si>
    <t>Maggi SEASONING SAUCE 680 ml x3 Bottle</t>
  </si>
  <si>
    <t>ดาต้า รางปลั๊กไฟ #MK4 3หลา 1 แพ็ค x1 ชิ้น</t>
  </si>
  <si>
    <t>Data Power Strip #MK4 3 yards 1 Pack x1 pc</t>
  </si>
  <si>
    <t>ไวตามิ้ลค์ นมถั่วเหลือง สูตรกลมกล่อม 300 มล. x12 ขวด</t>
  </si>
  <si>
    <t>Vitamilk SMOOTH&amp;MILKY 300 ml x12 Bottle</t>
  </si>
  <si>
    <t>คาราบาวแดง เครื่องดื่มบำรุงกำลัง 150 มล. x50 ขวด</t>
  </si>
  <si>
    <t>Carabao Dang Refreshment Drink 150 ml x50 Bottle</t>
  </si>
  <si>
    <t>ไฟน์ไลน์ น้ำยาปรับผ้านุ่ม สีชมพู (ถุงเติม) 600 มล. x3 ชิ้น</t>
  </si>
  <si>
    <t>Fineline SOFTENER PINK (Refill) 600 ml x3 pcs.</t>
  </si>
  <si>
    <t>มรกต น้ำมันปาล์มขวด 1 ลิตร x12 ขวด</t>
  </si>
  <si>
    <t>Morakot PALM OIL 1 L x12 Bottles</t>
  </si>
  <si>
    <t>โปร ผงซักฟอก 3000 กรัม x1 ถุง</t>
  </si>
  <si>
    <t>Pro washing powder 3000 g x1 bag</t>
  </si>
  <si>
    <t>โอวัลติน 3IN1 เครื่องดื่มปรุงสำเร็จมอลต์สกัด รสช็อกโกแลต 33 กรัม x48 ชิ้น</t>
  </si>
  <si>
    <t>Ovaltine 3IN1 Malt extract Chocolate Flavour 33 g x48 pcs.</t>
  </si>
  <si>
    <t>มะลิ นมข้นหวาน 2 กก. x1 ชิ้น</t>
  </si>
  <si>
    <t>Mali Sweetened Condensed Milk 2 kg x1 pcs.</t>
  </si>
  <si>
    <t>ภูเขาทอง ซอสปรุงรสฝาเขียว 3000 กรัม x1 แกลลอน</t>
  </si>
  <si>
    <t>Golden Mountain SAUCE Green 3000 g x1 Gallon</t>
  </si>
  <si>
    <t>โค้ก เครื่องดื่มน้ำอัดลม TN 325 มล. x24 กระป๋อง</t>
  </si>
  <si>
    <t>Coca-Cola SOFT DRINK CAN TN 325 ml x24 can</t>
  </si>
  <si>
    <t>โค้ก เครื่องดื่มน้ำอัดลม HT 325 มล. x24 กระป๋อง</t>
  </si>
  <si>
    <t>Coca-Cola SOFT DRINK CAN HT 325 ml x24 can</t>
  </si>
  <si>
    <t>แลคตาซอย นมถั่วเหลือง ยูเอชที รสหวาน 300 มล. x36 กล่อง</t>
  </si>
  <si>
    <t>Lactasoy SOYMILK SWEET FLAVOUR 300 ml x36 pcs.</t>
  </si>
  <si>
    <t>โฟร์โมสต์ นมยูเอชที รสจืด 225 มล. x36 กล่อง</t>
  </si>
  <si>
    <t>Foremost UHT MILK PLAIN 225 ml x36 pcs.</t>
  </si>
  <si>
    <t>ข้าวแสนดี ข้าวขาว 100% 5 กก. x1 ถุง</t>
  </si>
  <si>
    <t>sandee rice White Rice 100% 5 kg x1 bag</t>
  </si>
  <si>
    <t>นกแก้ว สบู่พฤกษา สีเขียว 75 กรัม x4 ก้อน</t>
  </si>
  <si>
    <t>Parrot SOAP GREEN 75 g x4 pcs.</t>
  </si>
  <si>
    <t>พีแอนด์พี แหนมเอ็นข้อไก่ แช่แข็ง 1 กก. x1 แพ็ค</t>
  </si>
  <si>
    <t>P&amp;P FROZEN FERMENTED CHICKEN TENDON 1 kg x1 Pack</t>
  </si>
  <si>
    <t>พีแอนด์พี แหนมเอ็นข้อไก่ แช่แข็ง กก. x10 แพ็ค</t>
  </si>
  <si>
    <t>P&amp;P FROZEN FERMENTEDCHICKENTENDON kg x10 Pack</t>
  </si>
  <si>
    <t>บีเอ็มพี สโม้กเบคอน 1 กก. x10 แพ็ค</t>
  </si>
  <si>
    <t>BMP SMOKED BACON 1 kg x10 Pack</t>
  </si>
  <si>
    <t>บีเอ็มพี สโม้กเบคอน 1 กก. x1 แพ็ค</t>
  </si>
  <si>
    <t>BMP SMOKED BACON 1 kg x1 Pack</t>
  </si>
  <si>
    <t>พีแอนด์พี หมูกระทะหมัก แช่แข็ง 2 กก. x1 แพ็ค</t>
  </si>
  <si>
    <t>P&amp;P FROZEN MARINATED PORK SHABU 2 kg x1 Pack</t>
  </si>
  <si>
    <t>คาชิวา หม้อหุงข้าว #RC-114/10 1 เครื่อง x1 ชิ้น</t>
  </si>
  <si>
    <t>Kashiwa RICE COOKER #RC-114/10 1 Unit x1 pcs.</t>
  </si>
  <si>
    <t>ชาร์ป แอลอีดี ทีวี 32" #32LE275x 1 เครื่อง x1 ชิ้น</t>
  </si>
  <si>
    <t>Sharp LED TV 32" #32LE275x 1 Unit x1 pcs.</t>
  </si>
  <si>
    <t>แอลจี ยูเอสดี ทีวี 55" #55UH615T 1 เครื่อง x1 ชิ้น</t>
  </si>
  <si>
    <t>LG UHD TV 55" #55UH615T 1 Unit x1 pcs.</t>
  </si>
  <si>
    <t>เอโร่ ไฟแช็คก๊าซ 50 อัน x1 กล่อง</t>
  </si>
  <si>
    <t>aro Gas Lighter 50 pcs. x1 Box</t>
  </si>
  <si>
    <t>ดับเบิ้ลเอ กระดาษถ่ายเอกสาร A4 80 แกรม 500 แผ่น x5 รีม</t>
  </si>
  <si>
    <t>Double A COPY PAPER A4 80G 500 sheets x5 Ream</t>
  </si>
  <si>
    <t>แอรี่ พัดลมสไลด์ #ASF-4164 1 เครื่อง x1 ชิ้น</t>
  </si>
  <si>
    <t>Airy SLIDE FAN#ASF-4164 1 Unit x1 pcs.</t>
  </si>
  <si>
    <t>ซัมซุง ไมโครเวฟ #ME711K /XST 1 เครื่อง x1 ชิ้น</t>
  </si>
  <si>
    <t>Samsung MICROWAVE # ME-711K/XST 1 Unit x1 pcs.</t>
  </si>
  <si>
    <t>คิวบิซ โอพีพีเทปใสเนื้ออคริลิค 2” 45 หลา 12 ม้วน x1 แพ็ค</t>
  </si>
  <si>
    <t>Q-BIZ OPP TAPE CLEAR 2"X45Y 12 roll x1 Pack</t>
  </si>
  <si>
    <t>คิวบิซ โอพีพีเทปสีชาเนื้ออคริลิค 2” 45 หลา 12 ม้วน x1 แพ็ค</t>
  </si>
  <si>
    <t>Q-BIZ OPP TAPE TAN 2"X45Y 12 roll x1 Pack</t>
  </si>
  <si>
    <t>ฟิลิปส์ แอลอีดี ทีวี 32” #32PHA4100 1 เครื่อง x1 ชิ้น</t>
  </si>
  <si>
    <t>Philips TV LED 32" #32PHA4100S 1 Unit x1 pcs.</t>
  </si>
  <si>
    <t>แอรี่ พัดลมตั้งโต๊ะ 12 นิ้ว 1 เครื่อง x1 ชิ้น</t>
  </si>
  <si>
    <t>Airy Desktop fan 12" 1 Unit x1 pcs.</t>
  </si>
  <si>
    <t>เนสกาแฟ เบลนด์แอนด์บรู หวานน้อย กาแฟปรุงสำเร็จรูปชนิดผง 19.4 กรัม x27 ซอง</t>
  </si>
  <si>
    <t>Nescafe BLEND&amp;BREW LESS SUGAR INSTANT COFFEE 19.4 g x27 pcs.</t>
  </si>
  <si>
    <t>เนสที ชามิกซ์เบอรี 12.5 กรัม x18 ซอง</t>
  </si>
  <si>
    <t>Nestea TEA MIX BERRY 12.5 g x18 pcs.</t>
  </si>
  <si>
    <t>เนสท์เล่ โกโก้ครั้นช์ อาหารเช้าซีเรียล 15 กรัม x12 กล่อง</t>
  </si>
  <si>
    <t>Nestle KOKO KRUNCH CEREAL 15 g x12 pcs.</t>
  </si>
  <si>
    <t>เนสกาแฟ เบลนด์แอนบรู เอสเปรสโซ โรสต์ กาแฟปรุงสำเร็จรูปชนิดผง 19.4 กรัม x60 ซอง</t>
  </si>
  <si>
    <t>Nescafe BLEND&amp;BREW ESPRESSO ROAST INSTANT COFFEE 19.4 g x60 pcs.</t>
  </si>
  <si>
    <t>เนสท์เล่ ไมโล ซีเรียล 15 กรัม x12 กล่อง</t>
  </si>
  <si>
    <t>Nestle MILO COLD CEREAL 15 g x12 pcs.</t>
  </si>
  <si>
    <t>เนสกาแฟ โกล์ด คาปูชิโน่ กาแฟปรุงสำเร็จชนิดผง 20.5 กรัม x10 ซอง</t>
  </si>
  <si>
    <t>Nescafe GOLD CAPPUCINO INSTANT COFFEE 20.5 g x10 pcs.</t>
  </si>
  <si>
    <t>เนสกาแฟ โกล์ด มัคคิอาโต้ กาแฟปรุงสำเร็จชนิดผง 20.5 กรัม x10 ซอง</t>
  </si>
  <si>
    <t>Nescafe GOLD LATTE MACCHATO INSTANT COFFEE 20.5 g x10 pcs.</t>
  </si>
  <si>
    <t>เนสกาแฟ โกล์ด ไวท์เอสเปรสโซ่ กาแฟปรุงสำเร็จชนิดผง 20.5 กรัม x10 ซอง</t>
  </si>
  <si>
    <t>Nescafe GOLD WHITE ESPRESSO INSTANT COFFEE 20.5 g x10 pcs.</t>
  </si>
  <si>
    <t>ชเวปส์ มะนาวโซดา 330 มล. x6 กระป๋อง</t>
  </si>
  <si>
    <t>Schweppes LEMON SODA CAN 330 ml x6 can</t>
  </si>
  <si>
    <t>ชเวปส์ มะนาวโซดา 330 มล. x6 กระป่อง</t>
  </si>
  <si>
    <t>เนสกาแฟ เบลนด์แอนด์บรู ริชอโรมา กาแฟปรุงสำเร็จชนิดผง 19.4 กรัม x60 ซอง</t>
  </si>
  <si>
    <t>Nescafe BLEND&amp;BREW RICHAROMA INSTANT COFFEE 19.4 g x60 pcs.</t>
  </si>
  <si>
    <t>เนสกาแฟ เรดคัพซอง กาแฟปรุงสำเร็จชนิดผง 25 กรัม x24 ซอง</t>
  </si>
  <si>
    <t>Nescafe REDCUP POUCH INSTANT COFFEE 25 g x24 pcs.</t>
  </si>
  <si>
    <t>เนสกาแฟ เบลนด์แอนด์บรู ริชอโรมา กาแฟปรุงสำเร็จชนิดผง 19.4 กรัม x27 ซอง</t>
  </si>
  <si>
    <t>Nescafe BLEND&amp;BREW RICHAROMA INSTANT COFFEE 19.4 g x27 pcs.</t>
  </si>
  <si>
    <t>คอฟฟี่เมต โกลด์ 900 กรัม x2 ชิ้น</t>
  </si>
  <si>
    <t>COFFEE MATE GOLD CREAMER 900 g x2 pcs.</t>
  </si>
  <si>
    <t>เนสท์เล่ เพียวไลฟ์ น้ำดื่ม 1500 มล. x6 ขวด</t>
  </si>
  <si>
    <t>Nestle PURELIFE WATER 1500 ml x6 Bottle</t>
  </si>
  <si>
    <t>มิเนเร่ นํ้าแร่ 1500 มล. x6 ขวด</t>
  </si>
  <si>
    <t>Minere MINERAL WATER 1500 ml x6 Bottle</t>
  </si>
  <si>
    <t>คาเฟ่เฮ้าส์ 3IN1 เอสเปรสโซ่ กาแฟปรุงสำเร็จชนิดผง 17 กรัม x100 ซอง</t>
  </si>
  <si>
    <t>Kafe House 3IN1 ESPRESSO Instant Coffee Powder 17 g x100 Pouches</t>
  </si>
  <si>
    <t>เนสท์เล่ เพียวไลฟ์ น้ำดื่ม 330 มล. x12 ขวด</t>
  </si>
  <si>
    <t>Nestle PURELIFE WATER 330 ml x12 Bottle</t>
  </si>
  <si>
    <t>มิเนเร่ น้ำแร่ 600 มล. x12 ขวด</t>
  </si>
  <si>
    <t>Minere MINERALWATER 600 ml x12 Bottle</t>
  </si>
  <si>
    <t>มิเนเร่ น้ำแร่ 330 มล. x12 ขวด</t>
  </si>
  <si>
    <t>Minere MINERALWATER 330 ml x12 Bottle</t>
  </si>
  <si>
    <t>เนสท์เล่ เพียวไลฟ์ น้ำดื่ม 600 มล. x12 ขวด</t>
  </si>
  <si>
    <t>Nestle PURELIFE WATER 600 ml x12 Bottle</t>
  </si>
  <si>
    <t>ดอนเมือง เฉาก๊วย ชนิดชิ้นสี่เหลี่ยม 1 กก. x1 ชื้น</t>
  </si>
  <si>
    <t>DM Jelly Grass Square 1 kg x1 pcs.</t>
  </si>
  <si>
    <t>ดอนเมือง เฉาก๊วย ชนิดเส้น 1 กก. x1 ชื้น</t>
  </si>
  <si>
    <t>DM Jelly Grass 1 kg x1 pcs.</t>
  </si>
  <si>
    <t>แองเคอร์ เชดด้าโพรเชสชีส 1 กก. x1 ชื้น</t>
  </si>
  <si>
    <t>Anchor CHEEDA CHEESE 1 kg x1 pcs.</t>
  </si>
  <si>
    <t>แองเคอร์ เชดด้าโพรเชสชีส 1 กก. x24 ชื้น</t>
  </si>
  <si>
    <t>Anchor CHEEDA CHEESE 1 kg x24 pcs.</t>
  </si>
  <si>
    <t>คราฟท์ ฟิลาเดลเฟียครีมชีส 2 กก. x1 ชิ้น</t>
  </si>
  <si>
    <t>Kraft PHILADELPHIA CREAM CHEESE 2 kg x1 pcs</t>
  </si>
  <si>
    <t>ชาวเกาะ น้ำกะทิพาสเจอร์ไรส์ 1000 มล. x1 ชิ้น</t>
  </si>
  <si>
    <t>Chaokoh COCONUT MILK Pasteurized 1000 ml x1 pcs</t>
  </si>
  <si>
    <t>เกษตร เต้าหู้ถั่วเหลือง 220 กรัม x10 ชิ้น</t>
  </si>
  <si>
    <t>Kaset SOY BEAN TOFU 220 g x10 pcs</t>
  </si>
  <si>
    <t>ซีพี นักเก็ตไก่แช่แข็ง 1 กก. x1 แพ็ค</t>
  </si>
  <si>
    <t>CP Frozen CHICKEN NUGGET 1 kg x1 Pack</t>
  </si>
  <si>
    <t>บ้านไผ่ แหนม 170 กรัม x1 ชิ้น</t>
  </si>
  <si>
    <t>Ban Pai FERMENTED PORK 170 g x1 pcs</t>
  </si>
  <si>
    <t>เมจิบัลแกเรีย โยเกิร์ต รสธรรมชาติ 110 มล. x4 ชิ้น</t>
  </si>
  <si>
    <t>Meiji Bulgaria Plain Yogurt 110 ml x4 pcs.</t>
  </si>
  <si>
    <t>เมจิบัลแกเรีย โยเกิร์ต รสกลมกล่อม 110 มล. x4 ชิ้น</t>
  </si>
  <si>
    <t>Meiji Bulgaria Sweetened Yogurt 110 ml x4 pcs.</t>
  </si>
  <si>
    <t>เมจิบัลแกเรีย โยเกิร์ต รสโกลเด้นฮันนี่ 110 มล. x4 ชิ้น</t>
  </si>
  <si>
    <t>Meiji Bulgaria Golden Honey Yogurt 110 ml x4 pcs.</t>
  </si>
  <si>
    <t>โทฟุซัง น้ำนมถั่วเหลืองออร์แกนิค รสจืด 830 มล. x1 ชื้น</t>
  </si>
  <si>
    <t>Tofusan Organic Unsweetened Soymilk 830 ml x1 pcs.</t>
  </si>
  <si>
    <t>โทฟุซัง น้ำนมถั่วเหลืองออร์แกนิค รสหวานน้อย 830 มล. x1 ชื้น</t>
  </si>
  <si>
    <t>Tofusan Organic Sweet Little Soymilk 830 ml x1 pcs.</t>
  </si>
  <si>
    <t>เอโร่ รากบัวสไลด์ แช่แข็ง 1 กก. x1 แพ็ค</t>
  </si>
  <si>
    <t>aro SLICED LOTUS ROOT 1 kg x1 Pack</t>
  </si>
  <si>
    <t>เอโร่ วาซาบิสด 50 ซอง x1 แพ็ค</t>
  </si>
  <si>
    <t>aro WASABI PASTE 50 g x1 Pack</t>
  </si>
  <si>
    <t>พีเอฟพี ปูอัด SUPERIOR JAPANESE 1 กก. x1 แพ็ค</t>
  </si>
  <si>
    <t>PFP CRABSTICK SUPERIOR JANPANESE 1 kg x1 Pack</t>
  </si>
  <si>
    <t>เอโร่ ถั่วแดงกวน 500 กรัม x1 ชิ้น</t>
  </si>
  <si>
    <t>aro RED BEAN 500 g x1 pcs.</t>
  </si>
  <si>
    <t>เอโร่ วาซาบิสด แช่แข็ง 50 ซอง x1 แพ็ค</t>
  </si>
  <si>
    <t>เอโร่ ยำสาหร่าย ญี่ปุ่นแช่แข็ง 1 กก. x1 ถุง</t>
  </si>
  <si>
    <t>aro SEASONED SEAWEED 1 kg x1 bag</t>
  </si>
  <si>
    <t>เอโร่ ยำสาหร่าย ญี่ปุ่นแช่แข็ง 1 กก. x10 ถุง</t>
  </si>
  <si>
    <t>aro SEASONED SEAWEED 1 kg x10 bag</t>
  </si>
  <si>
    <t>เอโร่ เนื้อลิ้นจี่ แช่แข็ง 1 กก. x10 ถุง</t>
  </si>
  <si>
    <t>aro FZ ARO LYCHEE MEAT 1 kg x10 bag</t>
  </si>
  <si>
    <t>เอโร่ เนื้อลิ้นจี่ แช่แข็ง 1 กก. x1 ถุง</t>
  </si>
  <si>
    <t>aro FZ ARO LYCHEE MEAT 1 kg x1 bag</t>
  </si>
  <si>
    <t>แมกโนเลีย น้ำนมโค พาสเจอร์ไรส์ 5 ลิตร x1 แกลอน</t>
  </si>
  <si>
    <t>Magnolia PASTURIZED MILK 5 L x1 Gallon</t>
  </si>
  <si>
    <t>โฮเรก้า มอสซาเรลล่าชีส 980 กรัม x12 ถุง</t>
  </si>
  <si>
    <t>Horeca MOZ CHEESE 980 g x12 bag</t>
  </si>
  <si>
    <t>โฮเรก้า มอสซาเรลล่าชีส 980 กรัม x1 ถุง</t>
  </si>
  <si>
    <t>Horeca MOZ CHEESE 980 g x1 bag</t>
  </si>
  <si>
    <t>เอโร่ ปีกบนเป็ดแช่แข็ง 1 กก. x1 ชื้น</t>
  </si>
  <si>
    <t>aro Frozen Duck Wing Stick 1 kg x1 pcs.</t>
  </si>
  <si>
    <t>เอโร่ ปีกบนเป็ดแช่แข็ง (ยกลัง) 1 กก. x12 ชื้น</t>
  </si>
  <si>
    <t>aro Frozen Duck Wing Stick (Carton) 1 kg x12 pcs.</t>
  </si>
  <si>
    <t>เอโร่ มินิครัวซองท์ 15 กรัม x10 แพ็ค</t>
  </si>
  <si>
    <t>aro Mini Croissant 15 g x10 Pack</t>
  </si>
  <si>
    <t>พีแอนด์พี กุนเชียงหมู 1 กก. x1 ชิ้น</t>
  </si>
  <si>
    <t>P&amp;P Pork Sausage 1 kg x1 pcs</t>
  </si>
  <si>
    <t>พีแอนด์พี กุนเชียงหมู 1 กก. x10 แพ็ค</t>
  </si>
  <si>
    <t>P&amp;P Pork Sausage 1 kg x10 Pack</t>
  </si>
  <si>
    <t>แอคเนซี เส้นสปาเก็ตตี้ 3 กก. x1 ชิ้น</t>
  </si>
  <si>
    <t>Agnesi SPAGHETTI 3 kg x1 pcs.</t>
  </si>
  <si>
    <t>กังหัน ผงวาซาบิ 1000 กรัม x1 ถุง</t>
  </si>
  <si>
    <t>House WASABI 1000 g x1 bag</t>
  </si>
  <si>
    <t>พีแอนด์พี ไก่กระทะหมักแช่แข็ง 2 กก. x1 ชื้น</t>
  </si>
  <si>
    <t>P&amp;P (F) CHICKEN MARINATED FOR SHABU 2 kg x1 pcs.</t>
  </si>
  <si>
    <t>เนสท์เล่ คอร์นเฟลก 1500 กรัม x1 ถุง</t>
  </si>
  <si>
    <t>Nestle CORN FLAKES 1500 g x1 bag</t>
  </si>
  <si>
    <t>ไมก้า เห็ดแชมปิญอง ในน้ำเกลือ 400 กรัม x3 กระป๋อง</t>
  </si>
  <si>
    <t>Mica CHAMPIGNON IN BRINE 400 g x3 can</t>
  </si>
  <si>
    <t>เอโร่ น้ำสับปะรด 100% 1000 มล. x3 กล่อง</t>
  </si>
  <si>
    <t>aro 100% PINEAPPLE JUICE 1000 ml x3 pcs.</t>
  </si>
  <si>
    <t>เอโร่ กีวีสไลด์ แช่แข็ง 1 กก. x10 แพ็ค</t>
  </si>
  <si>
    <t>aro FROZEN KIWI SLICED 1 kg x10 Pack</t>
  </si>
  <si>
    <t>เอโร่ กีวีสไลด์ แช่แข็ง 1 กก. x1 แพ็ค</t>
  </si>
  <si>
    <t>aro FROZEN KIWI SLICED 1 kg x1 Pack</t>
  </si>
  <si>
    <t>โกลเด้น แพน น้ำสตรอเบอรีสคอวช 4500 มล. x1 แกลอน</t>
  </si>
  <si>
    <t>Golden Pan Strawberry Squash 4500 ml x1 Gallon</t>
  </si>
  <si>
    <t>เอโร่ น้ำสควอช รสลิ้นจี่ 750 มล. x1 ขวด</t>
  </si>
  <si>
    <t>aro LYCHEE SQUASH 750 ml x1 Bottle</t>
  </si>
  <si>
    <t>เอโร่ น้ำสคอวช รสสตรอเบอรี่ 750 มล. x1 ขวด</t>
  </si>
  <si>
    <t>aro STRAWBERRY SQUASH 750 ml x1 Bottle</t>
  </si>
  <si>
    <t>เอโร่ น้ำสควอซ รสสับปะรด 750 มล. x1 ขวด</t>
  </si>
  <si>
    <t>aro PINEAPPLE SQAUSH 750 ml x1 Bottle</t>
  </si>
  <si>
    <t>เอโร่ น้ำสควอช รสเสาวรส 750 มล. x1 ขวด</t>
  </si>
  <si>
    <t>aro PASSION FRUIT SQUASH 750 ml x1 Bottle</t>
  </si>
  <si>
    <t>เอโร่ น้ำสคอวช รสส้ม 750 มล. x1 ขวด</t>
  </si>
  <si>
    <t>aro ORANGE SQUASH 750 ml x1 Bottle</t>
  </si>
  <si>
    <t>เบิดวิงซ์ ครีมเทียมข้นหวาน 2 กก. x1 ถุง</t>
  </si>
  <si>
    <t>Birdwings SWEETENED CONDENSE 2 kg x1 bag</t>
  </si>
  <si>
    <t>คาร์เนชั่น นมข้นจืด 405 กรัม x6 กระป๋อง</t>
  </si>
  <si>
    <t>Carnation beverage creamer 405 g x6 cans</t>
  </si>
  <si>
    <t>ตราปลาหมึก น้ำปลา 700 มล. x3 ขวด</t>
  </si>
  <si>
    <t>Squid brand FISH SAUCE 700 ml x3 Bottle</t>
  </si>
  <si>
    <t>คิง น้ำมันรำข้าว 1 ลิตร x1 ขวด</t>
  </si>
  <si>
    <t>King RICE BRAN 1 L x1 Bottle</t>
  </si>
  <si>
    <t>ไลปอน น้ำยาล้างจาน กลิ่นชามะนาว 3800 มล. x1 แกลอน</t>
  </si>
  <si>
    <t>Lipon LEMON-LIQUID 3800 ml x1 Gallon</t>
  </si>
  <si>
    <t>เปา ผงซักฟอก 9 กก. x1 ถุง</t>
  </si>
  <si>
    <t>Pao WHITE DETERGENT 9 kg x1 bag</t>
  </si>
  <si>
    <t>เอโร่ น้ำดื่ม 6 ลิตร x1 แกลลอน</t>
  </si>
  <si>
    <t>aro DRINKING WATER 6 L x1 Gallon</t>
  </si>
  <si>
    <t>นอติลุส ทูน่าแซนวิชในน้ำแร่ 185 กรัม x4 กระป๋อง</t>
  </si>
  <si>
    <t>Nautilus TUNA SANDWICH in mineral 185 g x4 Canned</t>
  </si>
  <si>
    <t>ภูเขาทอง ซอสปรุงรส ฝาเขียว 500 ซีซี x6 ขวด</t>
  </si>
  <si>
    <t>Golden Mountain GREEN CAP SAUCE 500 cc. x6 Bottles</t>
  </si>
  <si>
    <t>มาม่า คัพ มะหมี่กึ่งสำเร็จรูป รสต้มยำกุ้ง 60 กรัม x6 ถ้วย</t>
  </si>
  <si>
    <t>Mama CUP Instant noodle TOMYUM KUNG 60 g x6 Cup</t>
  </si>
  <si>
    <t>เป๊ปซี่ เครื่องดื่มน้ำอัดลม 1.26 ลิตร x12 ขวด</t>
  </si>
  <si>
    <t>Pepsi Soft Drink 1.26 L x12 Bottle</t>
  </si>
  <si>
    <t>ครัววังทิพย์ แป้งทอดกรอบ 1000 กรัม x1 ชิ้น</t>
  </si>
  <si>
    <t>KRUAWANGTHIP TEMPURA FLOUR 1000 g x1 pcs</t>
  </si>
  <si>
    <t>เจดีย์คู่ ถั่วลิสงอบกรอบ 90 กรัม x6 ถุง</t>
  </si>
  <si>
    <t>Double Pagoda DOUBLE PAGODA NUT 90 g x6 bag</t>
  </si>
  <si>
    <t>เอโร่ สตอเบอรี่ท๊อปปิ้ง 1.2 กก. x1 ถุง</t>
  </si>
  <si>
    <t>aro TOPPING STRAWBERRY 1.2 kg x1 bag</t>
  </si>
  <si>
    <t>เอโร่ ข้าวโพดปอปคอร์น 1000 กรัม x1 ถุง</t>
  </si>
  <si>
    <t>aro CORN SEED 1000 g x1 bag</t>
  </si>
  <si>
    <t>เป๊ปซี่ เครื่องดื่มน้ำอัดลม สลิมแคน 245 มล. x24 ชิ้น</t>
  </si>
  <si>
    <t>Pepsi Soft drink SLIM CAN 245 ml x24 pcs</t>
  </si>
  <si>
    <t>พิกุลแก้ว ข้าวขาวเสาไห้ 100% 5 กก. x1 ถุง</t>
  </si>
  <si>
    <t>Pikulkaew KHAW WHITE RICE100% 5 kg x1 bag</t>
  </si>
  <si>
    <t>โฟร์โมสต์ โอเมก้า นมยูเอชที รสจืด 180 มล. x6 กล่อง</t>
  </si>
  <si>
    <t>Foremost OMEGA PLAIN 180 ml x6 box</t>
  </si>
  <si>
    <t>นูดดี้ เส้นหมี่อบแห้ง 2700 กรัม x1 ถุง</t>
  </si>
  <si>
    <t>Nooddy Dried Noodle 2700 g x1 bag</t>
  </si>
  <si>
    <t>คาร์เนชัน ครีมเทียม ข้นหวาน ชนิดพร่องไขมัน 388 กรัม x48 กระป๋อง</t>
  </si>
  <si>
    <t>Carnation SBC 388 g x48 Canned</t>
  </si>
  <si>
    <t>มาลี น้ำส้ม แมนดาริน 100% ผสมเนื้อส้ม 1000 มล. x3 กล่อง</t>
  </si>
  <si>
    <t>Malee 100%ORANGE JUICE 1000 ml x3 box</t>
  </si>
  <si>
    <t>คาราบาว เอสเปรสโซ่ กาแฟปรุงรสสำเร็จพร้อมดื่ม 180 มล. x30 กระป๋อง</t>
  </si>
  <si>
    <t>Carabao Espresso drink coffee 180 ml x30 cans</t>
  </si>
  <si>
    <t>ไวตามิ้ลค์ นมถั่วเหลือง ยูเอชที รสออริจินัล 250 มล. x36 กล่อง</t>
  </si>
  <si>
    <t>Vitamilk SOYMILK ORIGINAL 250 ml x36 box</t>
  </si>
  <si>
    <t>ภูเขาทอง น้ำส้ม สายชูกลั่น 5% 5000 ซีซี x1 แกลลอน</t>
  </si>
  <si>
    <t>Golden Mountain VINEGAR 5000 cc. x1 Gallon</t>
  </si>
  <si>
    <t>เอโร่ ซอสหอยนางรม 4500 กรัม x1 แกลลอน</t>
  </si>
  <si>
    <t>aro Oyster Sauce 4500 g x1 Gallon</t>
  </si>
  <si>
    <t>ซูเปอร์ซีเชฟ ปลาแมคเคอเรล ในซอสมะเขือเทศ 155 กรัม x10 กระป๋อง</t>
  </si>
  <si>
    <t>Super-C-Chef MAKEREL in tomato source 155 g x10 Canned</t>
  </si>
  <si>
    <t>ไฮเตอร์ ซักผ้าขาว 2500 มล. x1 แกลลอน</t>
  </si>
  <si>
    <t>Haiter BLEACH 2500 ml x1 Gallon</t>
  </si>
  <si>
    <t>ซิลค์ กระดาษชำระ 48 ม้วน x1 แพ็ค</t>
  </si>
  <si>
    <t>Zilk TOILET ROLL 48 roll x1 Pack</t>
  </si>
  <si>
    <t>จับใจ ชาสมุนไพรจับเลี้ยง 400 มล. x24 ขวด</t>
  </si>
  <si>
    <t>Jub Jai HERBAL WITH 400 ml x24 Bottle</t>
  </si>
  <si>
    <t>ตราจรวด ชุดหม้อสตูว์ 2 ใบ x1 ชุด</t>
  </si>
  <si>
    <t>Rocket ROCKET STEWPORT SET 2 pcs. x1 pcs.</t>
  </si>
  <si>
    <t>เอโร่ นํ้าจิ้มไก่ 5000 กรัม x1 แกลอน</t>
  </si>
  <si>
    <t>aro CHICKEN DIPPING SAUCE 5000 g x1 Gallon</t>
  </si>
  <si>
    <t>ซาติน ที่นอนปิคนิคกุ๊น (คละลาย) 1 ผืน x1 ชิ้น</t>
  </si>
  <si>
    <t>SATIN PICNIC 1 pcs. x1 pcs.</t>
  </si>
  <si>
    <t>แชมเปี้ยน ถุงขยะแบบม้วน 18"x20" กลิ่นแอปเปิ้ล 1 แพ็ค x1 ชิ้น</t>
  </si>
  <si>
    <t>Champion GARBAGE BAGS ON ROLL 18"X20" APPLE 1 Pack x1 pcs.</t>
  </si>
  <si>
    <t>แชมเปี้ยน ถุงขยะแบบม้วน 18"x20" กลิ่นสตรอเบอร์รี่ 1 แพ็ค x1 ชิ้น</t>
  </si>
  <si>
    <t>Champion GARBAGE BAGS ON ROLL 18"X20" STRAWBERRY 1 Pack x1 pcs.</t>
  </si>
  <si>
    <t>แชมเปี้ยน ถุงขยะแบบม้วน 18"x20" กลิ่นมะลิ 1 แพ็ค x1 ชิ้น</t>
  </si>
  <si>
    <t>Champion GARBAGE BAGS ON ROLL 18"X20" JASMINE 1 Pack x1 pcs.</t>
  </si>
  <si>
    <t>แชมเปี้ยน ถุงขยะแบบม้วน 18"x20" กลิ่นส้ม 1 แพ็ค x1 ชิ้น</t>
  </si>
  <si>
    <t>Champion GARBAGE BAGS ON ROLL 18"X20" ORANGE 1 Pack x1 pcs.</t>
  </si>
  <si>
    <t>แชมเปี้ยน ถุงขยะแบบม้วน 24"x28" กลิ่นส้ม 1 แพ็ค x1 ชิ้น</t>
  </si>
  <si>
    <t>Champion GARBAGE BAGS ON ROLL 24"X28" ORANGE 1 Pack x1 pcs.</t>
  </si>
  <si>
    <t>แชมเปี้ยน ถุงขยะแบบม้วน 24"x28" กลิ่นแอปเปิ้ล 1 แพ็ค x1 ชิ้น</t>
  </si>
  <si>
    <t>Champion GARBAGE BAGS ON ROLL 24"X28" APPLE 1 Pack x1 pcs.</t>
  </si>
  <si>
    <t>แชมเปี้ยน ถุงขยะแบบม้วน 24"x28" กลิ่นสตรอเบอร์รี่ 1 แพ็ค x1 ชิ้น</t>
  </si>
  <si>
    <t>Champion GARBAGE BAGS ON ROLL 24"X28" STRAWBERRY 1 Pack x1 pcs.</t>
  </si>
  <si>
    <t>แชมเปี้ยน ถุงขยะแบบม้วน 24"x28" กลิ่นมะลิ 1 แพ็ค x1 ชิ้น</t>
  </si>
  <si>
    <t>Champion GARBAGE BAGS ON ROLL 24"X28" JASMINE 1 Pack x1 pcs.</t>
  </si>
  <si>
    <t>แชมเปี้ยน ถุงขยะแบบม้วน 18"x20" กลิ่นลาเวนเดอร์ 1 แพ็ค x1 ชิ้น</t>
  </si>
  <si>
    <t>Champion GARBAGE BAGS ON ROLL 18"X20" LAVENDER 1 Pack x1 pcs.</t>
  </si>
  <si>
    <t>แชมเปี้ยน ถุงขยะแบบม้วน 24"x28" กลิ่นลาเวนเดอร์ 1 แพ็ค x1 ชิ้น</t>
  </si>
  <si>
    <t>Champion GARBAGE BAGS ON ROLL 24"X28" LAVENDER 1 Pack x1 pcs.</t>
  </si>
  <si>
    <t>เซพแพ็ค ถังน้ำ สีดำ 118 ลิตร #999 1 ใบ x1 ชิ้น</t>
  </si>
  <si>
    <t>Savepak PLASTIC BUCKET 118 L. #999 BLACK 1 pcs. x1 pcs.</t>
  </si>
  <si>
    <t>มหามงคล ชุดถุงทอง 1 ชุด x1 ชิ้น</t>
  </si>
  <si>
    <t>Mahamongkol MONK SET 1 Set x1 pcs.</t>
  </si>
  <si>
    <t>มหามงคล สังฆทานยา กล่องเล็ก 3 กล่อง x1 แพ็ค</t>
  </si>
  <si>
    <t>Mahamongkol SMALL MEDICINE MONK SET 3 box x1 Pack</t>
  </si>
  <si>
    <t>ซาติน หมอนหนุนสูญญากาศ 1 ใบ x1 ชิ้น</t>
  </si>
  <si>
    <t>SATIN PILLOW (VACCUUM PACKING) 1 pcs. x1 pcs.</t>
  </si>
  <si>
    <t>เอโร่ กล่องล้อเลื่อน พร้อมฝาล็อค 43x63x36 ซม. 70.5 ล. 1 ใบ x1 ชิ้น</t>
  </si>
  <si>
    <t>aro PLASTIC CONTAINER+LID 43X63X36 CM. 70.5 L. 1 pcs. x1 pcs.</t>
  </si>
  <si>
    <t>จระเข้ ชุดหม้ออะลูมิเนียม 30-34 ซม. 3 ใบ x1 ชุด</t>
  </si>
  <si>
    <t>Crocodile ALUMINIUM POT SET 30-34 CM. 3 pcs. x1 set</t>
  </si>
  <si>
    <t>เอโร่ ถ้วยน้ำจัมโบ้ พีพี+ฝา ใส 32 ออนซ์ 25 ชุด x1 แพ็ค</t>
  </si>
  <si>
    <t>aro JUMBO PP CUP+LID 32 OZ. 25 Set x1 Pack</t>
  </si>
  <si>
    <t>เอโร่ ถ้วยน้ำจัมโบ้ พีพี+ฝา ลาย 32 ออนซ์ 25 ชุด x1 แพ็ค</t>
  </si>
  <si>
    <t>เอเจ ตู้เย็น 1.6 คิว #RE50COM 1 เครื่อง x1 ชิ้น</t>
  </si>
  <si>
    <t>AJ REFRIGERATOR 1.6 Q. #RE50COM 1 Unit x1 pcs.</t>
  </si>
  <si>
    <t>ชาร์ป หม้อหุงข้าว 5 ลิตร #KSH-D55 1 เครื่อง x1 ชิ้น</t>
  </si>
  <si>
    <t>Sharp RICE COOKER #KSH-D55 5 L. 1 Unit x1 pcs.</t>
  </si>
  <si>
    <t>ซาติน หมอนหนุนใยสังเคราะห์ 19x29 นิ้ว 1 ใบ x1 ชิ้น</t>
  </si>
  <si>
    <t>SATIN PILLOW 19"X29" 1 pcs. x1 pcs.</t>
  </si>
  <si>
    <t>เอโร่ ซุปผงรสหมู 1 กก. x1 ซอง</t>
  </si>
  <si>
    <t>aro PORK POWDER 1 kg x1 pcs.</t>
  </si>
  <si>
    <t>เอโร่ น้ำจิ้มสุกี้สูตรกวางตุ้ง 1 กก. x1 ซอง</t>
  </si>
  <si>
    <t>aro SUKIYAKI SAUCE 1 kg x1 pcs.</t>
  </si>
  <si>
    <t>เอโร่ นักเก็ตไก่ 1 กก. x1 แพ็ค</t>
  </si>
  <si>
    <t>aro FROZEN CHICKEN NUGGET 1 kg x1 Pack</t>
  </si>
  <si>
    <t>เอโร่ นักเก็ตไก่ 1 กก. x10 แพ็ค</t>
  </si>
  <si>
    <t>aro FROZEN CHICKEN NUGGET 1 kg x10 Pack</t>
  </si>
  <si>
    <t>เอโร่ ข้าวหอมคัดพิเศษ 100% 5 กก. x1 แพ็ค</t>
  </si>
  <si>
    <t>aro JASMINE RICE 100% 5 kg x1 Pack</t>
  </si>
  <si>
    <t>เอโร่ น้ำตาลสด 320 มล. x6 ขวด</t>
  </si>
  <si>
    <t>aro COCONUT NECTAR DRINK 320 ml x6 Bottle</t>
  </si>
  <si>
    <t>เอโร่ ซุปผงรสไก่ 1000 กรัม x1 ซอง</t>
  </si>
  <si>
    <t>aro CHICKEN POWDER 1000 g x1 pcs.</t>
  </si>
  <si>
    <t>เอโร่ ไส้กรอกอีสาน 1000 กรัม x1 แพ็ค</t>
  </si>
  <si>
    <t>aro E-SARN SAUSAGE 1000 g x1 Pack</t>
  </si>
  <si>
    <t>เอโร่ เนื้อไก่บด แช่แข็ง 2 กก. x1 แพ็ค</t>
  </si>
  <si>
    <t>aro FROZEN CHICKEN MINCED 2 kg x1 Pack</t>
  </si>
  <si>
    <t>เอโร่ เนื้อไก่บด แช่แข็ง (ยกลัง) 1 แพ็ค x1 ชิ้น</t>
  </si>
  <si>
    <t>aro FROZEN CHICKEN MINCED CARTON 1 Pack x1 pcs.</t>
  </si>
  <si>
    <t>โรซ่า ซอสพริก 1000 กรัม x1 ซอง</t>
  </si>
  <si>
    <t>Roza CHILI SAUCE 1000 g x1 pcs.</t>
  </si>
  <si>
    <t>เอโร่ กระทะเหล็กมีด้ามจับ 14 นิ้ว 1 ใบ x1 ชิ้น</t>
  </si>
  <si>
    <t>aro CATERING WOK 1 pcs. x1 pcs.</t>
  </si>
  <si>
    <t>จระเข้ หม้อด้าม 20 ซม. 1 ใบ x1 ชิ้น</t>
  </si>
  <si>
    <t>Crocodile ALUMINIUM SAUCE PAN 20 CM. 1 pcs. x1 pcs.</t>
  </si>
  <si>
    <t>เอโร่ คอกเทลไก่ 1000 กรัม x1 แพ็ค</t>
  </si>
  <si>
    <t>aro Chicken COCKTAIL 1000 g x1 Pack</t>
  </si>
  <si>
    <t>ฟาร์มฟริต มันฝรั่งแช่แข็ง สเตรทคัท 10 มม. 2 กก. x6 แพ็ค</t>
  </si>
  <si>
    <t>Farm Frites FRENCHFRIES 10 MM. 2 kg x6 Pack</t>
  </si>
  <si>
    <t>ฟาร์มฟริต มันฝรั่งแช่แข็ง สเตรทคัท 10 มม. 2 กก. x1 แพ็ค</t>
  </si>
  <si>
    <t>Farm Frites FRENCHFRIES 10 MM. 2 kg x1 Pack</t>
  </si>
  <si>
    <t>ฟาร์มฟริต มันฝรั่งแช่แข็ง ชูสตริง 7มม. 2 กก. x6 แพ็ค</t>
  </si>
  <si>
    <t>Farm Frites FRENCHFRIES 7 MM. 2 kg x6 Pack</t>
  </si>
  <si>
    <t>ฟาร์มฟริต มันฝรั่งแช่แข็ง ชูสตริง 7มม. 2 กก. x1 แพ็ค</t>
  </si>
  <si>
    <t>Farm Frites FRENCHFRIES 7 MM. 2 kg x1 Pack</t>
  </si>
  <si>
    <t>เคซีเอฟ ไข่แดงเค็ม 25 ฟอง x1 แพ็ค</t>
  </si>
  <si>
    <t>KCF YOLK EGG 25 pcs. x1 Pack</t>
  </si>
  <si>
    <t>เอโร่ หมูยอ 300 กรัม x1 ชิ้น</t>
  </si>
  <si>
    <t>aro PORK STICK BAR 300 g x1 pcs.</t>
  </si>
  <si>
    <t>เด็กสมบูรณ์ ซีอิ๊วดำ สูตร 5 940 มล. x3 ขวด</t>
  </si>
  <si>
    <t>Healthy Boy DARK SOYSAUCE #5 940 ml x3 Bottles</t>
  </si>
  <si>
    <t>เซพแพ็ค ช้อนสั้น พีพี ใส 500 คัน x1 แพ็ค</t>
  </si>
  <si>
    <t>Savepak TRANSPARENT SPOON 500 each x1 Pack</t>
  </si>
  <si>
    <t>เอโร่ ช้อนสั้น พีพี 500 คัน x1 แพ็ค</t>
  </si>
  <si>
    <t>aro SPOON PP WHITE 500 each x1 Pack</t>
  </si>
  <si>
    <t>เซพแพ็ค ช้อนยาว พีพี ใส 100 คัน x1 แพ็ค</t>
  </si>
  <si>
    <t>Savepak LONGSPOON PP 100 each x1 Pack</t>
  </si>
  <si>
    <t>เซพแพ็ค ส้อมยาว พีพี ใส 100 คัน x1 แพ็ค</t>
  </si>
  <si>
    <t>Savepak LONGFORK PP 100 each x1 Pack</t>
  </si>
  <si>
    <t>เอโร่ ช้อนยาว พีเอส 100 คัน x1 แพ็ค</t>
  </si>
  <si>
    <t>aro LONG SPOON PS 100 each x1 Pack</t>
  </si>
  <si>
    <t>เอโร่ ส้อมยาว พีเอส 100 คัน x1 แพ็ค</t>
  </si>
  <si>
    <t>aro FORK PS 100 each x1 Pack</t>
  </si>
  <si>
    <t>พันท้ายนรสิงห์ น้ำจิ้มสุกี้สูตรกวางตุ้ง 330 มล. x6 ขวด</t>
  </si>
  <si>
    <t>Pantainorasingh SUKIYAKI SAUCE 330 ml x6 Bottle</t>
  </si>
  <si>
    <t>เอโร่ ผงชูรส 3 กก. x1 ซอง</t>
  </si>
  <si>
    <t>aro MSG 3 kg x1 pcs.</t>
  </si>
  <si>
    <t>ตราช้อน น้ำปลาพริก 7 กรัม x50 ซอง</t>
  </si>
  <si>
    <t>Spoon FISH SAUCE 7 g x50 pcs.</t>
  </si>
  <si>
    <t>คนแบกกุ้ง น้ำปลาแท้ 4500 มล. x1 แกลลอน</t>
  </si>
  <si>
    <t>Konbakkung FISH SAUCE 4500 ml x1 Gallon</t>
  </si>
  <si>
    <t>เอโร่ คอร์นเฟลค 1000 กรัม x1 แพ็ค</t>
  </si>
  <si>
    <t>aro CORNFLAKE 1000 g x1 Pack</t>
  </si>
  <si>
    <t>เอโร่ น้ำดื่ม 350 มล. x18 ขวด</t>
  </si>
  <si>
    <t>aro DRINKING WATER 350 ml x18 Bottle</t>
  </si>
  <si>
    <t>เอโร่ ผงชูรสแท้ 3000 กรัม x1 ซอง</t>
  </si>
  <si>
    <t>aro MSG 3000 g x1 pcs.</t>
  </si>
  <si>
    <t>เอโร่ ผงชูรสแท้ 1000 กรัม x1 ซอง</t>
  </si>
  <si>
    <t>aro MSG 1000 g x1 pcs.</t>
  </si>
  <si>
    <t>เอโร่ น้ำส้มสายชูกลั่น 5% 10 ลิตร x1 แกลลอน</t>
  </si>
  <si>
    <t>aro DISTILLED VENIGAR 10 L x1 Gallon</t>
  </si>
  <si>
    <t>เอโร่ เส้นสปาเก็ตตี้ 1000 กรัม x1 แพ็ค</t>
  </si>
  <si>
    <t>aro SPAGHETTI 1000 g x1 Pack</t>
  </si>
  <si>
    <t>เอโร่ พาสต้าทรงผีเสื้อ 1000 กรัม x1 แพ็ค</t>
  </si>
  <si>
    <t>aro FARFALLE 1000 g x1 Pack</t>
  </si>
  <si>
    <t>เอโร่ มักกะโรนีข้องอ 1000 กรัม x1 แพ็ค</t>
  </si>
  <si>
    <t>aro MACARONI ELBOW 1000 g x1 Pack</t>
  </si>
  <si>
    <t>เอโร่ มักกะโรนีเกลียว 1000 กรัม x1 แพ็ค</t>
  </si>
  <si>
    <t>aro FUSLLI 1000 g x1 Pack</t>
  </si>
  <si>
    <t>เอโร่ มักกะโรนีเพนเน่ 1000 กรัม x1 แพ็ค</t>
  </si>
  <si>
    <t>aro MACARONI PENNE 1000 g x1 Pack</t>
  </si>
  <si>
    <t>เอโร่ น้ำมันถั่วเหลืองปี๊บ 13.75 ลิตร x1 ชิ้น</t>
  </si>
  <si>
    <t>aro SOYBEAN OIL 13.75 L x1 pcs.</t>
  </si>
  <si>
    <t>เอโร่ ครีมเปรี้ยว 450 กรัม x1 ชิ้น</t>
  </si>
  <si>
    <t>aro SOUR CREAM 450 g x1 pcs.</t>
  </si>
  <si>
    <t>เอโร่ น้ำมะนาวแช่แข็ง 1000 กรัม x1 แพ็ค</t>
  </si>
  <si>
    <t>aro FROZEN LIME 1000 g x1 Pack</t>
  </si>
  <si>
    <t>เอโร่ น้ำมะนาวแช่แข็ง 1000 กรัม x10 แพ็ค</t>
  </si>
  <si>
    <t>aro FROZEN LIME 1000 g x10 Pack</t>
  </si>
  <si>
    <t>เอโร่ บาโลน่าหมู 1000 กรัม x1 แพ็ค</t>
  </si>
  <si>
    <t>aro BOLOGNA 1000 g x1 Pack</t>
  </si>
  <si>
    <t>เอโร่ บาโลน่าหมูพริก 1000 กรัม x1 แพ็ค</t>
  </si>
  <si>
    <t>aro CHILI BOLOGNA 1000 g x1 Pack</t>
  </si>
  <si>
    <t>เป๊ปซี่ เครื่องดื่มน้ำอัดลม 430 มล. x24 ขวด</t>
  </si>
  <si>
    <t>Pepsi SOFT DRINK 430 ml x24 Bottles</t>
  </si>
  <si>
    <t>แอลจี เครื่องซักผ้า 13 กก. 2 ถัง #WP-1650ROT 1 เครื่อง x1 ชิ้น</t>
  </si>
  <si>
    <t>LG WASHING MACHINE 13 KG. #WP-1650ROT 1 Unit x1 pcs.</t>
  </si>
  <si>
    <t>ฟิลิปส์ เตารีดไอน้ำ #GC-1018 1 เครื่อง x1 ชิ้น</t>
  </si>
  <si>
    <t>Philips STREAM IRON #GC-1018 1 Unit x1 pcs.</t>
  </si>
  <si>
    <t>บีแมน ม็อบเพาเวอร์ อะลูมิเนียม 10 นิ้ว 2 ด้าม x1 แพ็ค</t>
  </si>
  <si>
    <t>Be Man POWER MOP 10" 2 pcs. x1 Pack</t>
  </si>
  <si>
    <t>ฟิลิปส์ เตารีดแห้ง เคลือบเทฟล่อน #GC-160 1 เครื่อง x1 ชิ้น</t>
  </si>
  <si>
    <t>Philips DRY IRON TEFLON #GC-160 1 Unit x1 pcs.</t>
  </si>
  <si>
    <t>โปรเทค เตารีดไอน้ำ #HD-210/208 1 เครื่อง x1 ชิ้น</t>
  </si>
  <si>
    <t>Protech STEAM IRON #HD-210/208 1 Unit x1 pcs.</t>
  </si>
  <si>
    <t>ชาร์ป เตารีด #AM-P455 1 เครื่อง x1 ชิ้น</t>
  </si>
  <si>
    <t>Sharp IRON #AM-P455 1 Unit x1 pcs.</t>
  </si>
  <si>
    <t>เจ.ซี.เจ. ตะกร้าผ้าทรงเตี้ย #2157 1 ใบ x1 ชิ้น</t>
  </si>
  <si>
    <t>JCJ SHORT BASKET #2157 1 pcs. x1 pcs.</t>
  </si>
  <si>
    <t>เจ.ซี.เจ. ตะกร้าผ้าทรงสูง #2158 1 ใบ x1 ชิ้น</t>
  </si>
  <si>
    <t>JCJ HIGH BASKET #2158 1 pcs. x1 pcs.</t>
  </si>
  <si>
    <t>ซันซิล ครีมนวดผม สีชมพู 60 มล. x6 ขวด</t>
  </si>
  <si>
    <t>Sunsilk CONDITIONER PINK 60 ml x6 pcs.</t>
  </si>
  <si>
    <t>ซันซิล แชมพู สีส้ม 70 มล. x6 ขวด</t>
  </si>
  <si>
    <t>Sunsilk SHAMPOO ORANGE 70 ml x6 pcs.</t>
  </si>
  <si>
    <t>unit</t>
  </si>
  <si>
    <t>pill</t>
  </si>
  <si>
    <t>cc</t>
  </si>
  <si>
    <t>inche</t>
  </si>
  <si>
    <t>bar</t>
  </si>
  <si>
    <t>pair</t>
  </si>
  <si>
    <t>gal</t>
  </si>
  <si>
    <t>cm</t>
  </si>
  <si>
    <t>ม.</t>
  </si>
  <si>
    <t>m</t>
  </si>
  <si>
    <t>ft3</t>
  </si>
  <si>
    <t>แก้ว</t>
  </si>
  <si>
    <t>กระปุก</t>
  </si>
  <si>
    <t>pot</t>
  </si>
  <si>
    <t>ถัง</t>
  </si>
  <si>
    <t>tank</t>
  </si>
  <si>
    <t>ลดสูงสุดถึง 10%</t>
  </si>
  <si>
    <t>Save up to 10% off</t>
  </si>
  <si>
    <t>ลดสูงสุดถึง 45%</t>
  </si>
  <si>
    <t>Save up to 45% off</t>
  </si>
  <si>
    <t>Save 45% off</t>
  </si>
  <si>
    <t>LongBeach Syrup</t>
  </si>
  <si>
    <t>ลองบีชไซรัป</t>
  </si>
  <si>
    <t>sack</t>
  </si>
  <si>
    <t>panel</t>
  </si>
  <si>
    <t>LVL1</t>
  </si>
  <si>
    <t>LVL0</t>
  </si>
  <si>
    <t>LVL2no.</t>
  </si>
  <si>
    <t>LVL1no.</t>
  </si>
  <si>
    <t>LVL0no.</t>
  </si>
  <si>
    <t>LVno</t>
  </si>
  <si>
    <t>รังนก/โสม</t>
  </si>
  <si>
    <t>เครื่องดื่มผสมคอลลาเจน/วิตามินใยอาหาร</t>
  </si>
  <si>
    <t>Item NO.</t>
  </si>
  <si>
    <t>Category (Thai)</t>
  </si>
  <si>
    <t>Desc TH</t>
  </si>
  <si>
    <t>Desc EN</t>
  </si>
  <si>
    <t>Name TH</t>
  </si>
  <si>
    <t>Name EN</t>
  </si>
  <si>
    <t>X</t>
  </si>
  <si>
    <t>Special Type</t>
  </si>
  <si>
    <t>Discount Price</t>
  </si>
  <si>
    <t>End_date</t>
  </si>
  <si>
    <t>Store ID :  ECO|Classic</t>
  </si>
  <si>
    <t>Tag (EN)</t>
  </si>
  <si>
    <t>estimate_profit</t>
  </si>
  <si>
    <t>color (en)</t>
  </si>
  <si>
    <t>color (th)</t>
  </si>
  <si>
    <t>size (us)</t>
  </si>
  <si>
    <t>size (th)</t>
  </si>
  <si>
    <t>taste (en)</t>
  </si>
  <si>
    <t>taste (th)</t>
  </si>
  <si>
    <t>resolution</t>
  </si>
  <si>
    <t>wide</t>
  </si>
  <si>
    <t>long</t>
  </si>
  <si>
    <t>high</t>
  </si>
  <si>
    <t>shape (en)</t>
  </si>
  <si>
    <t>Shape (th)</t>
  </si>
  <si>
    <t>material</t>
  </si>
  <si>
    <t>fabric</t>
  </si>
  <si>
    <t>gender</t>
  </si>
  <si>
    <t>age_group</t>
  </si>
  <si>
    <t>cerfitication</t>
  </si>
  <si>
    <t>applied_for</t>
  </si>
  <si>
    <t>skin_type</t>
  </si>
  <si>
    <t>concerns</t>
  </si>
  <si>
    <t>preferences</t>
  </si>
  <si>
    <t>network</t>
  </si>
  <si>
    <t>memory</t>
  </si>
  <si>
    <t>connectivity</t>
  </si>
  <si>
    <t>capacity</t>
  </si>
  <si>
    <t>os</t>
  </si>
  <si>
    <t>fragile</t>
  </si>
  <si>
    <t>Freeze</t>
  </si>
  <si>
    <t>payment by creditcard</t>
  </si>
  <si>
    <t>pament by installment</t>
  </si>
  <si>
    <t>payment by wallet</t>
  </si>
  <si>
    <t>payment by payatstore</t>
  </si>
  <si>
    <t>Promo id</t>
  </si>
  <si>
    <t>item_id</t>
  </si>
  <si>
    <t>mongo_id</t>
  </si>
  <si>
    <t>prod_cat</t>
  </si>
  <si>
    <t>biz_cat</t>
  </si>
  <si>
    <t>brand</t>
  </si>
  <si>
    <t>type</t>
  </si>
  <si>
    <t>product</t>
  </si>
  <si>
    <t>business</t>
  </si>
  <si>
    <t>595f8141935f650021100881</t>
  </si>
  <si>
    <t>595f8141935f650021100882</t>
  </si>
  <si>
    <t>595f8141935f650021100883</t>
  </si>
  <si>
    <t>595f8141935f650021100884</t>
  </si>
  <si>
    <t>595f8141935f650021100885</t>
  </si>
  <si>
    <t>595f8141935f650021100886</t>
  </si>
  <si>
    <t>595f8141935f650021100887</t>
  </si>
  <si>
    <t>595f8140935f650021100862</t>
  </si>
  <si>
    <t>595f8140935f650021100863</t>
  </si>
  <si>
    <t>595f8140935f650021100864</t>
  </si>
  <si>
    <t>595f8140935f650021100865</t>
  </si>
  <si>
    <t>595f8140935f650021100866</t>
  </si>
  <si>
    <t>595f8140935f650021100867</t>
  </si>
  <si>
    <t>595f8140935f650021100868</t>
  </si>
  <si>
    <t>595f8140935f650021100869</t>
  </si>
  <si>
    <t>595f8140935f65002110086a</t>
  </si>
  <si>
    <t>595f8140935f65002110086b</t>
  </si>
  <si>
    <t>595f8140935f65002110086c</t>
  </si>
  <si>
    <t>595f8140935f65002110086d</t>
  </si>
  <si>
    <t>595f8140935f65002110086e</t>
  </si>
  <si>
    <t>595f8140935f65002110086f</t>
  </si>
  <si>
    <t>595f8140935f650021100870</t>
  </si>
  <si>
    <t>595f8140935f650021100871</t>
  </si>
  <si>
    <t>595f8141935f650021100872</t>
  </si>
  <si>
    <t>595f8141935f650021100873</t>
  </si>
  <si>
    <t>595f8141935f650021100874</t>
  </si>
  <si>
    <t>595f8141935f650021100875</t>
  </si>
  <si>
    <t>595f8141935f650021100876</t>
  </si>
  <si>
    <t>595f8141935f650021100877</t>
  </si>
  <si>
    <t>595f8141935f650021100878</t>
  </si>
  <si>
    <t>595f8141935f650021100879</t>
  </si>
  <si>
    <t>595f8141935f65002110087a</t>
  </si>
  <si>
    <t>595f8141935f65002110087b</t>
  </si>
  <si>
    <t>595f8141935f65002110087c</t>
  </si>
  <si>
    <t>595f8141935f65002110087d</t>
  </si>
  <si>
    <t>595f8141935f65002110087e</t>
  </si>
  <si>
    <t>595f8141935f65002110087f</t>
  </si>
  <si>
    <t>595f8141935f650021100880</t>
  </si>
  <si>
    <t>595f813f935f6500211007e3</t>
  </si>
  <si>
    <t>595f813f935f6500211007e4</t>
  </si>
  <si>
    <t>595f813f935f6500211007e5</t>
  </si>
  <si>
    <t>595f813f935f6500211007e6</t>
  </si>
  <si>
    <t>595f813f935f6500211007e7</t>
  </si>
  <si>
    <t>595f813f935f6500211007e8</t>
  </si>
  <si>
    <t>595f813f935f6500211007e9</t>
  </si>
  <si>
    <t>595f813f935f6500211007ea</t>
  </si>
  <si>
    <t>595f813f935f6500211007eb</t>
  </si>
  <si>
    <t>595f813f935f6500211007ec</t>
  </si>
  <si>
    <t>595f813f935f6500211007ed</t>
  </si>
  <si>
    <t>595f813f935f6500211007ee</t>
  </si>
  <si>
    <t>595f813f935f6500211007ef</t>
  </si>
  <si>
    <t>595f813f935f6500211007f0</t>
  </si>
  <si>
    <t>595f813f935f6500211007f1</t>
  </si>
  <si>
    <t>595f813f935f6500211007f2</t>
  </si>
  <si>
    <t>595f813f935f6500211007f3</t>
  </si>
  <si>
    <t>595f813f935f6500211007f4</t>
  </si>
  <si>
    <t>59141fc5b21a1d00824f515f</t>
  </si>
  <si>
    <t>595f813f935f6500211007f5</t>
  </si>
  <si>
    <t>595f813f935f6500211007f6</t>
  </si>
  <si>
    <t>595f813f935f6500211007f7</t>
  </si>
  <si>
    <t>595f813f935f6500211007f8</t>
  </si>
  <si>
    <t>595f813f935f6500211007f9</t>
  </si>
  <si>
    <t>595f813f935f6500211007fa</t>
  </si>
  <si>
    <t>595f813f935f6500211007fb</t>
  </si>
  <si>
    <t>595f813f935f6500211007fc</t>
  </si>
  <si>
    <t>595f813f935f6500211007fd</t>
  </si>
  <si>
    <t>595f813f935f6500211007fe</t>
  </si>
  <si>
    <t>595f813f935f6500211007ff</t>
  </si>
  <si>
    <t>595f813f935f650021100800</t>
  </si>
  <si>
    <t>595f813f935f650021100801</t>
  </si>
  <si>
    <t>595f813f935f650021100802</t>
  </si>
  <si>
    <t>595f813f935f650021100803</t>
  </si>
  <si>
    <t>595f813f935f650021100804</t>
  </si>
  <si>
    <t>595f813f935f650021100805</t>
  </si>
  <si>
    <t>595f813f935f650021100806</t>
  </si>
  <si>
    <t>595f813f935f650021100807</t>
  </si>
  <si>
    <t>595f813f935f650021100808</t>
  </si>
  <si>
    <t>595f813f935f650021100809</t>
  </si>
  <si>
    <t>595f813f935f65002110080a</t>
  </si>
  <si>
    <t>595f813f935f65002110080b</t>
  </si>
  <si>
    <t>595f813f935f65002110080c</t>
  </si>
  <si>
    <t>595f813f935f65002110080d</t>
  </si>
  <si>
    <t>595f813f935f65002110080e</t>
  </si>
  <si>
    <t>595f8140935f65002110080f</t>
  </si>
  <si>
    <t>595f8140935f650021100810</t>
  </si>
  <si>
    <t>595f8140935f650021100811</t>
  </si>
  <si>
    <t>595f8140935f650021100812</t>
  </si>
  <si>
    <t>595f8140935f650021100813</t>
  </si>
  <si>
    <t>595f8140935f650021100814</t>
  </si>
  <si>
    <t>595f8140935f650021100815</t>
  </si>
  <si>
    <t>595f8140935f650021100816</t>
  </si>
  <si>
    <t>595f8140935f650021100817</t>
  </si>
  <si>
    <t>595f8140935f650021100818</t>
  </si>
  <si>
    <t>595f8140935f650021100819</t>
  </si>
  <si>
    <t>595f8140935f65002110081a</t>
  </si>
  <si>
    <t>595f8140935f65002110081b</t>
  </si>
  <si>
    <t>595f8140935f65002110081c</t>
  </si>
  <si>
    <t>595f8140935f65002110081d</t>
  </si>
  <si>
    <t>595f8140935f65002110081e</t>
  </si>
  <si>
    <t>595f8140935f65002110081f</t>
  </si>
  <si>
    <t>595f8140935f650021100820</t>
  </si>
  <si>
    <t>595f8140935f650021100822</t>
  </si>
  <si>
    <t>595f8140935f650021100823</t>
  </si>
  <si>
    <t>595f8140935f650021100824</t>
  </si>
  <si>
    <t>595f8140935f650021100825</t>
  </si>
  <si>
    <t>595f8140935f650021100826</t>
  </si>
  <si>
    <t>595f8140935f650021100827</t>
  </si>
  <si>
    <t>595f8140935f650021100828</t>
  </si>
  <si>
    <t>595f8140935f650021100829</t>
  </si>
  <si>
    <t>595f8140935f65002110082a</t>
  </si>
  <si>
    <t>595f8140935f65002110082b</t>
  </si>
  <si>
    <t>595f8140935f65002110082c</t>
  </si>
  <si>
    <t>595f8140935f65002110082d</t>
  </si>
  <si>
    <t>595f8140935f65002110082e</t>
  </si>
  <si>
    <t>595f8140935f65002110082f</t>
  </si>
  <si>
    <t>595f8140935f650021100830</t>
  </si>
  <si>
    <t>595f8140935f650021100831</t>
  </si>
  <si>
    <t>595f8140935f650021100832</t>
  </si>
  <si>
    <t>595f8140935f650021100833</t>
  </si>
  <si>
    <t>595f8140935f650021100834</t>
  </si>
  <si>
    <t>595f8140935f650021100835</t>
  </si>
  <si>
    <t>595f8140935f650021100836</t>
  </si>
  <si>
    <t>595f8140935f650021100837</t>
  </si>
  <si>
    <t>595f8140935f650021100838</t>
  </si>
  <si>
    <t>595f8140935f650021100839</t>
  </si>
  <si>
    <t>595f8140935f65002110083a</t>
  </si>
  <si>
    <t>595f8140935f65002110083b</t>
  </si>
  <si>
    <t>595f8140935f65002110083c</t>
  </si>
  <si>
    <t>595f8140935f65002110083d</t>
  </si>
  <si>
    <t>595f8140935f65002110083e</t>
  </si>
  <si>
    <t>595f8140935f65002110083f</t>
  </si>
  <si>
    <t>595f8140935f650021100840</t>
  </si>
  <si>
    <t>595f8140935f650021100841</t>
  </si>
  <si>
    <t>595f8140935f650021100842</t>
  </si>
  <si>
    <t>595f8140935f650021100843</t>
  </si>
  <si>
    <t>595f8140935f650021100844</t>
  </si>
  <si>
    <t>595f8140935f650021100845</t>
  </si>
  <si>
    <t>595f8140935f650021100846</t>
  </si>
  <si>
    <t>595f8140935f650021100847</t>
  </si>
  <si>
    <t>595f8140935f650021100848</t>
  </si>
  <si>
    <t>595f8140935f650021100849</t>
  </si>
  <si>
    <t>595f8140935f65002110084a</t>
  </si>
  <si>
    <t>595f8140935f65002110084b</t>
  </si>
  <si>
    <t>595f8140935f65002110084c</t>
  </si>
  <si>
    <t>595f8140935f65002110084d</t>
  </si>
  <si>
    <t>595f8140935f65002110084e</t>
  </si>
  <si>
    <t>595f8140935f65002110084f</t>
  </si>
  <si>
    <t>595f8140935f650021100850</t>
  </si>
  <si>
    <t>595f8140935f650021100851</t>
  </si>
  <si>
    <t>595f8140935f650021100852</t>
  </si>
  <si>
    <t>595f8140935f650021100853</t>
  </si>
  <si>
    <t>595f8140935f650021100854</t>
  </si>
  <si>
    <t>595f8140935f650021100855</t>
  </si>
  <si>
    <t>595f8140935f650021100856</t>
  </si>
  <si>
    <t>595f8140935f650021100857</t>
  </si>
  <si>
    <t>595f8140935f650021100858</t>
  </si>
  <si>
    <t>595f8140935f650021100859</t>
  </si>
  <si>
    <t>595f8140935f65002110085a</t>
  </si>
  <si>
    <t>595f8140935f65002110085b</t>
  </si>
  <si>
    <t>595f8140935f65002110085c</t>
  </si>
  <si>
    <t>595f8140935f65002110085d</t>
  </si>
  <si>
    <t>595f8140935f65002110085e</t>
  </si>
  <si>
    <t>595f8140935f65002110085f</t>
  </si>
  <si>
    <t>595f8140935f650021100860</t>
  </si>
  <si>
    <t>595f8140935f650021100861</t>
  </si>
  <si>
    <t>595f813b935f6500211006b2</t>
  </si>
  <si>
    <t>595f813b935f6500211006b3</t>
  </si>
  <si>
    <t>595f813b935f6500211006b4</t>
  </si>
  <si>
    <t>595f813b935f6500211006b5</t>
  </si>
  <si>
    <t>595f813b935f6500211006b6</t>
  </si>
  <si>
    <t>595f813b935f6500211006b7</t>
  </si>
  <si>
    <t>59141fffb21a1d00824f5ee8</t>
  </si>
  <si>
    <t>595f813b935f6500211006b8</t>
  </si>
  <si>
    <t>595f813b935f6500211006b9</t>
  </si>
  <si>
    <t>595f813b935f6500211006ba</t>
  </si>
  <si>
    <t>595f813b935f6500211006bb</t>
  </si>
  <si>
    <t>595f813b935f6500211006bc</t>
  </si>
  <si>
    <t>595f813b935f6500211006bd</t>
  </si>
  <si>
    <t>595f813b935f6500211006be</t>
  </si>
  <si>
    <t>595f813b935f6500211006bf</t>
  </si>
  <si>
    <t>595f813b935f6500211006c0</t>
  </si>
  <si>
    <t>595f813b935f6500211006c1</t>
  </si>
  <si>
    <t>595f813b935f6500211006c2</t>
  </si>
  <si>
    <t>595f813b935f6500211006c3</t>
  </si>
  <si>
    <t>595f813b935f6500211006c4</t>
  </si>
  <si>
    <t>595f813b935f6500211006c5</t>
  </si>
  <si>
    <t>595f813b935f6500211006c6</t>
  </si>
  <si>
    <t>595f813b935f6500211006c7</t>
  </si>
  <si>
    <t>595f813b935f6500211006c8</t>
  </si>
  <si>
    <t>595f813b935f6500211006c9</t>
  </si>
  <si>
    <t>595f813b935f6500211006ca</t>
  </si>
  <si>
    <t>595f813b935f6500211006cb</t>
  </si>
  <si>
    <t>595f813b935f6500211006cc</t>
  </si>
  <si>
    <t>595f813b935f6500211006cd</t>
  </si>
  <si>
    <t>595f813b935f6500211006ce</t>
  </si>
  <si>
    <t>595f813b935f6500211006cf</t>
  </si>
  <si>
    <t>595f813b935f6500211006d0</t>
  </si>
  <si>
    <t>595f813b935f6500211006d1</t>
  </si>
  <si>
    <t>595f813b935f6500211006d2</t>
  </si>
  <si>
    <t>595f813c935f6500211006d3</t>
  </si>
  <si>
    <t>595f813c935f6500211006d4</t>
  </si>
  <si>
    <t>595f813c935f6500211006d5</t>
  </si>
  <si>
    <t>595f813c935f6500211006d6</t>
  </si>
  <si>
    <t>595f813c935f6500211006d7</t>
  </si>
  <si>
    <t>595f813c935f6500211006d8</t>
  </si>
  <si>
    <t>595f813c935f6500211006d9</t>
  </si>
  <si>
    <t>595f813c935f6500211006da</t>
  </si>
  <si>
    <t>595f813c935f6500211006db</t>
  </si>
  <si>
    <t>595f813c935f6500211006dc</t>
  </si>
  <si>
    <t>595f813c935f6500211006dd</t>
  </si>
  <si>
    <t>595f813c935f6500211006de</t>
  </si>
  <si>
    <t>595f813c935f6500211006df</t>
  </si>
  <si>
    <t>595f813c935f6500211006e0</t>
  </si>
  <si>
    <t>595f813c935f6500211006e1</t>
  </si>
  <si>
    <t>595f813c935f6500211006e2</t>
  </si>
  <si>
    <t>595f813c935f6500211006e3</t>
  </si>
  <si>
    <t>595f813c935f6500211006e4</t>
  </si>
  <si>
    <t>595f813c935f6500211006e5</t>
  </si>
  <si>
    <t>595f813c935f6500211006e6</t>
  </si>
  <si>
    <t>595f813c935f6500211006e7</t>
  </si>
  <si>
    <t>595f813c935f6500211006e8</t>
  </si>
  <si>
    <t>595f813c935f6500211006e9</t>
  </si>
  <si>
    <t>595f813c935f6500211006ea</t>
  </si>
  <si>
    <t>595f813c935f6500211006eb</t>
  </si>
  <si>
    <t>595f813c935f6500211006ec</t>
  </si>
  <si>
    <t>595f813c935f6500211006ed</t>
  </si>
  <si>
    <t>595f813c935f6500211006ee</t>
  </si>
  <si>
    <t>595f813c935f6500211006ef</t>
  </si>
  <si>
    <t>595f813c935f6500211006f0</t>
  </si>
  <si>
    <t>595f813c935f6500211006f1</t>
  </si>
  <si>
    <t>595f813c935f6500211006f2</t>
  </si>
  <si>
    <t>595f813c935f6500211006f3</t>
  </si>
  <si>
    <t>595f813c935f6500211006f4</t>
  </si>
  <si>
    <t>595f813c935f6500211006f5</t>
  </si>
  <si>
    <t>595f813c935f6500211006f6</t>
  </si>
  <si>
    <t>595f813c935f6500211006f7</t>
  </si>
  <si>
    <t>595f813c935f6500211006f8</t>
  </si>
  <si>
    <t>595f813c935f6500211006f9</t>
  </si>
  <si>
    <t>595f813c935f6500211006fa</t>
  </si>
  <si>
    <t>595f813c935f6500211006fb</t>
  </si>
  <si>
    <t>595f813c935f6500211006fc</t>
  </si>
  <si>
    <t>595f813c935f6500211006fd</t>
  </si>
  <si>
    <t>595f813c935f6500211006fe</t>
  </si>
  <si>
    <t>595f813c935f6500211006ff</t>
  </si>
  <si>
    <t>595f813c935f650021100700</t>
  </si>
  <si>
    <t>595f813c935f650021100701</t>
  </si>
  <si>
    <t>595f813c935f650021100702</t>
  </si>
  <si>
    <t>595f813c935f650021100703</t>
  </si>
  <si>
    <t>595f813c935f650021100704</t>
  </si>
  <si>
    <t>595f813c935f650021100705</t>
  </si>
  <si>
    <t>595f813c935f650021100706</t>
  </si>
  <si>
    <t>595f813c935f650021100707</t>
  </si>
  <si>
    <t>595f813c935f650021100708</t>
  </si>
  <si>
    <t>595f813c935f650021100709</t>
  </si>
  <si>
    <t>595f813c935f65002110070a</t>
  </si>
  <si>
    <t>595f813c935f65002110070b</t>
  </si>
  <si>
    <t>595f813c935f65002110070c</t>
  </si>
  <si>
    <t>595f813c935f65002110070d</t>
  </si>
  <si>
    <t>595f813c935f65002110070e</t>
  </si>
  <si>
    <t>595f813c935f65002110070f</t>
  </si>
  <si>
    <t>595f813c935f650021100710</t>
  </si>
  <si>
    <t>595f813c935f650021100711</t>
  </si>
  <si>
    <t>595f813c935f650021100712</t>
  </si>
  <si>
    <t>595f813c935f650021100713</t>
  </si>
  <si>
    <t>595f813c935f650021100714</t>
  </si>
  <si>
    <t>595f813c935f650021100715</t>
  </si>
  <si>
    <t>595f813c935f650021100716</t>
  </si>
  <si>
    <t>595f813c935f650021100717</t>
  </si>
  <si>
    <t>595f813c935f650021100718</t>
  </si>
  <si>
    <t>595f813c935f650021100719</t>
  </si>
  <si>
    <t>595f813c935f65002110071a</t>
  </si>
  <si>
    <t>595f813c935f65002110071b</t>
  </si>
  <si>
    <t>595f813c935f65002110071c</t>
  </si>
  <si>
    <t>595f813c935f65002110071d</t>
  </si>
  <si>
    <t>595f813c935f65002110071e</t>
  </si>
  <si>
    <t>595f813c935f65002110071f</t>
  </si>
  <si>
    <t>595f813c935f650021100720</t>
  </si>
  <si>
    <t>595f813c935f650021100721</t>
  </si>
  <si>
    <t>595f813c935f650021100722</t>
  </si>
  <si>
    <t>595f813c935f650021100723</t>
  </si>
  <si>
    <t>595f813c935f650021100724</t>
  </si>
  <si>
    <t>595f813c935f650021100725</t>
  </si>
  <si>
    <t>59141fffb21a1d00824f5ee3</t>
  </si>
  <si>
    <t>5914201ab21a1d00824f6413</t>
  </si>
  <si>
    <t>59141fd9b21a1d00824f55c7</t>
  </si>
  <si>
    <t>595f813c935f650021100726</t>
  </si>
  <si>
    <t>595f813c935f650021100727</t>
  </si>
  <si>
    <t>595f813c935f650021100728</t>
  </si>
  <si>
    <t>59142009b21a1d00824f60c1</t>
  </si>
  <si>
    <t>595f813c935f650021100729</t>
  </si>
  <si>
    <t>595f813d935f65002110072a</t>
  </si>
  <si>
    <t>595f813d935f65002110072b</t>
  </si>
  <si>
    <t>595f813d935f65002110072c</t>
  </si>
  <si>
    <t>5914200eb21a1d00824f61a3</t>
  </si>
  <si>
    <t>59142002b21a1d00824f5f88</t>
  </si>
  <si>
    <t>595f813d935f65002110072d</t>
  </si>
  <si>
    <t>59142009b21a1d00824f60d6</t>
  </si>
  <si>
    <t>595f813d935f65002110072e</t>
  </si>
  <si>
    <t>595f813d935f65002110072f</t>
  </si>
  <si>
    <t>595f813d935f650021100730</t>
  </si>
  <si>
    <t>595f813d935f650021100731</t>
  </si>
  <si>
    <t>595f813d935f650021100732</t>
  </si>
  <si>
    <t>595f813d935f650021100733</t>
  </si>
  <si>
    <t>595f813d935f650021100734</t>
  </si>
  <si>
    <t>595f813d935f650021100735</t>
  </si>
  <si>
    <t>595f813d935f650021100736</t>
  </si>
  <si>
    <t>595f813d935f650021100737</t>
  </si>
  <si>
    <t>595f813d935f650021100738</t>
  </si>
  <si>
    <t>595f813d935f650021100739</t>
  </si>
  <si>
    <t>595f813d935f65002110073a</t>
  </si>
  <si>
    <t>595f813d935f65002110073b</t>
  </si>
  <si>
    <t>59141fefb21a1d00824f5ab9</t>
  </si>
  <si>
    <t>595f813d935f65002110073c</t>
  </si>
  <si>
    <t>595f813d935f65002110073d</t>
  </si>
  <si>
    <t>595f813d935f65002110073e</t>
  </si>
  <si>
    <t>595f813d935f65002110073f</t>
  </si>
  <si>
    <t>595f813d935f650021100740</t>
  </si>
  <si>
    <t>595f813d935f650021100741</t>
  </si>
  <si>
    <t>595f813d935f650021100742</t>
  </si>
  <si>
    <t>595f813d935f650021100743</t>
  </si>
  <si>
    <t>595f813d935f650021100744</t>
  </si>
  <si>
    <t>595f813d935f650021100745</t>
  </si>
  <si>
    <t>595f813d935f650021100746</t>
  </si>
  <si>
    <t>595f813d935f650021100747</t>
  </si>
  <si>
    <t>595f813d935f650021100748</t>
  </si>
  <si>
    <t>595f813d935f650021100749</t>
  </si>
  <si>
    <t>595f813d935f65002110074a</t>
  </si>
  <si>
    <t>595f813d935f65002110074b</t>
  </si>
  <si>
    <t>595f813d935f65002110074c</t>
  </si>
  <si>
    <t>595f813d935f65002110074d</t>
  </si>
  <si>
    <t>595f813d935f65002110074e</t>
  </si>
  <si>
    <t>595f813d935f65002110074f</t>
  </si>
  <si>
    <t>595f813d935f650021100750</t>
  </si>
  <si>
    <t>595f813d935f650021100751</t>
  </si>
  <si>
    <t>595f813d935f650021100752</t>
  </si>
  <si>
    <t>595f813d935f650021100753</t>
  </si>
  <si>
    <t>595f813d935f650021100754</t>
  </si>
  <si>
    <t>595f813d935f650021100755</t>
  </si>
  <si>
    <t>595f813d935f650021100756</t>
  </si>
  <si>
    <t>595f813d935f650021100757</t>
  </si>
  <si>
    <t>595f813d935f650021100758</t>
  </si>
  <si>
    <t>595f813d935f650021100759</t>
  </si>
  <si>
    <t>595f813d935f65002110075a</t>
  </si>
  <si>
    <t>595f813d935f65002110075b</t>
  </si>
  <si>
    <t>595f813d935f65002110075c</t>
  </si>
  <si>
    <t>595f813d935f65002110075d</t>
  </si>
  <si>
    <t>595f813d935f65002110075e</t>
  </si>
  <si>
    <t>595f813d935f65002110075f</t>
  </si>
  <si>
    <t>595f813d935f650021100760</t>
  </si>
  <si>
    <t>595f813d935f650021100761</t>
  </si>
  <si>
    <t>595f813d935f650021100762</t>
  </si>
  <si>
    <t>595f813d935f650021100763</t>
  </si>
  <si>
    <t>595f813d935f650021100764</t>
  </si>
  <si>
    <t>595f813d935f650021100765</t>
  </si>
  <si>
    <t>595f813d935f650021100766</t>
  </si>
  <si>
    <t>595f813d935f650021100767</t>
  </si>
  <si>
    <t>595f813d935f650021100768</t>
  </si>
  <si>
    <t>595f813d935f650021100769</t>
  </si>
  <si>
    <t>595f813d935f65002110076a</t>
  </si>
  <si>
    <t>595f813d935f65002110076b</t>
  </si>
  <si>
    <t>595f813d935f65002110076c</t>
  </si>
  <si>
    <t>595f813d935f65002110076d</t>
  </si>
  <si>
    <t>595f813d935f65002110076e</t>
  </si>
  <si>
    <t>595f813d935f65002110076f</t>
  </si>
  <si>
    <t>595f813d935f650021100770</t>
  </si>
  <si>
    <t>595f813d935f650021100771</t>
  </si>
  <si>
    <t>595f813d935f650021100772</t>
  </si>
  <si>
    <t>595f813d935f650021100773</t>
  </si>
  <si>
    <t>595f813d935f650021100774</t>
  </si>
  <si>
    <t>595f813d935f650021100775</t>
  </si>
  <si>
    <t>595f813d935f650021100776</t>
  </si>
  <si>
    <t>595f813d935f650021100777</t>
  </si>
  <si>
    <t>595f813d935f650021100778</t>
  </si>
  <si>
    <t>595f813d935f650021100779</t>
  </si>
  <si>
    <t>595f813d935f65002110077a</t>
  </si>
  <si>
    <t>595f813d935f65002110077b</t>
  </si>
  <si>
    <t>595f813d935f65002110077c</t>
  </si>
  <si>
    <t>595f813d935f65002110077d</t>
  </si>
  <si>
    <t>595f813d935f65002110077e</t>
  </si>
  <si>
    <t>595f813d935f65002110077f</t>
  </si>
  <si>
    <t>595f813d935f650021100780</t>
  </si>
  <si>
    <t>595f813e935f650021100781</t>
  </si>
  <si>
    <t>595f813e935f650021100782</t>
  </si>
  <si>
    <t>595f813e935f650021100783</t>
  </si>
  <si>
    <t>595f813e935f650021100784</t>
  </si>
  <si>
    <t>595f813e935f650021100785</t>
  </si>
  <si>
    <t>595f813e935f650021100786</t>
  </si>
  <si>
    <t>595f813e935f650021100787</t>
  </si>
  <si>
    <t>595f813e935f650021100788</t>
  </si>
  <si>
    <t>595f813e935f650021100789</t>
  </si>
  <si>
    <t>595f813e935f65002110078a</t>
  </si>
  <si>
    <t>595f813e935f65002110078b</t>
  </si>
  <si>
    <t>595f813e935f65002110078c</t>
  </si>
  <si>
    <t>595f813e935f65002110078d</t>
  </si>
  <si>
    <t>595f813e935f65002110078e</t>
  </si>
  <si>
    <t>595f813e935f65002110078f</t>
  </si>
  <si>
    <t>595f813e935f650021100790</t>
  </si>
  <si>
    <t>595f813e935f650021100791</t>
  </si>
  <si>
    <t>595f813e935f650021100792</t>
  </si>
  <si>
    <t>595f813e935f650021100793</t>
  </si>
  <si>
    <t>595f813e935f650021100794</t>
  </si>
  <si>
    <t>595f813e935f650021100795</t>
  </si>
  <si>
    <t>595f813e935f650021100796</t>
  </si>
  <si>
    <t>595f813e935f650021100797</t>
  </si>
  <si>
    <t>595f813e935f650021100798</t>
  </si>
  <si>
    <t>595f813e935f650021100799</t>
  </si>
  <si>
    <t>595f813e935f65002110079a</t>
  </si>
  <si>
    <t>595f813e935f65002110079b</t>
  </si>
  <si>
    <t>595f813e935f65002110079c</t>
  </si>
  <si>
    <t>595f813e935f65002110079d</t>
  </si>
  <si>
    <t>595f813e935f65002110079e</t>
  </si>
  <si>
    <t>595f813e935f65002110079f</t>
  </si>
  <si>
    <t>595f813e935f6500211007a0</t>
  </si>
  <si>
    <t>595f813e935f6500211007a1</t>
  </si>
  <si>
    <t>595f813e935f6500211007a2</t>
  </si>
  <si>
    <t>595f813e935f6500211007a3</t>
  </si>
  <si>
    <t>595f813e935f6500211007a4</t>
  </si>
  <si>
    <t>595f813e935f6500211007a5</t>
  </si>
  <si>
    <t>595f813e935f6500211007a6</t>
  </si>
  <si>
    <t>595f813e935f6500211007a7</t>
  </si>
  <si>
    <t>595f813e935f6500211007a8</t>
  </si>
  <si>
    <t>595f813e935f6500211007a9</t>
  </si>
  <si>
    <t>595f813e935f6500211007aa</t>
  </si>
  <si>
    <t>595f813e935f6500211007ab</t>
  </si>
  <si>
    <t>595f813e935f6500211007ac</t>
  </si>
  <si>
    <t>595f813e935f6500211007ad</t>
  </si>
  <si>
    <t>595f813e935f6500211007ae</t>
  </si>
  <si>
    <t>595f813e935f6500211007af</t>
  </si>
  <si>
    <t>595f813e935f6500211007b0</t>
  </si>
  <si>
    <t>595f813e935f6500211007b1</t>
  </si>
  <si>
    <t>595f813e935f6500211007b2</t>
  </si>
  <si>
    <t>595f813e935f6500211007b3</t>
  </si>
  <si>
    <t>595f813e935f6500211007b4</t>
  </si>
  <si>
    <t>595f813e935f6500211007b5</t>
  </si>
  <si>
    <t>595f813e935f6500211007b6</t>
  </si>
  <si>
    <t>595f813e935f6500211007b7</t>
  </si>
  <si>
    <t>595f813e935f6500211007b8</t>
  </si>
  <si>
    <t>595f813e935f6500211007b9</t>
  </si>
  <si>
    <t>595f813e935f6500211007ba</t>
  </si>
  <si>
    <t>595f813e935f6500211007bb</t>
  </si>
  <si>
    <t>595f813e935f6500211007bc</t>
  </si>
  <si>
    <t>595f813e935f6500211007bd</t>
  </si>
  <si>
    <t>595f813e935f6500211007be</t>
  </si>
  <si>
    <t>595f813e935f6500211007bf</t>
  </si>
  <si>
    <t>59141fc6b21a1d00824f5180</t>
  </si>
  <si>
    <t>5914201fb21a1d00824f64ef</t>
  </si>
  <si>
    <t>595f813e935f6500211007c0</t>
  </si>
  <si>
    <t>595f813e935f6500211007c1</t>
  </si>
  <si>
    <t>595f813e935f6500211007c2</t>
  </si>
  <si>
    <t>59142009b21a1d00824f60a3</t>
  </si>
  <si>
    <t>59141fffb21a1d00824f5ef3</t>
  </si>
  <si>
    <t>59141fd7b21a1d00824f5531</t>
  </si>
  <si>
    <t>59141fc5b21a1d00824f516a</t>
  </si>
  <si>
    <t>595f813e935f6500211007c3</t>
  </si>
  <si>
    <t>595f813e935f6500211007c4</t>
  </si>
  <si>
    <t>595f813e935f6500211007c5</t>
  </si>
  <si>
    <t>5914200fb21a1d00824f61fd</t>
  </si>
  <si>
    <t>59141fcdb21a1d00824f52bf</t>
  </si>
  <si>
    <t>59142019b21a1d00824f63a5</t>
  </si>
  <si>
    <t>595f813e935f6500211007c6</t>
  </si>
  <si>
    <t>595f813e935f6500211007c7</t>
  </si>
  <si>
    <t>59142010b21a1d00824f6241</t>
  </si>
  <si>
    <t>595f813f935f6500211007c8</t>
  </si>
  <si>
    <t>59142009b21a1d00824f6099</t>
  </si>
  <si>
    <t>59141fffb21a1d00824f5f00</t>
  </si>
  <si>
    <t>595f813f935f6500211007c9</t>
  </si>
  <si>
    <t>595f813f935f6500211007ca</t>
  </si>
  <si>
    <t>595f813f935f6500211007cb</t>
  </si>
  <si>
    <t>595f813f935f6500211007cc</t>
  </si>
  <si>
    <t>595f813f935f6500211007cd</t>
  </si>
  <si>
    <t>595f813f935f6500211007ce</t>
  </si>
  <si>
    <t>59141fd6b21a1d00824f5506</t>
  </si>
  <si>
    <t>5914201fb21a1d00824f64f7</t>
  </si>
  <si>
    <t>595f813f935f6500211007cf</t>
  </si>
  <si>
    <t>59141fcab21a1d00824f524d</t>
  </si>
  <si>
    <t>595f813f935f6500211007d0</t>
  </si>
  <si>
    <t>595f813f935f6500211007d1</t>
  </si>
  <si>
    <t>595f813f935f6500211007d2</t>
  </si>
  <si>
    <t>59141ff6b21a1d00824f5c9c</t>
  </si>
  <si>
    <t>59141fd7b21a1d00824f5540</t>
  </si>
  <si>
    <t>595f813f935f6500211007d3</t>
  </si>
  <si>
    <t>595f813f935f6500211007d4</t>
  </si>
  <si>
    <t>595f813f935f6500211007d5</t>
  </si>
  <si>
    <t>595f813f935f6500211007d6</t>
  </si>
  <si>
    <t>595f813f935f6500211007d7</t>
  </si>
  <si>
    <t>595f813f935f6500211007d8</t>
  </si>
  <si>
    <t>595f813f935f6500211007d9</t>
  </si>
  <si>
    <t>595f813f935f6500211007da</t>
  </si>
  <si>
    <t>595f813f935f6500211007db</t>
  </si>
  <si>
    <t>595f813f935f6500211007dc</t>
  </si>
  <si>
    <t>595f813f935f6500211007dd</t>
  </si>
  <si>
    <t>595f813f935f6500211007de</t>
  </si>
  <si>
    <t>59141ff3b21a1d00824f5bbf</t>
  </si>
  <si>
    <t>595f813f935f6500211007df</t>
  </si>
  <si>
    <t>595f813f935f6500211007e0</t>
  </si>
  <si>
    <t>595f813f935f6500211007e1</t>
  </si>
  <si>
    <t>595f813f935f6500211007e2</t>
  </si>
  <si>
    <t>5914201fb21a1d00824f64dd</t>
  </si>
  <si>
    <t>59142008b21a1d00824f6073</t>
  </si>
  <si>
    <t>595f8140935f650021100821</t>
  </si>
  <si>
    <t>new_prodcat</t>
  </si>
  <si>
    <t>new_bizcat</t>
  </si>
  <si>
    <t>new_brand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</si>
</sst>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0"/>
      <color rgb="FF000000"/>
      <name val="Arial"/>
    </font>
    <font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9"/>
      <color rgb="FF000000"/>
      <name val="Arial"/>
      <family val="2"/>
    </font>
    <font>
      <sz val="10"/>
      <name val="Arial"/>
      <family val="2"/>
    </font>
    <font>
      <sz val="9"/>
      <name val="Calibri"/>
      <family val="2"/>
    </font>
    <font>
      <sz val="10"/>
      <color rgb="FF000000"/>
      <name val="Arial"/>
      <family val="2"/>
    </font>
    <font>
      <sz val="9"/>
      <name val="Arial"/>
      <family val="2"/>
    </font>
    <font>
      <sz val="10"/>
      <color rgb="FFCCCCCC"/>
      <name val="Arial"/>
      <family val="2"/>
    </font>
    <font>
      <sz val="10"/>
      <color rgb="FF000000"/>
      <name val="Thonburi"/>
      <charset val="222"/>
    </font>
    <font>
      <sz val="10"/>
      <color rgb="FF000000"/>
      <name val="Trebuchet MS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9"/>
      <color rgb="FF000000"/>
      <name val="Arial"/>
      <family val="2"/>
    </font>
    <font>
      <sz val="10"/>
      <color rgb="FF000000"/>
      <name val="Calibri"/>
      <family val="2"/>
    </font>
    <font>
      <sz val="10"/>
      <name val="Calibri"/>
      <family val="2"/>
    </font>
    <font>
      <sz val="10"/>
      <color theme="0" tint="-0.14999847407452621"/>
      <name val="Arial"/>
      <family val="2"/>
    </font>
    <font>
      <sz val="10"/>
      <color rgb="FF000000"/>
      <name val="Arial"/>
    </font>
    <font>
      <sz val="9"/>
      <color rgb="FF000000"/>
      <name val="Arial"/>
    </font>
    <font>
      <sz val="10"/>
      <name val="Arial"/>
    </font>
    <font>
      <sz val="9"/>
      <name val="Arial"/>
    </font>
    <font>
      <sz val="9"/>
      <color rgb="FFFFFFFF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FFE699"/>
        <bgColor rgb="FFFFE699"/>
      </patternFill>
    </fill>
    <fill>
      <patternFill patternType="solid">
        <fgColor rgb="FFF8CBAD"/>
        <bgColor rgb="FFF8CBAD"/>
      </patternFill>
    </fill>
    <fill>
      <patternFill patternType="solid">
        <fgColor rgb="FFFF99FF"/>
        <bgColor rgb="FFFF99FF"/>
      </patternFill>
    </fill>
    <fill>
      <patternFill patternType="solid">
        <fgColor rgb="FFFF0000"/>
        <bgColor rgb="FFFF0000"/>
      </patternFill>
    </fill>
    <fill>
      <patternFill patternType="solid">
        <fgColor rgb="FFFFF2CC"/>
        <bgColor rgb="FFFFF2CC"/>
      </patternFill>
    </fill>
    <fill>
      <patternFill patternType="solid">
        <fgColor rgb="FFDDEBF7"/>
        <bgColor rgb="FFDDEBF7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BDD7EE"/>
      </patternFill>
    </fill>
    <fill>
      <patternFill patternType="solid">
        <fgColor rgb="FFC6E0B4"/>
        <bgColor rgb="FFC6E0B4"/>
      </patternFill>
    </fill>
    <fill>
      <patternFill patternType="solid">
        <fgColor rgb="FF757171"/>
        <bgColor rgb="FF757171"/>
      </patternFill>
    </fill>
    <fill>
      <patternFill patternType="solid">
        <fgColor rgb="FFFCE4D6"/>
        <bgColor rgb="FFFCE4D6"/>
      </patternFill>
    </fill>
    <fill>
      <patternFill patternType="solid">
        <fgColor rgb="FFFFCCFF"/>
        <bgColor rgb="FFFFCCFF"/>
      </patternFill>
    </fill>
    <fill>
      <patternFill patternType="solid">
        <fgColor rgb="FFFFFAEB"/>
        <bgColor rgb="FFFFFAEB"/>
      </patternFill>
    </fill>
    <fill>
      <patternFill patternType="solid">
        <fgColor rgb="FFEFF6FB"/>
        <bgColor rgb="FFEFF6FB"/>
      </patternFill>
    </fill>
    <fill>
      <patternFill patternType="solid">
        <fgColor rgb="FFF2F2F2"/>
        <bgColor rgb="FFF2F2F2"/>
      </patternFill>
    </fill>
    <fill>
      <patternFill patternType="solid">
        <fgColor rgb="FFFFFFCD"/>
        <bgColor rgb="FFFFFFCD"/>
      </patternFill>
    </fill>
    <fill>
      <patternFill patternType="solid">
        <fgColor rgb="FFE2EFDA"/>
        <bgColor rgb="FFE2EFDA"/>
      </patternFill>
    </fill>
    <fill>
      <patternFill patternType="solid">
        <fgColor rgb="FFFF9F9F"/>
        <bgColor rgb="FFFF9F9F"/>
      </patternFill>
    </fill>
    <fill>
      <patternFill patternType="solid">
        <fgColor rgb="FFAEAAAA"/>
        <bgColor rgb="FFAEAAA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5CD"/>
        <bgColor rgb="FFFCE5CD"/>
      </patternFill>
    </fill>
    <fill>
      <patternFill patternType="solid">
        <fgColor rgb="FFFFD966"/>
        <bgColor rgb="FFFFD966"/>
      </patternFill>
    </fill>
    <fill>
      <patternFill patternType="solid">
        <fgColor rgb="FF00000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9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7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" fillId="0" borderId="0"/>
    <xf numFmtId="0" fontId="12" fillId="0" borderId="0" applyNumberFormat="0" applyFill="0" applyBorder="0" applyAlignment="0" applyProtection="0"/>
  </cellStyleXfs>
  <cellXfs count="98">
    <xf numFmtId="0" fontId="0" fillId="0" borderId="0" xfId="0" applyFont="1" applyAlignment="1"/>
    <xf numFmtId="0" fontId="2" fillId="2" borderId="0" xfId="0" applyFont="1" applyFill="1" applyAlignment="1"/>
    <xf numFmtId="0" fontId="2" fillId="2" borderId="0" xfId="0" applyFont="1" applyFill="1" applyAlignment="1">
      <alignment horizontal="left"/>
    </xf>
    <xf numFmtId="0" fontId="2" fillId="5" borderId="0" xfId="0" applyFont="1" applyFill="1" applyAlignment="1"/>
    <xf numFmtId="0" fontId="2" fillId="6" borderId="0" xfId="0" applyFont="1" applyFill="1" applyAlignment="1"/>
    <xf numFmtId="0" fontId="2" fillId="7" borderId="0" xfId="0" applyFont="1" applyFill="1" applyAlignment="1"/>
    <xf numFmtId="0" fontId="2" fillId="9" borderId="0" xfId="0" applyFont="1" applyFill="1" applyAlignment="1"/>
    <xf numFmtId="0" fontId="2" fillId="10" borderId="0" xfId="0" applyFont="1" applyFill="1" applyAlignment="1"/>
    <xf numFmtId="0" fontId="2" fillId="4" borderId="0" xfId="0" applyFont="1" applyFill="1" applyAlignment="1"/>
    <xf numFmtId="0" fontId="2" fillId="11" borderId="0" xfId="0" applyFont="1" applyFill="1" applyAlignment="1"/>
    <xf numFmtId="0" fontId="2" fillId="12" borderId="0" xfId="0" applyFont="1" applyFill="1" applyAlignment="1"/>
    <xf numFmtId="0" fontId="2" fillId="6" borderId="0" xfId="0" applyFont="1" applyFill="1" applyAlignment="1">
      <alignment horizontal="left"/>
    </xf>
    <xf numFmtId="0" fontId="2" fillId="15" borderId="0" xfId="0" applyFont="1" applyFill="1" applyAlignment="1"/>
    <xf numFmtId="0" fontId="2" fillId="16" borderId="0" xfId="0" applyFont="1" applyFill="1" applyAlignment="1"/>
    <xf numFmtId="0" fontId="2" fillId="18" borderId="0" xfId="0" applyFont="1" applyFill="1" applyAlignment="1"/>
    <xf numFmtId="0" fontId="2" fillId="14" borderId="0" xfId="0" applyFont="1" applyFill="1" applyAlignment="1"/>
    <xf numFmtId="0" fontId="2" fillId="19" borderId="0" xfId="0" applyFont="1" applyFill="1" applyAlignment="1"/>
    <xf numFmtId="0" fontId="2" fillId="20" borderId="0" xfId="0" applyFont="1" applyFill="1" applyAlignment="1"/>
    <xf numFmtId="0" fontId="2" fillId="21" borderId="0" xfId="0" applyFont="1" applyFill="1" applyAlignment="1"/>
    <xf numFmtId="0" fontId="2" fillId="0" borderId="0" xfId="0" applyFont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vertical="center"/>
    </xf>
    <xf numFmtId="0" fontId="5" fillId="0" borderId="0" xfId="0" applyFont="1" applyAlignment="1"/>
    <xf numFmtId="0" fontId="6" fillId="0" borderId="0" xfId="0" applyFont="1"/>
    <xf numFmtId="0" fontId="6" fillId="0" borderId="0" xfId="0" applyFont="1" applyAlignment="1">
      <alignment horizontal="center"/>
    </xf>
    <xf numFmtId="0" fontId="2" fillId="0" borderId="0" xfId="0" applyFont="1" applyAlignme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/>
    <xf numFmtId="0" fontId="5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2" fillId="3" borderId="0" xfId="0" applyFont="1" applyFill="1" applyAlignment="1"/>
    <xf numFmtId="0" fontId="2" fillId="8" borderId="0" xfId="0" applyFont="1" applyFill="1" applyAlignment="1"/>
    <xf numFmtId="0" fontId="2" fillId="13" borderId="0" xfId="0" applyFont="1" applyFill="1" applyAlignment="1"/>
    <xf numFmtId="0" fontId="2" fillId="17" borderId="0" xfId="0" applyFont="1" applyFill="1" applyAlignment="1"/>
    <xf numFmtId="0" fontId="0" fillId="0" borderId="0" xfId="0" applyFont="1" applyAlignment="1"/>
    <xf numFmtId="0" fontId="0" fillId="0" borderId="0" xfId="0" applyFont="1" applyFill="1" applyAlignment="1"/>
    <xf numFmtId="0" fontId="2" fillId="3" borderId="0" xfId="0" applyFont="1" applyFill="1" applyAlignment="1">
      <alignment horizontal="left"/>
    </xf>
    <xf numFmtId="0" fontId="2" fillId="4" borderId="0" xfId="0" applyFont="1" applyFill="1" applyAlignment="1">
      <alignment horizontal="left"/>
    </xf>
    <xf numFmtId="0" fontId="5" fillId="0" borderId="0" xfId="0" applyFont="1" applyFill="1" applyAlignment="1"/>
    <xf numFmtId="0" fontId="7" fillId="0" borderId="0" xfId="0" applyFont="1" applyFill="1" applyAlignment="1"/>
    <xf numFmtId="0" fontId="0" fillId="0" borderId="0" xfId="0" applyFont="1" applyAlignment="1"/>
    <xf numFmtId="0" fontId="0" fillId="0" borderId="0" xfId="0" applyFont="1" applyAlignment="1"/>
    <xf numFmtId="0" fontId="4" fillId="0" borderId="0" xfId="27" applyFont="1" applyFill="1" applyAlignment="1">
      <alignment horizontal="center" vertical="center"/>
    </xf>
    <xf numFmtId="0" fontId="4" fillId="0" borderId="0" xfId="27" applyFont="1" applyFill="1" applyAlignment="1">
      <alignment vertical="center"/>
    </xf>
    <xf numFmtId="0" fontId="1" fillId="0" borderId="0" xfId="27"/>
    <xf numFmtId="0" fontId="1" fillId="0" borderId="0" xfId="27" applyFill="1"/>
    <xf numFmtId="0" fontId="7" fillId="0" borderId="0" xfId="0" applyFont="1" applyFill="1" applyAlignment="1">
      <alignment horizontal="center"/>
    </xf>
    <xf numFmtId="0" fontId="16" fillId="22" borderId="0" xfId="27" applyFont="1" applyFill="1" applyAlignment="1">
      <alignment horizontal="center" vertical="center"/>
    </xf>
    <xf numFmtId="0" fontId="16" fillId="22" borderId="0" xfId="27" applyFont="1" applyFill="1" applyAlignment="1">
      <alignment vertical="center"/>
    </xf>
    <xf numFmtId="0" fontId="5" fillId="0" borderId="0" xfId="0" applyFont="1" applyAlignment="1">
      <alignment wrapText="1"/>
    </xf>
    <xf numFmtId="0" fontId="5" fillId="0" borderId="0" xfId="0" applyFont="1" applyFill="1" applyAlignment="1">
      <alignment wrapText="1"/>
    </xf>
    <xf numFmtId="0" fontId="5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0" applyFont="1" applyFill="1" applyAlignment="1"/>
    <xf numFmtId="0" fontId="11" fillId="0" borderId="0" xfId="0" applyFont="1" applyFill="1" applyAlignment="1"/>
    <xf numFmtId="0" fontId="9" fillId="0" borderId="0" xfId="0" applyFont="1" applyFill="1"/>
    <xf numFmtId="0" fontId="5" fillId="0" borderId="0" xfId="28" applyFont="1" applyAlignment="1">
      <alignment horizontal="left" vertical="center"/>
    </xf>
    <xf numFmtId="0" fontId="15" fillId="0" borderId="0" xfId="28" applyFont="1" applyAlignment="1">
      <alignment horizontal="left" vertical="center"/>
    </xf>
    <xf numFmtId="0" fontId="7" fillId="23" borderId="0" xfId="20" applyFont="1" applyFill="1" applyAlignment="1"/>
    <xf numFmtId="0" fontId="5" fillId="0" borderId="0" xfId="0" applyFont="1" applyFill="1"/>
    <xf numFmtId="0" fontId="7" fillId="0" borderId="0" xfId="0" applyFont="1" applyFill="1"/>
    <xf numFmtId="0" fontId="17" fillId="0" borderId="0" xfId="0" applyFont="1" applyFill="1" applyAlignment="1">
      <alignment horizontal="left"/>
    </xf>
    <xf numFmtId="0" fontId="15" fillId="0" borderId="0" xfId="0" applyFont="1" applyFill="1" applyAlignment="1"/>
    <xf numFmtId="0" fontId="7" fillId="0" borderId="0" xfId="20" applyFont="1" applyFill="1" applyAlignment="1"/>
    <xf numFmtId="0" fontId="7" fillId="0" borderId="0" xfId="0" applyFont="1" applyFill="1" applyBorder="1" applyAlignment="1"/>
    <xf numFmtId="0" fontId="5" fillId="0" borderId="0" xfId="20" applyFont="1" applyFill="1" applyAlignment="1"/>
    <xf numFmtId="0" fontId="18" fillId="0" borderId="0" xfId="0" applyFont="1" applyFill="1" applyAlignment="1"/>
    <xf numFmtId="0" fontId="19" fillId="0" borderId="0" xfId="0" applyFont="1" applyFill="1" applyAlignment="1">
      <alignment horizontal="center"/>
    </xf>
    <xf numFmtId="0" fontId="5" fillId="0" borderId="1" xfId="20" applyFont="1" applyFill="1" applyBorder="1" applyAlignment="1"/>
    <xf numFmtId="0" fontId="19" fillId="0" borderId="0" xfId="0" applyFont="1" applyFill="1" applyAlignment="1"/>
    <xf numFmtId="0" fontId="21" fillId="9" borderId="0" xfId="0" applyFont="1" applyFill="1" applyAlignment="1">
      <alignment horizontal="center" vertical="center"/>
    </xf>
    <xf numFmtId="0" fontId="21" fillId="9" borderId="0" xfId="0" applyFont="1" applyFill="1" applyAlignment="1">
      <alignment vertical="center"/>
    </xf>
    <xf numFmtId="0" fontId="22" fillId="0" borderId="0" xfId="0" applyFont="1" applyAlignment="1"/>
    <xf numFmtId="0" fontId="20" fillId="0" borderId="0" xfId="0" applyFont="1" applyAlignment="1">
      <alignment horizontal="center"/>
    </xf>
    <xf numFmtId="0" fontId="20" fillId="0" borderId="0" xfId="0" applyFont="1" applyAlignment="1"/>
    <xf numFmtId="0" fontId="23" fillId="0" borderId="0" xfId="0" applyFont="1"/>
    <xf numFmtId="0" fontId="22" fillId="24" borderId="0" xfId="0" applyFont="1" applyFill="1" applyAlignment="1"/>
    <xf numFmtId="0" fontId="23" fillId="0" borderId="0" xfId="0" applyFont="1" applyAlignment="1">
      <alignment horizontal="center"/>
    </xf>
    <xf numFmtId="0" fontId="17" fillId="0" borderId="0" xfId="20" applyFont="1" applyFill="1" applyAlignment="1"/>
    <xf numFmtId="0" fontId="2" fillId="8" borderId="0" xfId="0" applyFont="1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24" fillId="26" borderId="0" xfId="0" applyFont="1" applyFill="1" applyAlignment="1"/>
    <xf numFmtId="0" fontId="24" fillId="26" borderId="0" xfId="0" applyFont="1" applyFill="1" applyAlignment="1">
      <alignment horizontal="left"/>
    </xf>
    <xf numFmtId="0" fontId="2" fillId="13" borderId="0" xfId="0" applyFont="1" applyFill="1" applyAlignment="1">
      <alignment horizontal="left"/>
    </xf>
    <xf numFmtId="0" fontId="2" fillId="14" borderId="0" xfId="0" applyFont="1" applyFill="1" applyAlignment="1">
      <alignment horizontal="left"/>
    </xf>
    <xf numFmtId="0" fontId="2" fillId="17" borderId="0" xfId="0" applyFont="1" applyFill="1" applyAlignment="1">
      <alignment horizontal="left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2" fillId="6" borderId="0" xfId="0" applyFont="1" applyFill="1" applyAlignment="1">
      <alignment horizontal="center" vertical="center"/>
    </xf>
    <xf numFmtId="0" fontId="0" fillId="0" borderId="0" xfId="0" applyFont="1" applyAlignment="1"/>
    <xf numFmtId="0" fontId="3" fillId="25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15" builtinId="8" hidden="1"/>
    <cellStyle name="Hyperlink" xfId="17" builtinId="8" hidden="1"/>
    <cellStyle name="Hyperlink" xfId="21" builtinId="8" hidden="1"/>
    <cellStyle name="Hyperlink" xfId="23" builtinId="8" hidden="1"/>
    <cellStyle name="Hyperlink" xfId="25" builtinId="8" hidden="1"/>
    <cellStyle name="Hyperlink" xfId="28" builtinId="8"/>
    <cellStyle name="Normal" xfId="0" builtinId="0"/>
    <cellStyle name="Normal 2" xfId="19"/>
    <cellStyle name="Normal 3" xfId="20"/>
    <cellStyle name="Normal 4" xfId="27"/>
  </cellStyles>
  <dxfs count="1"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FFB9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ekkalak/Desktop/TrueYou/C:/Users/how2studio/Desktop/Makro/MM#14\filled\makro-master#14-all-dup 346-459 (Own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ow2studio\Desktop\Makro\MM#11/All MK #11-master-for-MM11-remove-du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 Database"/>
      <sheetName val="MM11-index -nut"/>
      <sheetName val="Brand"/>
      <sheetName val="Business Category"/>
      <sheetName val="Product Category"/>
      <sheetName val="Unit"/>
      <sheetName val="Promo"/>
      <sheetName val="MM item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20170707194644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prodcat-mapping" connectionId="6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bizcat-mapping" connectionId="2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brand-mapping" connectionId="3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ognjoy.com/" TargetMode="External"/><Relationship Id="rId3" Type="http://schemas.openxmlformats.org/officeDocument/2006/relationships/hyperlink" Target="http://www.tops.co.th/p/MuesliCereal/Sanitarium-Weet-Bix-Wild-Berry-500g" TargetMode="External"/><Relationship Id="rId7" Type="http://schemas.openxmlformats.org/officeDocument/2006/relationships/hyperlink" Target="https://postjung.com/movie/show.php?id=728" TargetMode="External"/><Relationship Id="rId2" Type="http://schemas.openxmlformats.org/officeDocument/2006/relationships/hyperlink" Target="https://www.facebook.com/pages/%E0%B9%82%E0%B8%AD%E0%B9%80%E0%B8%8A%E0%B8%B5%E0%B9%88%E0%B8%A2%E0%B8%99-%E0%B8%AD%E0%B8%B2%E0%B8%9A%E0%B8%AD%E0%B8%9A%E0%B8%99%E0%B8%A7%E0%B8%94/304604679572499" TargetMode="External"/><Relationship Id="rId1" Type="http://schemas.openxmlformats.org/officeDocument/2006/relationships/hyperlink" Target="http://www.pantene.co.th/" TargetMode="External"/><Relationship Id="rId6" Type="http://schemas.openxmlformats.org/officeDocument/2006/relationships/hyperlink" Target="http://www.lazada.co.th/purina-one/" TargetMode="External"/><Relationship Id="rId5" Type="http://schemas.openxmlformats.org/officeDocument/2006/relationships/hyperlink" Target="http://wd40thailand.com/WD-40" TargetMode="External"/><Relationship Id="rId4" Type="http://schemas.openxmlformats.org/officeDocument/2006/relationships/hyperlink" Target="http://www.wellhealthshop.com/product/1107/norita-by-oho-punim-%E0%B9%82%E0%B8%99%E0%B8%A3%E0%B8%B4%E0%B8%95%E0%B9%89%E0%B8%B2-%E0%B8%9A%E0%B8%B2%E0%B8%A2-%E0%B9%82%E0%B8%AD%E0%B9%89%E0%B9%82%E0%B8%AB-%E0%B8%9B%E0%B8%B9%E0%B8%99%E0%B8%B4%E0%B9%88%E0%B8%A1-%E0%B8%A5%E0%B8%94%E0%B8%99%E0%B9%89%E0%B8%B3%E0%B8%AB%E0%B8%99%E0%B8%B1%E0%B8%81-%E0%B8%AA%E0%B8%B9%E0%B8%95%E0%B8%A3%E0%B8%81%E0%B8%A5%E0%B8%B2%E0%B8%87%E0%B8%84%E0%B8%B7%E0%B8%9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"/>
  <sheetViews>
    <sheetView workbookViewId="0">
      <selection activeCell="B17" sqref="B17"/>
    </sheetView>
  </sheetViews>
  <sheetFormatPr defaultColWidth="8.85546875" defaultRowHeight="15"/>
  <cols>
    <col min="1" max="5" width="22.140625" style="46" customWidth="1"/>
    <col min="6" max="16384" width="8.85546875" style="46"/>
  </cols>
  <sheetData>
    <row r="1" spans="1:5">
      <c r="A1" s="44" t="s">
        <v>1389</v>
      </c>
      <c r="B1" s="44" t="s">
        <v>1392</v>
      </c>
      <c r="C1" s="44" t="s">
        <v>1395</v>
      </c>
      <c r="D1" s="45" t="s">
        <v>1396</v>
      </c>
      <c r="E1" s="45" t="s">
        <v>1397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1"/>
  <sheetViews>
    <sheetView workbookViewId="0">
      <selection activeCell="B20" sqref="B20"/>
    </sheetView>
  </sheetViews>
  <sheetFormatPr defaultColWidth="8.85546875" defaultRowHeight="15"/>
  <cols>
    <col min="1" max="4" width="25.140625" style="46" customWidth="1"/>
    <col min="5" max="16384" width="8.85546875" style="46"/>
  </cols>
  <sheetData>
    <row r="1" spans="1:4">
      <c r="A1" s="44" t="s">
        <v>1389</v>
      </c>
      <c r="B1" s="44" t="s">
        <v>1392</v>
      </c>
      <c r="C1" s="45" t="s">
        <v>1393</v>
      </c>
      <c r="D1" s="45" t="s">
        <v>1394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"/>
  <sheetViews>
    <sheetView workbookViewId="0">
      <selection activeCell="B17" sqref="B17"/>
    </sheetView>
  </sheetViews>
  <sheetFormatPr defaultColWidth="8.85546875" defaultRowHeight="15"/>
  <cols>
    <col min="1" max="1" width="23.7109375" style="46" customWidth="1"/>
    <col min="2" max="2" width="28.42578125" style="46" customWidth="1"/>
    <col min="3" max="3" width="27.140625" style="46" customWidth="1"/>
    <col min="4" max="16384" width="8.85546875" style="46"/>
  </cols>
  <sheetData>
    <row r="1" spans="1:3">
      <c r="A1" s="44" t="s">
        <v>1389</v>
      </c>
      <c r="B1" s="45" t="s">
        <v>1390</v>
      </c>
      <c r="C1" s="45" t="s">
        <v>1391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168"/>
  <sheetViews>
    <sheetView topLeftCell="A11" zoomScale="70" zoomScaleNormal="70" zoomScalePageLayoutView="70" workbookViewId="0">
      <selection activeCell="H46" sqref="H46"/>
    </sheetView>
  </sheetViews>
  <sheetFormatPr defaultColWidth="8.85546875" defaultRowHeight="15"/>
  <cols>
    <col min="1" max="1" width="22.140625" style="46" customWidth="1"/>
    <col min="2" max="2" width="22.85546875" style="46" bestFit="1" customWidth="1"/>
    <col min="3" max="3" width="23.140625" style="46" bestFit="1" customWidth="1"/>
    <col min="4" max="4" width="39.7109375" style="46" bestFit="1" customWidth="1"/>
    <col min="5" max="5" width="43.85546875" style="46" customWidth="1"/>
    <col min="6" max="6" width="22.140625" style="46" customWidth="1"/>
    <col min="7" max="7" width="8.85546875" style="46"/>
    <col min="8" max="8" width="34.85546875" style="46" bestFit="1" customWidth="1"/>
    <col min="9" max="16384" width="8.85546875" style="46"/>
  </cols>
  <sheetData>
    <row r="1" spans="1:5">
      <c r="A1" s="49" t="s">
        <v>1389</v>
      </c>
      <c r="B1" s="49" t="s">
        <v>1392</v>
      </c>
      <c r="C1" s="49" t="s">
        <v>1395</v>
      </c>
      <c r="D1" s="49" t="s">
        <v>1396</v>
      </c>
      <c r="E1" s="50" t="s">
        <v>1397</v>
      </c>
    </row>
    <row r="2" spans="1:5">
      <c r="A2" s="46" t="e">
        <f>VLOOKUP(C:C,#REF!,3,0)</f>
        <v>#REF!</v>
      </c>
      <c r="B2" s="46" t="e">
        <f>VLOOKUP(C:C,#REF!,2,0)</f>
        <v>#REF!</v>
      </c>
      <c r="C2" s="27">
        <v>44</v>
      </c>
      <c r="D2" s="29" t="s">
        <v>1414</v>
      </c>
      <c r="E2" s="29" t="s">
        <v>1415</v>
      </c>
    </row>
    <row r="3" spans="1:5">
      <c r="A3" s="46" t="e">
        <f>VLOOKUP(C:C,#REF!,3,0)</f>
        <v>#REF!</v>
      </c>
      <c r="B3" s="46" t="e">
        <f>VLOOKUP(C:C,#REF!,2,0)</f>
        <v>#REF!</v>
      </c>
      <c r="C3" s="27">
        <v>45</v>
      </c>
      <c r="D3" s="29" t="s">
        <v>1416</v>
      </c>
      <c r="E3" s="29" t="s">
        <v>1417</v>
      </c>
    </row>
    <row r="4" spans="1:5">
      <c r="A4" s="46" t="e">
        <f>VLOOKUP(C:C,#REF!,3,0)</f>
        <v>#REF!</v>
      </c>
      <c r="B4" s="46" t="e">
        <f>VLOOKUP(C:C,#REF!,2,0)</f>
        <v>#REF!</v>
      </c>
      <c r="C4" s="27">
        <v>46</v>
      </c>
      <c r="D4" s="29" t="s">
        <v>1418</v>
      </c>
      <c r="E4" s="29" t="s">
        <v>1419</v>
      </c>
    </row>
    <row r="5" spans="1:5">
      <c r="A5" s="46" t="e">
        <f>VLOOKUP(C:C,#REF!,3,0)</f>
        <v>#REF!</v>
      </c>
      <c r="B5" s="46" t="e">
        <f>VLOOKUP(C:C,#REF!,2,0)</f>
        <v>#REF!</v>
      </c>
      <c r="C5" s="27">
        <v>47</v>
      </c>
      <c r="D5" s="29" t="s">
        <v>1420</v>
      </c>
      <c r="E5" s="29" t="s">
        <v>1421</v>
      </c>
    </row>
    <row r="6" spans="1:5">
      <c r="A6" s="46" t="e">
        <f>VLOOKUP(C:C,#REF!,3,0)</f>
        <v>#REF!</v>
      </c>
      <c r="B6" s="46" t="e">
        <f>VLOOKUP(C:C,#REF!,2,0)</f>
        <v>#REF!</v>
      </c>
      <c r="C6" s="27">
        <v>48</v>
      </c>
      <c r="D6" s="29" t="s">
        <v>1422</v>
      </c>
      <c r="E6" s="29" t="s">
        <v>1423</v>
      </c>
    </row>
    <row r="7" spans="1:5">
      <c r="A7" s="46" t="e">
        <f>VLOOKUP(C:C,#REF!,3,0)</f>
        <v>#REF!</v>
      </c>
      <c r="B7" s="46" t="e">
        <f>VLOOKUP(C:C,#REF!,2,0)</f>
        <v>#REF!</v>
      </c>
      <c r="C7" s="27">
        <v>49</v>
      </c>
      <c r="D7" s="29" t="s">
        <v>1426</v>
      </c>
      <c r="E7" s="29" t="s">
        <v>1427</v>
      </c>
    </row>
    <row r="8" spans="1:5">
      <c r="A8" s="46" t="e">
        <f>VLOOKUP(C:C,#REF!,3,0)</f>
        <v>#REF!</v>
      </c>
      <c r="B8" s="46" t="e">
        <f>VLOOKUP(C:C,#REF!,2,0)</f>
        <v>#REF!</v>
      </c>
      <c r="C8" s="27">
        <v>50</v>
      </c>
      <c r="D8" s="29" t="s">
        <v>1428</v>
      </c>
      <c r="E8" s="29" t="s">
        <v>1429</v>
      </c>
    </row>
    <row r="9" spans="1:5">
      <c r="A9" s="46" t="e">
        <f>VLOOKUP(C:C,#REF!,3,0)</f>
        <v>#REF!</v>
      </c>
      <c r="B9" s="46" t="e">
        <f>VLOOKUP(C:C,#REF!,2,0)</f>
        <v>#REF!</v>
      </c>
      <c r="C9" s="27">
        <v>51</v>
      </c>
      <c r="D9" s="29" t="s">
        <v>1430</v>
      </c>
      <c r="E9" s="29" t="s">
        <v>1431</v>
      </c>
    </row>
    <row r="10" spans="1:5">
      <c r="A10" s="46" t="e">
        <f>VLOOKUP(C:C,#REF!,3,0)</f>
        <v>#REF!</v>
      </c>
      <c r="B10" s="46" t="e">
        <f>VLOOKUP(C:C,#REF!,2,0)</f>
        <v>#REF!</v>
      </c>
      <c r="C10" s="27">
        <v>52</v>
      </c>
      <c r="D10" s="29" t="s">
        <v>1432</v>
      </c>
      <c r="E10" s="29" t="s">
        <v>1433</v>
      </c>
    </row>
    <row r="11" spans="1:5">
      <c r="A11" s="46" t="e">
        <f>VLOOKUP(C:C,#REF!,3,0)</f>
        <v>#REF!</v>
      </c>
      <c r="B11" s="46" t="e">
        <f>VLOOKUP(C:C,#REF!,2,0)</f>
        <v>#REF!</v>
      </c>
      <c r="C11" s="27">
        <v>53</v>
      </c>
      <c r="D11" s="29" t="s">
        <v>1434</v>
      </c>
      <c r="E11" s="29" t="s">
        <v>1435</v>
      </c>
    </row>
    <row r="12" spans="1:5">
      <c r="A12" s="46" t="e">
        <f>VLOOKUP(C:C,#REF!,3,0)</f>
        <v>#REF!</v>
      </c>
      <c r="B12" s="46" t="e">
        <f>VLOOKUP(C:C,#REF!,2,0)</f>
        <v>#REF!</v>
      </c>
      <c r="C12" s="27">
        <v>54</v>
      </c>
      <c r="D12" s="29" t="s">
        <v>1436</v>
      </c>
      <c r="E12" s="29" t="s">
        <v>1437</v>
      </c>
    </row>
    <row r="13" spans="1:5">
      <c r="A13" s="46" t="e">
        <f>VLOOKUP(C:C,#REF!,3,0)</f>
        <v>#REF!</v>
      </c>
      <c r="B13" s="46" t="e">
        <f>VLOOKUP(C:C,#REF!,2,0)</f>
        <v>#REF!</v>
      </c>
      <c r="C13" s="27">
        <v>55</v>
      </c>
      <c r="D13" s="29" t="s">
        <v>1440</v>
      </c>
      <c r="E13" s="29" t="s">
        <v>173</v>
      </c>
    </row>
    <row r="14" spans="1:5">
      <c r="A14" s="46" t="e">
        <f>VLOOKUP(C:C,#REF!,3,0)</f>
        <v>#REF!</v>
      </c>
      <c r="B14" s="46" t="e">
        <f>VLOOKUP(C:C,#REF!,2,0)</f>
        <v>#REF!</v>
      </c>
      <c r="C14" s="27">
        <v>56</v>
      </c>
      <c r="D14" s="29" t="s">
        <v>1441</v>
      </c>
      <c r="E14" s="29" t="s">
        <v>1442</v>
      </c>
    </row>
    <row r="15" spans="1:5">
      <c r="A15" s="46" t="e">
        <f>VLOOKUP(C:C,#REF!,3,0)</f>
        <v>#REF!</v>
      </c>
      <c r="B15" s="46" t="e">
        <f>VLOOKUP(C:C,#REF!,2,0)</f>
        <v>#REF!</v>
      </c>
      <c r="C15" s="27">
        <v>57</v>
      </c>
      <c r="D15" s="29" t="s">
        <v>134</v>
      </c>
      <c r="E15" s="29" t="s">
        <v>133</v>
      </c>
    </row>
    <row r="16" spans="1:5">
      <c r="A16" s="46" t="e">
        <f>VLOOKUP(C:C,#REF!,3,0)</f>
        <v>#REF!</v>
      </c>
      <c r="B16" s="46" t="e">
        <f>VLOOKUP(C:C,#REF!,2,0)</f>
        <v>#REF!</v>
      </c>
      <c r="C16" s="27">
        <v>58</v>
      </c>
      <c r="D16" s="29" t="s">
        <v>1443</v>
      </c>
      <c r="E16" s="29" t="s">
        <v>1444</v>
      </c>
    </row>
    <row r="17" spans="1:5">
      <c r="A17" s="46" t="e">
        <f>VLOOKUP(C:C,#REF!,3,0)</f>
        <v>#REF!</v>
      </c>
      <c r="B17" s="46" t="e">
        <f>VLOOKUP(C:C,#REF!,2,0)</f>
        <v>#REF!</v>
      </c>
      <c r="C17" s="27">
        <v>59</v>
      </c>
      <c r="D17" s="29" t="s">
        <v>1445</v>
      </c>
      <c r="E17" s="29" t="s">
        <v>1446</v>
      </c>
    </row>
    <row r="18" spans="1:5">
      <c r="A18" s="46" t="e">
        <f>VLOOKUP(C:C,#REF!,3,0)</f>
        <v>#REF!</v>
      </c>
      <c r="B18" s="46" t="e">
        <f>VLOOKUP(C:C,#REF!,2,0)</f>
        <v>#REF!</v>
      </c>
      <c r="C18" s="27">
        <v>60</v>
      </c>
      <c r="D18" s="29" t="s">
        <v>1447</v>
      </c>
      <c r="E18" s="29" t="s">
        <v>1448</v>
      </c>
    </row>
    <row r="19" spans="1:5">
      <c r="A19" s="46" t="e">
        <f>VLOOKUP(C:C,#REF!,3,0)</f>
        <v>#REF!</v>
      </c>
      <c r="B19" s="46" t="e">
        <f>VLOOKUP(C:C,#REF!,2,0)</f>
        <v>#REF!</v>
      </c>
      <c r="C19" s="27">
        <v>61</v>
      </c>
      <c r="D19" s="29" t="s">
        <v>1449</v>
      </c>
      <c r="E19" s="29" t="s">
        <v>1450</v>
      </c>
    </row>
    <row r="20" spans="1:5">
      <c r="A20" s="46" t="e">
        <f>VLOOKUP(C:C,#REF!,3,0)</f>
        <v>#REF!</v>
      </c>
      <c r="B20" s="46" t="e">
        <f>VLOOKUP(C:C,#REF!,2,0)</f>
        <v>#REF!</v>
      </c>
      <c r="C20" s="27">
        <v>62</v>
      </c>
      <c r="D20" s="29" t="s">
        <v>1451</v>
      </c>
      <c r="E20" s="29" t="s">
        <v>1452</v>
      </c>
    </row>
    <row r="21" spans="1:5">
      <c r="A21" s="46" t="e">
        <f>VLOOKUP(C:C,#REF!,3,0)</f>
        <v>#REF!</v>
      </c>
      <c r="B21" s="46" t="e">
        <f>VLOOKUP(C:C,#REF!,2,0)</f>
        <v>#REF!</v>
      </c>
      <c r="C21" s="27">
        <v>63</v>
      </c>
      <c r="D21" s="29" t="s">
        <v>1455</v>
      </c>
      <c r="E21" s="29" t="s">
        <v>1456</v>
      </c>
    </row>
    <row r="22" spans="1:5">
      <c r="A22" s="46" t="e">
        <f>VLOOKUP(C:C,#REF!,3,0)</f>
        <v>#REF!</v>
      </c>
      <c r="B22" s="46" t="e">
        <f>VLOOKUP(C:C,#REF!,2,0)</f>
        <v>#REF!</v>
      </c>
      <c r="C22" s="27">
        <v>64</v>
      </c>
      <c r="D22" s="29" t="s">
        <v>1457</v>
      </c>
      <c r="E22" s="29" t="s">
        <v>1458</v>
      </c>
    </row>
    <row r="23" spans="1:5">
      <c r="A23" s="46" t="e">
        <f>VLOOKUP(C:C,#REF!,3,0)</f>
        <v>#REF!</v>
      </c>
      <c r="B23" s="46" t="e">
        <f>VLOOKUP(C:C,#REF!,2,0)</f>
        <v>#REF!</v>
      </c>
      <c r="C23" s="27">
        <v>65</v>
      </c>
      <c r="D23" s="29" t="s">
        <v>1459</v>
      </c>
      <c r="E23" s="29" t="s">
        <v>1437</v>
      </c>
    </row>
    <row r="24" spans="1:5">
      <c r="A24" s="46" t="e">
        <f>VLOOKUP(C:C,#REF!,3,0)</f>
        <v>#REF!</v>
      </c>
      <c r="B24" s="46" t="e">
        <f>VLOOKUP(C:C,#REF!,2,0)</f>
        <v>#REF!</v>
      </c>
      <c r="C24" s="27">
        <v>66</v>
      </c>
      <c r="D24" s="29" t="s">
        <v>1461</v>
      </c>
      <c r="E24" s="29" t="s">
        <v>176</v>
      </c>
    </row>
    <row r="25" spans="1:5">
      <c r="A25" s="46" t="e">
        <f>VLOOKUP(C:C,#REF!,3,0)</f>
        <v>#REF!</v>
      </c>
      <c r="B25" s="46" t="e">
        <f>VLOOKUP(C:C,#REF!,2,0)</f>
        <v>#REF!</v>
      </c>
      <c r="C25" s="27">
        <v>67</v>
      </c>
      <c r="D25" s="29" t="s">
        <v>1462</v>
      </c>
      <c r="E25" s="29" t="s">
        <v>206</v>
      </c>
    </row>
    <row r="26" spans="1:5">
      <c r="A26" s="46" t="e">
        <f>VLOOKUP(C:C,#REF!,3,0)</f>
        <v>#REF!</v>
      </c>
      <c r="B26" s="46" t="e">
        <f>VLOOKUP(C:C,#REF!,2,0)</f>
        <v>#REF!</v>
      </c>
      <c r="C26" s="27">
        <v>68</v>
      </c>
      <c r="D26" s="29" t="s">
        <v>1463</v>
      </c>
      <c r="E26" s="29" t="s">
        <v>1464</v>
      </c>
    </row>
    <row r="27" spans="1:5">
      <c r="A27" s="46" t="e">
        <f>VLOOKUP(C:C,#REF!,3,0)</f>
        <v>#REF!</v>
      </c>
      <c r="B27" s="46" t="e">
        <f>VLOOKUP(C:C,#REF!,2,0)</f>
        <v>#REF!</v>
      </c>
      <c r="C27" s="27">
        <v>69</v>
      </c>
      <c r="D27" s="29" t="s">
        <v>1467</v>
      </c>
      <c r="E27" s="29" t="s">
        <v>1468</v>
      </c>
    </row>
    <row r="28" spans="1:5">
      <c r="A28" s="46" t="e">
        <f>VLOOKUP(C:C,#REF!,3,0)</f>
        <v>#REF!</v>
      </c>
      <c r="B28" s="46" t="e">
        <f>VLOOKUP(C:C,#REF!,2,0)</f>
        <v>#REF!</v>
      </c>
      <c r="C28" s="27">
        <v>70</v>
      </c>
      <c r="D28" s="29" t="s">
        <v>1469</v>
      </c>
      <c r="E28" s="29" t="s">
        <v>1470</v>
      </c>
    </row>
    <row r="29" spans="1:5">
      <c r="A29" s="46" t="e">
        <f>VLOOKUP(C:C,#REF!,3,0)</f>
        <v>#REF!</v>
      </c>
      <c r="B29" s="46" t="e">
        <f>VLOOKUP(C:C,#REF!,2,0)</f>
        <v>#REF!</v>
      </c>
      <c r="C29" s="27">
        <v>71</v>
      </c>
      <c r="D29" s="29" t="s">
        <v>1471</v>
      </c>
      <c r="E29" s="29" t="s">
        <v>1472</v>
      </c>
    </row>
    <row r="30" spans="1:5">
      <c r="A30" s="46" t="e">
        <f>VLOOKUP(C:C,#REF!,3,0)</f>
        <v>#REF!</v>
      </c>
      <c r="B30" s="46" t="e">
        <f>VLOOKUP(C:C,#REF!,2,0)</f>
        <v>#REF!</v>
      </c>
      <c r="C30" s="27">
        <v>72</v>
      </c>
      <c r="D30" s="29" t="s">
        <v>1473</v>
      </c>
      <c r="E30" s="29" t="s">
        <v>1474</v>
      </c>
    </row>
    <row r="31" spans="1:5">
      <c r="A31" s="46" t="e">
        <f>VLOOKUP(C:C,#REF!,3,0)</f>
        <v>#REF!</v>
      </c>
      <c r="B31" s="46" t="e">
        <f>VLOOKUP(C:C,#REF!,2,0)</f>
        <v>#REF!</v>
      </c>
      <c r="C31" s="27">
        <v>73</v>
      </c>
      <c r="D31" s="29" t="s">
        <v>1475</v>
      </c>
      <c r="E31" s="29" t="s">
        <v>1476</v>
      </c>
    </row>
    <row r="32" spans="1:5">
      <c r="A32" s="46" t="e">
        <f>VLOOKUP(C:C,#REF!,3,0)</f>
        <v>#REF!</v>
      </c>
      <c r="B32" s="46" t="e">
        <f>VLOOKUP(C:C,#REF!,2,0)</f>
        <v>#REF!</v>
      </c>
      <c r="C32" s="27">
        <v>74</v>
      </c>
      <c r="D32" s="29" t="s">
        <v>1477</v>
      </c>
      <c r="E32" s="29" t="s">
        <v>170</v>
      </c>
    </row>
    <row r="33" spans="1:5">
      <c r="A33" s="46" t="e">
        <f>VLOOKUP(C:C,#REF!,3,0)</f>
        <v>#REF!</v>
      </c>
      <c r="B33" s="46" t="e">
        <f>VLOOKUP(C:C,#REF!,2,0)</f>
        <v>#REF!</v>
      </c>
      <c r="C33" s="27">
        <v>75</v>
      </c>
      <c r="D33" s="29" t="s">
        <v>1480</v>
      </c>
      <c r="E33" s="29" t="s">
        <v>1481</v>
      </c>
    </row>
    <row r="34" spans="1:5">
      <c r="A34" s="46" t="e">
        <f>VLOOKUP(C:C,#REF!,3,0)</f>
        <v>#REF!</v>
      </c>
      <c r="B34" s="46" t="e">
        <f>VLOOKUP(C:C,#REF!,2,0)</f>
        <v>#REF!</v>
      </c>
      <c r="C34" s="27">
        <v>76</v>
      </c>
      <c r="D34" s="29" t="s">
        <v>1482</v>
      </c>
      <c r="E34" s="29" t="s">
        <v>1483</v>
      </c>
    </row>
    <row r="35" spans="1:5">
      <c r="A35" s="46" t="e">
        <f>VLOOKUP(C:C,#REF!,3,0)</f>
        <v>#REF!</v>
      </c>
      <c r="B35" s="46" t="e">
        <f>VLOOKUP(C:C,#REF!,2,0)</f>
        <v>#REF!</v>
      </c>
      <c r="C35" s="27">
        <v>77</v>
      </c>
      <c r="D35" s="29" t="s">
        <v>1486</v>
      </c>
      <c r="E35" s="29" t="s">
        <v>1487</v>
      </c>
    </row>
    <row r="36" spans="1:5">
      <c r="A36" s="46" t="e">
        <f>VLOOKUP(C:C,#REF!,3,0)</f>
        <v>#REF!</v>
      </c>
      <c r="B36" s="46" t="e">
        <f>VLOOKUP(C:C,#REF!,2,0)</f>
        <v>#REF!</v>
      </c>
      <c r="C36" s="27">
        <v>78</v>
      </c>
      <c r="D36" s="29" t="s">
        <v>1488</v>
      </c>
      <c r="E36" s="29" t="s">
        <v>1489</v>
      </c>
    </row>
    <row r="37" spans="1:5">
      <c r="A37" s="46" t="e">
        <f>VLOOKUP(C:C,#REF!,3,0)</f>
        <v>#REF!</v>
      </c>
      <c r="B37" s="46" t="e">
        <f>VLOOKUP(C:C,#REF!,2,0)</f>
        <v>#REF!</v>
      </c>
      <c r="C37" s="27">
        <v>79</v>
      </c>
      <c r="D37" s="29" t="s">
        <v>1490</v>
      </c>
      <c r="E37" s="29" t="s">
        <v>1491</v>
      </c>
    </row>
    <row r="38" spans="1:5">
      <c r="A38" s="46" t="e">
        <f>VLOOKUP(C:C,#REF!,3,0)</f>
        <v>#REF!</v>
      </c>
      <c r="B38" s="46" t="e">
        <f>VLOOKUP(C:C,#REF!,2,0)</f>
        <v>#REF!</v>
      </c>
      <c r="C38" s="27">
        <v>80</v>
      </c>
      <c r="D38" s="29" t="s">
        <v>1494</v>
      </c>
      <c r="E38" s="29" t="s">
        <v>1495</v>
      </c>
    </row>
    <row r="39" spans="1:5">
      <c r="A39" s="46" t="e">
        <f>VLOOKUP(C:C,#REF!,3,0)</f>
        <v>#REF!</v>
      </c>
      <c r="B39" s="46" t="e">
        <f>VLOOKUP(C:C,#REF!,2,0)</f>
        <v>#REF!</v>
      </c>
      <c r="C39" s="27">
        <v>81</v>
      </c>
      <c r="D39" s="29" t="s">
        <v>1496</v>
      </c>
      <c r="E39" s="29" t="s">
        <v>1497</v>
      </c>
    </row>
    <row r="40" spans="1:5">
      <c r="A40" s="46" t="e">
        <f>VLOOKUP(C:C,#REF!,3,0)</f>
        <v>#REF!</v>
      </c>
      <c r="B40" s="46" t="e">
        <f>VLOOKUP(C:C,#REF!,2,0)</f>
        <v>#REF!</v>
      </c>
      <c r="C40" s="27">
        <v>82</v>
      </c>
      <c r="D40" s="29" t="s">
        <v>1498</v>
      </c>
      <c r="E40" s="29" t="s">
        <v>1499</v>
      </c>
    </row>
    <row r="41" spans="1:5">
      <c r="A41" s="46" t="e">
        <f>VLOOKUP(C:C,#REF!,3,0)</f>
        <v>#REF!</v>
      </c>
      <c r="B41" s="46" t="e">
        <f>VLOOKUP(C:C,#REF!,2,0)</f>
        <v>#REF!</v>
      </c>
      <c r="C41" s="27">
        <v>83</v>
      </c>
      <c r="D41" s="29" t="s">
        <v>1500</v>
      </c>
      <c r="E41" s="29" t="s">
        <v>1501</v>
      </c>
    </row>
    <row r="42" spans="1:5">
      <c r="A42" s="46" t="e">
        <f>VLOOKUP(C:C,#REF!,3,0)</f>
        <v>#REF!</v>
      </c>
      <c r="B42" s="46" t="e">
        <f>VLOOKUP(C:C,#REF!,2,0)</f>
        <v>#REF!</v>
      </c>
      <c r="C42" s="27">
        <v>84</v>
      </c>
      <c r="D42" s="29" t="s">
        <v>1502</v>
      </c>
      <c r="E42" s="29" t="s">
        <v>1503</v>
      </c>
    </row>
    <row r="43" spans="1:5">
      <c r="A43" s="46" t="e">
        <f>VLOOKUP(C:C,#REF!,3,0)</f>
        <v>#REF!</v>
      </c>
      <c r="B43" s="46" t="e">
        <f>VLOOKUP(C:C,#REF!,2,0)</f>
        <v>#REF!</v>
      </c>
      <c r="C43" s="27">
        <v>85</v>
      </c>
      <c r="D43" s="29" t="s">
        <v>1508</v>
      </c>
      <c r="E43" s="29" t="s">
        <v>1509</v>
      </c>
    </row>
    <row r="44" spans="1:5">
      <c r="A44" s="46" t="e">
        <f>VLOOKUP(C:C,#REF!,3,0)</f>
        <v>#REF!</v>
      </c>
      <c r="B44" s="46" t="e">
        <f>VLOOKUP(C:C,#REF!,2,0)</f>
        <v>#REF!</v>
      </c>
      <c r="C44" s="27">
        <v>86</v>
      </c>
      <c r="D44" s="29" t="s">
        <v>1510</v>
      </c>
      <c r="E44" s="29" t="s">
        <v>1511</v>
      </c>
    </row>
    <row r="45" spans="1:5">
      <c r="A45" s="46" t="e">
        <f>VLOOKUP(C:C,#REF!,3,0)</f>
        <v>#REF!</v>
      </c>
      <c r="B45" s="46" t="e">
        <f>VLOOKUP(C:C,#REF!,2,0)</f>
        <v>#REF!</v>
      </c>
      <c r="C45" s="27">
        <v>87</v>
      </c>
      <c r="D45" s="29" t="s">
        <v>1512</v>
      </c>
      <c r="E45" s="29" t="s">
        <v>1513</v>
      </c>
    </row>
    <row r="46" spans="1:5">
      <c r="A46" s="46" t="e">
        <f>VLOOKUP(C:C,#REF!,3,0)</f>
        <v>#REF!</v>
      </c>
      <c r="B46" s="46" t="e">
        <f>VLOOKUP(C:C,#REF!,2,0)</f>
        <v>#REF!</v>
      </c>
      <c r="C46" s="27">
        <v>88</v>
      </c>
      <c r="D46" s="29" t="s">
        <v>1514</v>
      </c>
      <c r="E46" s="29" t="s">
        <v>1515</v>
      </c>
    </row>
    <row r="47" spans="1:5">
      <c r="A47" s="46" t="e">
        <f>VLOOKUP(C:C,#REF!,3,0)</f>
        <v>#REF!</v>
      </c>
      <c r="B47" s="46" t="e">
        <f>VLOOKUP(C:C,#REF!,2,0)</f>
        <v>#REF!</v>
      </c>
      <c r="C47" s="27">
        <v>89</v>
      </c>
      <c r="D47" s="29" t="s">
        <v>1516</v>
      </c>
      <c r="E47" s="29" t="s">
        <v>1517</v>
      </c>
    </row>
    <row r="48" spans="1:5">
      <c r="A48" s="46" t="e">
        <f>VLOOKUP(C:C,#REF!,3,0)</f>
        <v>#REF!</v>
      </c>
      <c r="B48" s="46" t="e">
        <f>VLOOKUP(C:C,#REF!,2,0)</f>
        <v>#REF!</v>
      </c>
      <c r="C48" s="27">
        <v>90</v>
      </c>
      <c r="D48" s="29" t="s">
        <v>1518</v>
      </c>
      <c r="E48" s="29" t="s">
        <v>1519</v>
      </c>
    </row>
    <row r="49" spans="1:5">
      <c r="A49" s="46" t="e">
        <f>VLOOKUP(C:C,#REF!,3,0)</f>
        <v>#REF!</v>
      </c>
      <c r="B49" s="46" t="e">
        <f>VLOOKUP(C:C,#REF!,2,0)</f>
        <v>#REF!</v>
      </c>
      <c r="C49" s="27">
        <v>91</v>
      </c>
      <c r="D49" s="29" t="s">
        <v>1520</v>
      </c>
      <c r="E49" s="29" t="s">
        <v>1521</v>
      </c>
    </row>
    <row r="50" spans="1:5">
      <c r="A50" s="46" t="e">
        <f>VLOOKUP(C:C,#REF!,3,0)</f>
        <v>#REF!</v>
      </c>
      <c r="B50" s="46" t="e">
        <f>VLOOKUP(C:C,#REF!,2,0)</f>
        <v>#REF!</v>
      </c>
      <c r="C50" s="27">
        <v>92</v>
      </c>
      <c r="D50" s="29" t="s">
        <v>1524</v>
      </c>
      <c r="E50" s="29" t="s">
        <v>1525</v>
      </c>
    </row>
    <row r="51" spans="1:5">
      <c r="A51" s="46" t="e">
        <f>VLOOKUP(C:C,#REF!,3,0)</f>
        <v>#REF!</v>
      </c>
      <c r="B51" s="46" t="e">
        <f>VLOOKUP(C:C,#REF!,2,0)</f>
        <v>#REF!</v>
      </c>
      <c r="C51" s="27">
        <v>93</v>
      </c>
      <c r="D51" s="29" t="s">
        <v>1526</v>
      </c>
      <c r="E51" s="29" t="s">
        <v>1527</v>
      </c>
    </row>
    <row r="52" spans="1:5">
      <c r="A52" s="46" t="e">
        <f>VLOOKUP(C:C,#REF!,3,0)</f>
        <v>#REF!</v>
      </c>
      <c r="B52" s="46" t="e">
        <f>VLOOKUP(C:C,#REF!,2,0)</f>
        <v>#REF!</v>
      </c>
      <c r="C52" s="27">
        <v>94</v>
      </c>
      <c r="D52" s="29" t="s">
        <v>1528</v>
      </c>
      <c r="E52" s="29" t="s">
        <v>1529</v>
      </c>
    </row>
    <row r="53" spans="1:5">
      <c r="A53" s="46" t="e">
        <f>VLOOKUP(C:C,#REF!,3,0)</f>
        <v>#REF!</v>
      </c>
      <c r="B53" s="46" t="e">
        <f>VLOOKUP(C:C,#REF!,2,0)</f>
        <v>#REF!</v>
      </c>
      <c r="C53" s="27">
        <v>95</v>
      </c>
      <c r="D53" s="29" t="s">
        <v>1530</v>
      </c>
      <c r="E53" s="29" t="s">
        <v>1531</v>
      </c>
    </row>
    <row r="54" spans="1:5">
      <c r="A54" s="46" t="e">
        <f>VLOOKUP(C:C,#REF!,3,0)</f>
        <v>#REF!</v>
      </c>
      <c r="B54" s="46" t="e">
        <f>VLOOKUP(C:C,#REF!,2,0)</f>
        <v>#REF!</v>
      </c>
      <c r="C54" s="27">
        <v>96</v>
      </c>
      <c r="D54" s="29" t="s">
        <v>1532</v>
      </c>
      <c r="E54" s="29" t="s">
        <v>1533</v>
      </c>
    </row>
    <row r="55" spans="1:5">
      <c r="A55" s="46" t="e">
        <f>VLOOKUP(C:C,#REF!,3,0)</f>
        <v>#REF!</v>
      </c>
      <c r="B55" s="46" t="e">
        <f>VLOOKUP(C:C,#REF!,2,0)</f>
        <v>#REF!</v>
      </c>
      <c r="C55" s="27">
        <v>97</v>
      </c>
      <c r="D55" s="29" t="s">
        <v>1534</v>
      </c>
      <c r="E55" s="29" t="s">
        <v>1535</v>
      </c>
    </row>
    <row r="56" spans="1:5">
      <c r="A56" s="46" t="e">
        <f>VLOOKUP(C:C,#REF!,3,0)</f>
        <v>#REF!</v>
      </c>
      <c r="B56" s="46" t="e">
        <f>VLOOKUP(C:C,#REF!,2,0)</f>
        <v>#REF!</v>
      </c>
      <c r="C56" s="27">
        <v>98</v>
      </c>
      <c r="D56" s="29" t="s">
        <v>1538</v>
      </c>
      <c r="E56" s="29" t="s">
        <v>1539</v>
      </c>
    </row>
    <row r="57" spans="1:5">
      <c r="A57" s="46" t="e">
        <f>VLOOKUP(C:C,#REF!,3,0)</f>
        <v>#REF!</v>
      </c>
      <c r="B57" s="46" t="e">
        <f>VLOOKUP(C:C,#REF!,2,0)</f>
        <v>#REF!</v>
      </c>
      <c r="C57" s="27">
        <v>99</v>
      </c>
      <c r="D57" s="29" t="s">
        <v>1540</v>
      </c>
      <c r="E57" s="29" t="s">
        <v>1541</v>
      </c>
    </row>
    <row r="58" spans="1:5">
      <c r="A58" s="46" t="e">
        <f>VLOOKUP(C:C,#REF!,3,0)</f>
        <v>#REF!</v>
      </c>
      <c r="B58" s="46" t="e">
        <f>VLOOKUP(C:C,#REF!,2,0)</f>
        <v>#REF!</v>
      </c>
      <c r="C58" s="27">
        <v>100</v>
      </c>
      <c r="D58" s="29" t="s">
        <v>1542</v>
      </c>
      <c r="E58" s="29" t="s">
        <v>1543</v>
      </c>
    </row>
    <row r="59" spans="1:5">
      <c r="A59" s="46" t="e">
        <f>VLOOKUP(C:C,#REF!,3,0)</f>
        <v>#REF!</v>
      </c>
      <c r="B59" s="46" t="e">
        <f>VLOOKUP(C:C,#REF!,2,0)</f>
        <v>#REF!</v>
      </c>
      <c r="C59" s="27">
        <v>101</v>
      </c>
      <c r="D59" s="29" t="s">
        <v>1544</v>
      </c>
      <c r="E59" s="29" t="s">
        <v>1545</v>
      </c>
    </row>
    <row r="60" spans="1:5">
      <c r="A60" s="46" t="e">
        <f>VLOOKUP(C:C,#REF!,3,0)</f>
        <v>#REF!</v>
      </c>
      <c r="B60" s="46" t="e">
        <f>VLOOKUP(C:C,#REF!,2,0)</f>
        <v>#REF!</v>
      </c>
      <c r="C60" s="27">
        <v>102</v>
      </c>
      <c r="D60" s="29" t="s">
        <v>1548</v>
      </c>
      <c r="E60" s="29" t="s">
        <v>1549</v>
      </c>
    </row>
    <row r="61" spans="1:5">
      <c r="A61" s="46" t="e">
        <f>VLOOKUP(C:C,#REF!,3,0)</f>
        <v>#REF!</v>
      </c>
      <c r="B61" s="46" t="e">
        <f>VLOOKUP(C:C,#REF!,2,0)</f>
        <v>#REF!</v>
      </c>
      <c r="C61" s="27">
        <v>103</v>
      </c>
      <c r="D61" s="29" t="s">
        <v>1550</v>
      </c>
      <c r="E61" s="29" t="s">
        <v>1551</v>
      </c>
    </row>
    <row r="62" spans="1:5">
      <c r="A62" s="46" t="e">
        <f>VLOOKUP(C:C,#REF!,3,0)</f>
        <v>#REF!</v>
      </c>
      <c r="B62" s="46" t="e">
        <f>VLOOKUP(C:C,#REF!,2,0)</f>
        <v>#REF!</v>
      </c>
      <c r="C62" s="27">
        <v>104</v>
      </c>
      <c r="D62" s="29" t="s">
        <v>1552</v>
      </c>
      <c r="E62" s="29" t="s">
        <v>1553</v>
      </c>
    </row>
    <row r="63" spans="1:5">
      <c r="A63" s="46" t="e">
        <f>VLOOKUP(C:C,#REF!,3,0)</f>
        <v>#REF!</v>
      </c>
      <c r="B63" s="46" t="e">
        <f>VLOOKUP(C:C,#REF!,2,0)</f>
        <v>#REF!</v>
      </c>
      <c r="C63" s="27">
        <v>105</v>
      </c>
      <c r="D63" s="29" t="s">
        <v>1556</v>
      </c>
      <c r="E63" s="29" t="s">
        <v>1557</v>
      </c>
    </row>
    <row r="64" spans="1:5">
      <c r="A64" s="46" t="e">
        <f>VLOOKUP(C:C,#REF!,3,0)</f>
        <v>#REF!</v>
      </c>
      <c r="B64" s="46" t="e">
        <f>VLOOKUP(C:C,#REF!,2,0)</f>
        <v>#REF!</v>
      </c>
      <c r="C64" s="27">
        <v>106</v>
      </c>
      <c r="D64" s="29" t="s">
        <v>1558</v>
      </c>
      <c r="E64" s="29" t="s">
        <v>1559</v>
      </c>
    </row>
    <row r="65" spans="1:5">
      <c r="A65" s="46" t="e">
        <f>VLOOKUP(C:C,#REF!,3,0)</f>
        <v>#REF!</v>
      </c>
      <c r="B65" s="46" t="e">
        <f>VLOOKUP(C:C,#REF!,2,0)</f>
        <v>#REF!</v>
      </c>
      <c r="C65" s="27">
        <v>107</v>
      </c>
      <c r="D65" s="29" t="s">
        <v>1560</v>
      </c>
      <c r="E65" s="29" t="s">
        <v>1561</v>
      </c>
    </row>
    <row r="66" spans="1:5">
      <c r="A66" s="46" t="e">
        <f>VLOOKUP(C:C,#REF!,3,0)</f>
        <v>#REF!</v>
      </c>
      <c r="B66" s="46" t="e">
        <f>VLOOKUP(C:C,#REF!,2,0)</f>
        <v>#REF!</v>
      </c>
      <c r="C66" s="27">
        <v>108</v>
      </c>
      <c r="D66" s="29" t="s">
        <v>1565</v>
      </c>
      <c r="E66" s="29" t="s">
        <v>138</v>
      </c>
    </row>
    <row r="67" spans="1:5">
      <c r="A67" s="46" t="e">
        <f>VLOOKUP(C:C,#REF!,3,0)</f>
        <v>#REF!</v>
      </c>
      <c r="B67" s="46" t="e">
        <f>VLOOKUP(C:C,#REF!,2,0)</f>
        <v>#REF!</v>
      </c>
      <c r="C67" s="27">
        <v>109</v>
      </c>
      <c r="D67" s="29" t="s">
        <v>140</v>
      </c>
      <c r="E67" s="29" t="s">
        <v>112</v>
      </c>
    </row>
    <row r="68" spans="1:5">
      <c r="A68" s="46" t="e">
        <f>VLOOKUP(C:C,#REF!,3,0)</f>
        <v>#REF!</v>
      </c>
      <c r="B68" s="46" t="e">
        <f>VLOOKUP(C:C,#REF!,2,0)</f>
        <v>#REF!</v>
      </c>
      <c r="C68" s="27">
        <v>110</v>
      </c>
      <c r="D68" s="29" t="s">
        <v>1568</v>
      </c>
      <c r="E68" s="29" t="s">
        <v>1569</v>
      </c>
    </row>
    <row r="69" spans="1:5">
      <c r="A69" s="46" t="e">
        <f>VLOOKUP(C:C,#REF!,3,0)</f>
        <v>#REF!</v>
      </c>
      <c r="B69" s="46" t="e">
        <f>VLOOKUP(C:C,#REF!,2,0)</f>
        <v>#REF!</v>
      </c>
      <c r="C69" s="27">
        <v>111</v>
      </c>
      <c r="D69" s="29" t="s">
        <v>1570</v>
      </c>
      <c r="E69" s="29" t="s">
        <v>1571</v>
      </c>
    </row>
    <row r="70" spans="1:5">
      <c r="A70" s="46" t="e">
        <f>VLOOKUP(C:C,#REF!,3,0)</f>
        <v>#REF!</v>
      </c>
      <c r="B70" s="46" t="e">
        <f>VLOOKUP(C:C,#REF!,2,0)</f>
        <v>#REF!</v>
      </c>
      <c r="C70" s="27">
        <v>112</v>
      </c>
      <c r="D70" s="29" t="s">
        <v>1572</v>
      </c>
      <c r="E70" s="29" t="s">
        <v>1573</v>
      </c>
    </row>
    <row r="71" spans="1:5">
      <c r="A71" s="46" t="e">
        <f>VLOOKUP(C:C,#REF!,3,0)</f>
        <v>#REF!</v>
      </c>
      <c r="B71" s="46" t="e">
        <f>VLOOKUP(C:C,#REF!,2,0)</f>
        <v>#REF!</v>
      </c>
      <c r="C71" s="27">
        <v>113</v>
      </c>
      <c r="D71" s="29" t="s">
        <v>1574</v>
      </c>
      <c r="E71" s="29" t="s">
        <v>1575</v>
      </c>
    </row>
    <row r="72" spans="1:5">
      <c r="A72" s="46" t="e">
        <f>VLOOKUP(C:C,#REF!,3,0)</f>
        <v>#REF!</v>
      </c>
      <c r="B72" s="46" t="e">
        <f>VLOOKUP(C:C,#REF!,2,0)</f>
        <v>#REF!</v>
      </c>
      <c r="C72" s="27">
        <v>114</v>
      </c>
      <c r="D72" s="29" t="s">
        <v>1436</v>
      </c>
      <c r="E72" s="29" t="s">
        <v>1437</v>
      </c>
    </row>
    <row r="73" spans="1:5">
      <c r="A73" s="46" t="e">
        <f>VLOOKUP(C:C,#REF!,3,0)</f>
        <v>#REF!</v>
      </c>
      <c r="B73" s="46" t="e">
        <f>VLOOKUP(C:C,#REF!,2,0)</f>
        <v>#REF!</v>
      </c>
      <c r="C73" s="27">
        <v>115</v>
      </c>
      <c r="D73" s="29" t="s">
        <v>1578</v>
      </c>
      <c r="E73" s="29" t="s">
        <v>1579</v>
      </c>
    </row>
    <row r="74" spans="1:5">
      <c r="A74" s="46" t="e">
        <f>VLOOKUP(C:C,#REF!,3,0)</f>
        <v>#REF!</v>
      </c>
      <c r="B74" s="46" t="e">
        <f>VLOOKUP(C:C,#REF!,2,0)</f>
        <v>#REF!</v>
      </c>
      <c r="C74" s="27">
        <v>116</v>
      </c>
      <c r="D74" s="29" t="s">
        <v>1580</v>
      </c>
      <c r="E74" s="29" t="s">
        <v>1581</v>
      </c>
    </row>
    <row r="75" spans="1:5">
      <c r="A75" s="46" t="e">
        <f>VLOOKUP(C:C,#REF!,3,0)</f>
        <v>#REF!</v>
      </c>
      <c r="B75" s="46" t="e">
        <f>VLOOKUP(C:C,#REF!,2,0)</f>
        <v>#REF!</v>
      </c>
      <c r="C75" s="27">
        <v>117</v>
      </c>
      <c r="D75" s="29" t="s">
        <v>1582</v>
      </c>
      <c r="E75" s="29" t="s">
        <v>1583</v>
      </c>
    </row>
    <row r="76" spans="1:5">
      <c r="A76" s="46" t="e">
        <f>VLOOKUP(C:C,#REF!,3,0)</f>
        <v>#REF!</v>
      </c>
      <c r="B76" s="46" t="e">
        <f>VLOOKUP(C:C,#REF!,2,0)</f>
        <v>#REF!</v>
      </c>
      <c r="C76" s="27">
        <v>118</v>
      </c>
      <c r="D76" s="29" t="s">
        <v>1586</v>
      </c>
      <c r="E76" s="29" t="s">
        <v>1587</v>
      </c>
    </row>
    <row r="77" spans="1:5">
      <c r="A77" s="46" t="e">
        <f>VLOOKUP(C:C,#REF!,3,0)</f>
        <v>#REF!</v>
      </c>
      <c r="B77" s="46" t="e">
        <f>VLOOKUP(C:C,#REF!,2,0)</f>
        <v>#REF!</v>
      </c>
      <c r="C77" s="27">
        <v>119</v>
      </c>
      <c r="D77" s="29" t="s">
        <v>1588</v>
      </c>
      <c r="E77" s="29" t="s">
        <v>1589</v>
      </c>
    </row>
    <row r="78" spans="1:5">
      <c r="A78" s="46" t="e">
        <f>VLOOKUP(C:C,#REF!,3,0)</f>
        <v>#REF!</v>
      </c>
      <c r="B78" s="46" t="e">
        <f>VLOOKUP(C:C,#REF!,2,0)</f>
        <v>#REF!</v>
      </c>
      <c r="C78" s="27">
        <v>120</v>
      </c>
      <c r="D78" s="29" t="s">
        <v>1590</v>
      </c>
      <c r="E78" s="29" t="s">
        <v>1591</v>
      </c>
    </row>
    <row r="79" spans="1:5">
      <c r="A79" s="46" t="e">
        <f>VLOOKUP(C:C,#REF!,3,0)</f>
        <v>#REF!</v>
      </c>
      <c r="B79" s="46" t="e">
        <f>VLOOKUP(C:C,#REF!,2,0)</f>
        <v>#REF!</v>
      </c>
      <c r="C79" s="27">
        <v>121</v>
      </c>
      <c r="D79" s="29" t="s">
        <v>1592</v>
      </c>
      <c r="E79" s="29" t="s">
        <v>106</v>
      </c>
    </row>
    <row r="80" spans="1:5">
      <c r="A80" s="46" t="e">
        <f>VLOOKUP(C:C,#REF!,3,0)</f>
        <v>#REF!</v>
      </c>
      <c r="B80" s="46" t="e">
        <f>VLOOKUP(C:C,#REF!,2,0)</f>
        <v>#REF!</v>
      </c>
      <c r="C80" s="27">
        <v>122</v>
      </c>
      <c r="D80" s="29" t="s">
        <v>1595</v>
      </c>
      <c r="E80" s="29" t="s">
        <v>1596</v>
      </c>
    </row>
    <row r="81" spans="1:5">
      <c r="A81" s="46" t="e">
        <f>VLOOKUP(C:C,#REF!,3,0)</f>
        <v>#REF!</v>
      </c>
      <c r="B81" s="46" t="e">
        <f>VLOOKUP(C:C,#REF!,2,0)</f>
        <v>#REF!</v>
      </c>
      <c r="C81" s="27">
        <v>123</v>
      </c>
      <c r="D81" s="29" t="s">
        <v>1597</v>
      </c>
      <c r="E81" s="29" t="s">
        <v>1598</v>
      </c>
    </row>
    <row r="82" spans="1:5">
      <c r="A82" s="46" t="e">
        <f>VLOOKUP(C:C,#REF!,3,0)</f>
        <v>#REF!</v>
      </c>
      <c r="B82" s="46" t="e">
        <f>VLOOKUP(C:C,#REF!,2,0)</f>
        <v>#REF!</v>
      </c>
      <c r="C82" s="27">
        <v>124</v>
      </c>
      <c r="D82" s="29" t="s">
        <v>1436</v>
      </c>
      <c r="E82" s="29" t="s">
        <v>1599</v>
      </c>
    </row>
    <row r="83" spans="1:5">
      <c r="A83" s="46" t="e">
        <f>VLOOKUP(C:C,#REF!,3,0)</f>
        <v>#REF!</v>
      </c>
      <c r="B83" s="46" t="e">
        <f>VLOOKUP(C:C,#REF!,2,0)</f>
        <v>#REF!</v>
      </c>
      <c r="C83" s="27">
        <v>125</v>
      </c>
      <c r="D83" s="29" t="s">
        <v>1601</v>
      </c>
      <c r="E83" s="29" t="s">
        <v>1602</v>
      </c>
    </row>
    <row r="84" spans="1:5">
      <c r="A84" s="46" t="e">
        <f>VLOOKUP(C:C,#REF!,3,0)</f>
        <v>#REF!</v>
      </c>
      <c r="B84" s="46" t="e">
        <f>VLOOKUP(C:C,#REF!,2,0)</f>
        <v>#REF!</v>
      </c>
      <c r="C84" s="27">
        <v>126</v>
      </c>
      <c r="D84" s="29" t="s">
        <v>125</v>
      </c>
      <c r="E84" s="29" t="s">
        <v>1603</v>
      </c>
    </row>
    <row r="85" spans="1:5">
      <c r="A85" s="46" t="e">
        <f>VLOOKUP(C:C,#REF!,3,0)</f>
        <v>#REF!</v>
      </c>
      <c r="B85" s="46" t="e">
        <f>VLOOKUP(C:C,#REF!,2,0)</f>
        <v>#REF!</v>
      </c>
      <c r="C85" s="27">
        <v>127</v>
      </c>
      <c r="D85" s="29" t="s">
        <v>1604</v>
      </c>
      <c r="E85" s="29" t="s">
        <v>1605</v>
      </c>
    </row>
    <row r="86" spans="1:5">
      <c r="A86" s="46" t="e">
        <f>VLOOKUP(C:C,#REF!,3,0)</f>
        <v>#REF!</v>
      </c>
      <c r="B86" s="46" t="e">
        <f>VLOOKUP(C:C,#REF!,2,0)</f>
        <v>#REF!</v>
      </c>
      <c r="C86" s="27">
        <v>128</v>
      </c>
      <c r="D86" s="29" t="s">
        <v>1608</v>
      </c>
      <c r="E86" s="29" t="s">
        <v>1609</v>
      </c>
    </row>
    <row r="87" spans="1:5">
      <c r="A87" s="46" t="e">
        <f>VLOOKUP(C:C,#REF!,3,0)</f>
        <v>#REF!</v>
      </c>
      <c r="B87" s="46" t="e">
        <f>VLOOKUP(C:C,#REF!,2,0)</f>
        <v>#REF!</v>
      </c>
      <c r="C87" s="27">
        <v>129</v>
      </c>
      <c r="D87" s="29" t="s">
        <v>1610</v>
      </c>
      <c r="E87" s="29" t="s">
        <v>1611</v>
      </c>
    </row>
    <row r="88" spans="1:5">
      <c r="A88" s="46" t="e">
        <f>VLOOKUP(C:C,#REF!,3,0)</f>
        <v>#REF!</v>
      </c>
      <c r="B88" s="46" t="e">
        <f>VLOOKUP(C:C,#REF!,2,0)</f>
        <v>#REF!</v>
      </c>
      <c r="C88" s="27">
        <v>130</v>
      </c>
      <c r="D88" s="29" t="s">
        <v>1612</v>
      </c>
      <c r="E88" s="29" t="s">
        <v>3261</v>
      </c>
    </row>
    <row r="89" spans="1:5">
      <c r="A89" s="46" t="e">
        <f>VLOOKUP(C:C,#REF!,3,0)</f>
        <v>#REF!</v>
      </c>
      <c r="B89" s="46" t="e">
        <f>VLOOKUP(C:C,#REF!,2,0)</f>
        <v>#REF!</v>
      </c>
      <c r="C89" s="27">
        <v>131</v>
      </c>
      <c r="D89" s="29" t="s">
        <v>1613</v>
      </c>
      <c r="E89" s="29" t="s">
        <v>1614</v>
      </c>
    </row>
    <row r="90" spans="1:5">
      <c r="A90" s="46" t="e">
        <f>VLOOKUP(C:C,#REF!,3,0)</f>
        <v>#REF!</v>
      </c>
      <c r="B90" s="46" t="e">
        <f>VLOOKUP(C:C,#REF!,2,0)</f>
        <v>#REF!</v>
      </c>
      <c r="C90" s="27">
        <v>132</v>
      </c>
      <c r="D90" s="29" t="s">
        <v>1615</v>
      </c>
      <c r="E90" s="29" t="s">
        <v>3262</v>
      </c>
    </row>
    <row r="91" spans="1:5">
      <c r="A91" s="46" t="e">
        <f>VLOOKUP(C:C,#REF!,3,0)</f>
        <v>#REF!</v>
      </c>
      <c r="B91" s="46" t="e">
        <f>VLOOKUP(C:C,#REF!,2,0)</f>
        <v>#REF!</v>
      </c>
      <c r="C91" s="27">
        <v>133</v>
      </c>
      <c r="D91" s="29" t="s">
        <v>1617</v>
      </c>
      <c r="E91" s="29" t="s">
        <v>1618</v>
      </c>
    </row>
    <row r="92" spans="1:5">
      <c r="A92" s="46" t="e">
        <f>VLOOKUP(C:C,#REF!,3,0)</f>
        <v>#REF!</v>
      </c>
      <c r="B92" s="46" t="e">
        <f>VLOOKUP(C:C,#REF!,2,0)</f>
        <v>#REF!</v>
      </c>
      <c r="C92" s="27">
        <v>134</v>
      </c>
      <c r="D92" s="29" t="s">
        <v>1619</v>
      </c>
      <c r="E92" s="29" t="s">
        <v>1620</v>
      </c>
    </row>
    <row r="93" spans="1:5">
      <c r="A93" s="46" t="e">
        <f>VLOOKUP(C:C,#REF!,3,0)</f>
        <v>#REF!</v>
      </c>
      <c r="B93" s="46" t="e">
        <f>VLOOKUP(C:C,#REF!,2,0)</f>
        <v>#REF!</v>
      </c>
      <c r="C93" s="27">
        <v>135</v>
      </c>
      <c r="D93" s="29" t="s">
        <v>1625</v>
      </c>
      <c r="E93" s="29" t="s">
        <v>1626</v>
      </c>
    </row>
    <row r="94" spans="1:5">
      <c r="A94" s="46" t="e">
        <f>VLOOKUP(C:C,#REF!,3,0)</f>
        <v>#REF!</v>
      </c>
      <c r="B94" s="46" t="e">
        <f>VLOOKUP(C:C,#REF!,2,0)</f>
        <v>#REF!</v>
      </c>
      <c r="C94" s="27">
        <v>136</v>
      </c>
      <c r="D94" s="29" t="s">
        <v>1623</v>
      </c>
      <c r="E94" s="29" t="s">
        <v>1627</v>
      </c>
    </row>
    <row r="95" spans="1:5">
      <c r="A95" s="46" t="e">
        <f>VLOOKUP(C:C,#REF!,3,0)</f>
        <v>#REF!</v>
      </c>
      <c r="B95" s="46" t="e">
        <f>VLOOKUP(C:C,#REF!,2,0)</f>
        <v>#REF!</v>
      </c>
      <c r="C95" s="27">
        <v>137</v>
      </c>
      <c r="D95" s="29" t="s">
        <v>1628</v>
      </c>
      <c r="E95" s="29" t="s">
        <v>1629</v>
      </c>
    </row>
    <row r="96" spans="1:5">
      <c r="A96" s="46" t="e">
        <f>VLOOKUP(C:C,#REF!,3,0)</f>
        <v>#REF!</v>
      </c>
      <c r="B96" s="46" t="e">
        <f>VLOOKUP(C:C,#REF!,2,0)</f>
        <v>#REF!</v>
      </c>
      <c r="C96" s="27">
        <v>138</v>
      </c>
      <c r="D96" s="29" t="s">
        <v>1630</v>
      </c>
      <c r="E96" s="29" t="s">
        <v>1631</v>
      </c>
    </row>
    <row r="97" spans="1:5" ht="18" customHeight="1">
      <c r="A97" s="46" t="e">
        <f>VLOOKUP(C:C,#REF!,3,0)</f>
        <v>#REF!</v>
      </c>
      <c r="B97" s="46" t="e">
        <f>VLOOKUP(C:C,#REF!,2,0)</f>
        <v>#REF!</v>
      </c>
      <c r="C97" s="27">
        <v>139</v>
      </c>
      <c r="D97" s="29" t="s">
        <v>1632</v>
      </c>
      <c r="E97" s="29" t="s">
        <v>1633</v>
      </c>
    </row>
    <row r="98" spans="1:5">
      <c r="A98" s="46" t="e">
        <f>VLOOKUP(C:C,#REF!,3,0)</f>
        <v>#REF!</v>
      </c>
      <c r="B98" s="46" t="e">
        <f>VLOOKUP(C:C,#REF!,2,0)</f>
        <v>#REF!</v>
      </c>
      <c r="C98" s="27">
        <v>140</v>
      </c>
      <c r="D98" s="29" t="s">
        <v>1634</v>
      </c>
      <c r="E98" s="29" t="s">
        <v>1635</v>
      </c>
    </row>
    <row r="99" spans="1:5">
      <c r="A99" s="46" t="e">
        <f>VLOOKUP(C:C,#REF!,3,0)</f>
        <v>#REF!</v>
      </c>
      <c r="B99" s="46" t="e">
        <f>VLOOKUP(C:C,#REF!,2,0)</f>
        <v>#REF!</v>
      </c>
      <c r="C99" s="27">
        <v>141</v>
      </c>
      <c r="D99" s="29" t="s">
        <v>1636</v>
      </c>
      <c r="E99" s="29" t="s">
        <v>1637</v>
      </c>
    </row>
    <row r="100" spans="1:5">
      <c r="A100" s="46" t="e">
        <f>VLOOKUP(C:C,#REF!,3,0)</f>
        <v>#REF!</v>
      </c>
      <c r="B100" s="46" t="e">
        <f>VLOOKUP(C:C,#REF!,2,0)</f>
        <v>#REF!</v>
      </c>
      <c r="C100" s="27">
        <v>142</v>
      </c>
      <c r="D100" s="29" t="s">
        <v>1638</v>
      </c>
      <c r="E100" s="29" t="s">
        <v>1639</v>
      </c>
    </row>
    <row r="101" spans="1:5">
      <c r="A101" s="46" t="e">
        <f>VLOOKUP(C:C,#REF!,3,0)</f>
        <v>#REF!</v>
      </c>
      <c r="B101" s="46" t="e">
        <f>VLOOKUP(C:C,#REF!,2,0)</f>
        <v>#REF!</v>
      </c>
      <c r="C101" s="27">
        <v>143</v>
      </c>
      <c r="D101" s="29" t="s">
        <v>1640</v>
      </c>
      <c r="E101" s="29" t="s">
        <v>1641</v>
      </c>
    </row>
    <row r="102" spans="1:5">
      <c r="A102" s="46" t="e">
        <f>VLOOKUP(C:C,#REF!,3,0)</f>
        <v>#REF!</v>
      </c>
      <c r="B102" s="46" t="e">
        <f>VLOOKUP(C:C,#REF!,2,0)</f>
        <v>#REF!</v>
      </c>
      <c r="C102" s="27">
        <v>144</v>
      </c>
      <c r="D102" s="29" t="s">
        <v>129</v>
      </c>
      <c r="E102" s="29" t="s">
        <v>1644</v>
      </c>
    </row>
    <row r="103" spans="1:5">
      <c r="A103" s="46" t="e">
        <f>VLOOKUP(C:C,#REF!,3,0)</f>
        <v>#REF!</v>
      </c>
      <c r="B103" s="46" t="e">
        <f>VLOOKUP(C:C,#REF!,2,0)</f>
        <v>#REF!</v>
      </c>
      <c r="C103" s="27">
        <v>145</v>
      </c>
      <c r="D103" s="29" t="s">
        <v>127</v>
      </c>
      <c r="E103" s="29" t="s">
        <v>1645</v>
      </c>
    </row>
    <row r="104" spans="1:5">
      <c r="A104" s="46" t="e">
        <f>VLOOKUP(C:C,#REF!,3,0)</f>
        <v>#REF!</v>
      </c>
      <c r="B104" s="46" t="e">
        <f>VLOOKUP(C:C,#REF!,2,0)</f>
        <v>#REF!</v>
      </c>
      <c r="C104" s="27">
        <v>146</v>
      </c>
      <c r="D104" s="29" t="s">
        <v>1646</v>
      </c>
      <c r="E104" s="29" t="s">
        <v>142</v>
      </c>
    </row>
    <row r="105" spans="1:5">
      <c r="A105" s="46" t="e">
        <f>VLOOKUP(C:C,#REF!,3,0)</f>
        <v>#REF!</v>
      </c>
      <c r="B105" s="46" t="e">
        <f>VLOOKUP(C:C,#REF!,2,0)</f>
        <v>#REF!</v>
      </c>
      <c r="C105" s="27">
        <v>147</v>
      </c>
      <c r="D105" s="29" t="s">
        <v>1647</v>
      </c>
      <c r="E105" s="29" t="s">
        <v>1648</v>
      </c>
    </row>
    <row r="106" spans="1:5">
      <c r="A106" s="46" t="e">
        <f>VLOOKUP(C:C,#REF!,3,0)</f>
        <v>#REF!</v>
      </c>
      <c r="B106" s="46" t="e">
        <f>VLOOKUP(C:C,#REF!,2,0)</f>
        <v>#REF!</v>
      </c>
      <c r="C106" s="27">
        <v>148</v>
      </c>
      <c r="D106" s="29" t="s">
        <v>1649</v>
      </c>
      <c r="E106" s="51" t="s">
        <v>3258</v>
      </c>
    </row>
    <row r="107" spans="1:5">
      <c r="A107" s="46" t="e">
        <f>VLOOKUP(C:C,#REF!,3,0)</f>
        <v>#REF!</v>
      </c>
      <c r="B107" s="46" t="e">
        <f>VLOOKUP(C:C,#REF!,2,0)</f>
        <v>#REF!</v>
      </c>
      <c r="C107" s="27">
        <v>149</v>
      </c>
      <c r="D107" s="29" t="s">
        <v>1651</v>
      </c>
      <c r="E107" s="29" t="s">
        <v>1652</v>
      </c>
    </row>
    <row r="108" spans="1:5">
      <c r="A108" s="46" t="e">
        <f>VLOOKUP(C:C,#REF!,3,0)</f>
        <v>#REF!</v>
      </c>
      <c r="B108" s="46" t="e">
        <f>VLOOKUP(C:C,#REF!,2,0)</f>
        <v>#REF!</v>
      </c>
      <c r="C108" s="27">
        <v>150</v>
      </c>
      <c r="D108" s="29" t="s">
        <v>1653</v>
      </c>
      <c r="E108" s="29" t="s">
        <v>82</v>
      </c>
    </row>
    <row r="109" spans="1:5">
      <c r="A109" s="46" t="e">
        <f>VLOOKUP(C:C,#REF!,3,0)</f>
        <v>#REF!</v>
      </c>
      <c r="B109" s="46" t="e">
        <f>VLOOKUP(C:C,#REF!,2,0)</f>
        <v>#REF!</v>
      </c>
      <c r="C109" s="27">
        <v>151</v>
      </c>
      <c r="D109" s="29" t="s">
        <v>1628</v>
      </c>
      <c r="E109" s="29" t="s">
        <v>1654</v>
      </c>
    </row>
    <row r="110" spans="1:5">
      <c r="A110" s="46" t="e">
        <f>VLOOKUP(C:C,#REF!,3,0)</f>
        <v>#REF!</v>
      </c>
      <c r="B110" s="46" t="e">
        <f>VLOOKUP(C:C,#REF!,2,0)</f>
        <v>#REF!</v>
      </c>
      <c r="C110" s="27">
        <v>152</v>
      </c>
      <c r="D110" s="29" t="s">
        <v>1655</v>
      </c>
      <c r="E110" s="29" t="s">
        <v>1656</v>
      </c>
    </row>
    <row r="111" spans="1:5">
      <c r="A111" s="46" t="e">
        <f>VLOOKUP(C:C,#REF!,3,0)</f>
        <v>#REF!</v>
      </c>
      <c r="B111" s="46" t="e">
        <f>VLOOKUP(C:C,#REF!,2,0)</f>
        <v>#REF!</v>
      </c>
      <c r="C111" s="27">
        <v>153</v>
      </c>
      <c r="D111" s="29" t="s">
        <v>1657</v>
      </c>
      <c r="E111" s="29" t="s">
        <v>1658</v>
      </c>
    </row>
    <row r="112" spans="1:5">
      <c r="A112" s="46" t="e">
        <f>VLOOKUP(C:C,#REF!,3,0)</f>
        <v>#REF!</v>
      </c>
      <c r="B112" s="46" t="e">
        <f>VLOOKUP(C:C,#REF!,2,0)</f>
        <v>#REF!</v>
      </c>
      <c r="C112" s="27">
        <v>154</v>
      </c>
      <c r="D112" s="29" t="s">
        <v>1663</v>
      </c>
      <c r="E112" s="29" t="s">
        <v>1664</v>
      </c>
    </row>
    <row r="113" spans="1:5">
      <c r="A113" s="46" t="e">
        <f>VLOOKUP(C:C,#REF!,3,0)</f>
        <v>#REF!</v>
      </c>
      <c r="B113" s="46" t="e">
        <f>VLOOKUP(C:C,#REF!,2,0)</f>
        <v>#REF!</v>
      </c>
      <c r="C113" s="27">
        <v>155</v>
      </c>
      <c r="D113" s="29" t="s">
        <v>1665</v>
      </c>
      <c r="E113" s="29" t="s">
        <v>1666</v>
      </c>
    </row>
    <row r="114" spans="1:5">
      <c r="A114" s="46" t="e">
        <f>VLOOKUP(C:C,#REF!,3,0)</f>
        <v>#REF!</v>
      </c>
      <c r="B114" s="46" t="e">
        <f>VLOOKUP(C:C,#REF!,2,0)</f>
        <v>#REF!</v>
      </c>
      <c r="C114" s="27">
        <v>156</v>
      </c>
      <c r="D114" s="29" t="s">
        <v>1667</v>
      </c>
      <c r="E114" s="29" t="s">
        <v>1668</v>
      </c>
    </row>
    <row r="115" spans="1:5">
      <c r="A115" s="46" t="e">
        <f>VLOOKUP(C:C,#REF!,3,0)</f>
        <v>#REF!</v>
      </c>
      <c r="B115" s="46" t="e">
        <f>VLOOKUP(C:C,#REF!,2,0)</f>
        <v>#REF!</v>
      </c>
      <c r="C115" s="27">
        <v>157</v>
      </c>
      <c r="D115" s="29" t="s">
        <v>1671</v>
      </c>
      <c r="E115" s="29" t="s">
        <v>1672</v>
      </c>
    </row>
    <row r="116" spans="1:5">
      <c r="A116" s="46" t="e">
        <f>VLOOKUP(C:C,#REF!,3,0)</f>
        <v>#REF!</v>
      </c>
      <c r="B116" s="46" t="e">
        <f>VLOOKUP(C:C,#REF!,2,0)</f>
        <v>#REF!</v>
      </c>
      <c r="C116" s="27">
        <v>158</v>
      </c>
      <c r="D116" s="29" t="s">
        <v>1673</v>
      </c>
      <c r="E116" s="29" t="s">
        <v>1674</v>
      </c>
    </row>
    <row r="117" spans="1:5">
      <c r="A117" s="46" t="e">
        <f>VLOOKUP(C:C,#REF!,3,0)</f>
        <v>#REF!</v>
      </c>
      <c r="B117" s="46" t="e">
        <f>VLOOKUP(C:C,#REF!,2,0)</f>
        <v>#REF!</v>
      </c>
      <c r="C117" s="27">
        <v>159</v>
      </c>
      <c r="D117" s="29" t="s">
        <v>1675</v>
      </c>
      <c r="E117" s="29" t="s">
        <v>1676</v>
      </c>
    </row>
    <row r="118" spans="1:5">
      <c r="A118" s="46" t="e">
        <f>VLOOKUP(C:C,#REF!,3,0)</f>
        <v>#REF!</v>
      </c>
      <c r="B118" s="46" t="e">
        <f>VLOOKUP(C:C,#REF!,2,0)</f>
        <v>#REF!</v>
      </c>
      <c r="C118" s="27">
        <v>160</v>
      </c>
      <c r="D118" s="29" t="s">
        <v>1679</v>
      </c>
      <c r="E118" s="29" t="s">
        <v>1680</v>
      </c>
    </row>
    <row r="119" spans="1:5">
      <c r="A119" s="46" t="e">
        <f>VLOOKUP(C:C,#REF!,3,0)</f>
        <v>#REF!</v>
      </c>
      <c r="B119" s="46" t="e">
        <f>VLOOKUP(C:C,#REF!,2,0)</f>
        <v>#REF!</v>
      </c>
      <c r="C119" s="27">
        <v>161</v>
      </c>
      <c r="D119" s="29" t="s">
        <v>1683</v>
      </c>
      <c r="E119" s="29" t="s">
        <v>1684</v>
      </c>
    </row>
    <row r="120" spans="1:5">
      <c r="A120" s="46" t="e">
        <f>VLOOKUP(C:C,#REF!,3,0)</f>
        <v>#REF!</v>
      </c>
      <c r="B120" s="46" t="e">
        <f>VLOOKUP(C:C,#REF!,2,0)</f>
        <v>#REF!</v>
      </c>
      <c r="C120" s="27">
        <v>162</v>
      </c>
      <c r="D120" s="29" t="s">
        <v>1685</v>
      </c>
      <c r="E120" s="29" t="s">
        <v>1686</v>
      </c>
    </row>
    <row r="121" spans="1:5">
      <c r="A121" s="46" t="e">
        <f>VLOOKUP(C:C,#REF!,3,0)</f>
        <v>#REF!</v>
      </c>
      <c r="B121" s="46" t="e">
        <f>VLOOKUP(C:C,#REF!,2,0)</f>
        <v>#REF!</v>
      </c>
      <c r="C121" s="27">
        <v>163</v>
      </c>
      <c r="D121" s="29" t="s">
        <v>1687</v>
      </c>
      <c r="E121" s="29" t="s">
        <v>1688</v>
      </c>
    </row>
    <row r="122" spans="1:5">
      <c r="A122" s="46" t="e">
        <f>VLOOKUP(C:C,#REF!,3,0)</f>
        <v>#REF!</v>
      </c>
      <c r="B122" s="46" t="e">
        <f>VLOOKUP(C:C,#REF!,2,0)</f>
        <v>#REF!</v>
      </c>
      <c r="C122" s="27">
        <v>164</v>
      </c>
      <c r="D122" s="29" t="s">
        <v>1689</v>
      </c>
      <c r="E122" s="29" t="s">
        <v>1690</v>
      </c>
    </row>
    <row r="123" spans="1:5">
      <c r="A123" s="46" t="e">
        <f>VLOOKUP(C:C,#REF!,3,0)</f>
        <v>#REF!</v>
      </c>
      <c r="B123" s="46" t="e">
        <f>VLOOKUP(C:C,#REF!,2,0)</f>
        <v>#REF!</v>
      </c>
      <c r="C123" s="27">
        <v>165</v>
      </c>
      <c r="D123" s="29" t="s">
        <v>1691</v>
      </c>
      <c r="E123" s="29" t="s">
        <v>1692</v>
      </c>
    </row>
    <row r="124" spans="1:5">
      <c r="A124" s="46" t="e">
        <f>VLOOKUP(C:C,#REF!,3,0)</f>
        <v>#REF!</v>
      </c>
      <c r="B124" s="46" t="e">
        <f>VLOOKUP(C:C,#REF!,2,0)</f>
        <v>#REF!</v>
      </c>
      <c r="C124" s="27">
        <v>166</v>
      </c>
      <c r="D124" s="29" t="s">
        <v>1697</v>
      </c>
      <c r="E124" s="29" t="s">
        <v>1698</v>
      </c>
    </row>
    <row r="125" spans="1:5">
      <c r="A125" s="46" t="e">
        <f>VLOOKUP(C:C,#REF!,3,0)</f>
        <v>#REF!</v>
      </c>
      <c r="B125" s="46" t="e">
        <f>VLOOKUP(C:C,#REF!,2,0)</f>
        <v>#REF!</v>
      </c>
      <c r="C125" s="27">
        <v>167</v>
      </c>
      <c r="D125" s="29" t="s">
        <v>1699</v>
      </c>
      <c r="E125" s="29" t="s">
        <v>1700</v>
      </c>
    </row>
    <row r="126" spans="1:5">
      <c r="A126" s="46" t="e">
        <f>VLOOKUP(C:C,#REF!,3,0)</f>
        <v>#REF!</v>
      </c>
      <c r="B126" s="46" t="e">
        <f>VLOOKUP(C:C,#REF!,2,0)</f>
        <v>#REF!</v>
      </c>
      <c r="C126" s="27">
        <v>168</v>
      </c>
      <c r="D126" s="29" t="s">
        <v>163</v>
      </c>
      <c r="E126" s="29" t="s">
        <v>1701</v>
      </c>
    </row>
    <row r="127" spans="1:5">
      <c r="A127" s="46" t="e">
        <f>VLOOKUP(C:C,#REF!,3,0)</f>
        <v>#REF!</v>
      </c>
      <c r="B127" s="46" t="e">
        <f>VLOOKUP(C:C,#REF!,2,0)</f>
        <v>#REF!</v>
      </c>
      <c r="C127" s="27">
        <v>169</v>
      </c>
      <c r="D127" s="29" t="s">
        <v>1702</v>
      </c>
      <c r="E127" s="29" t="s">
        <v>1703</v>
      </c>
    </row>
    <row r="128" spans="1:5">
      <c r="A128" s="46" t="e">
        <f>VLOOKUP(C:C,#REF!,3,0)</f>
        <v>#REF!</v>
      </c>
      <c r="B128" s="46" t="e">
        <f>VLOOKUP(C:C,#REF!,2,0)</f>
        <v>#REF!</v>
      </c>
      <c r="C128" s="27">
        <v>170</v>
      </c>
      <c r="D128" s="29" t="s">
        <v>1704</v>
      </c>
      <c r="E128" s="29" t="s">
        <v>1705</v>
      </c>
    </row>
    <row r="129" spans="1:5">
      <c r="A129" s="46" t="e">
        <f>VLOOKUP(C:C,#REF!,3,0)</f>
        <v>#REF!</v>
      </c>
      <c r="B129" s="46" t="e">
        <f>VLOOKUP(C:C,#REF!,2,0)</f>
        <v>#REF!</v>
      </c>
      <c r="C129" s="27">
        <v>171</v>
      </c>
      <c r="D129" s="29" t="s">
        <v>209</v>
      </c>
      <c r="E129" s="29" t="s">
        <v>208</v>
      </c>
    </row>
    <row r="130" spans="1:5">
      <c r="A130" s="46" t="e">
        <f>VLOOKUP(C:C,#REF!,3,0)</f>
        <v>#REF!</v>
      </c>
      <c r="B130" s="46" t="e">
        <f>VLOOKUP(C:C,#REF!,2,0)</f>
        <v>#REF!</v>
      </c>
      <c r="C130" s="27">
        <v>172</v>
      </c>
      <c r="D130" s="29" t="s">
        <v>1707</v>
      </c>
      <c r="E130" s="29" t="s">
        <v>1708</v>
      </c>
    </row>
    <row r="131" spans="1:5">
      <c r="A131" s="46" t="e">
        <f>VLOOKUP(C:C,#REF!,3,0)</f>
        <v>#REF!</v>
      </c>
      <c r="B131" s="46" t="e">
        <f>VLOOKUP(C:C,#REF!,2,0)</f>
        <v>#REF!</v>
      </c>
      <c r="C131" s="27">
        <v>173</v>
      </c>
      <c r="D131" s="29" t="s">
        <v>1709</v>
      </c>
      <c r="E131" s="29" t="s">
        <v>1710</v>
      </c>
    </row>
    <row r="132" spans="1:5">
      <c r="A132" s="46" t="e">
        <f>VLOOKUP(C:C,#REF!,3,0)</f>
        <v>#REF!</v>
      </c>
      <c r="B132" s="46" t="e">
        <f>VLOOKUP(C:C,#REF!,2,0)</f>
        <v>#REF!</v>
      </c>
      <c r="C132" s="27">
        <v>174</v>
      </c>
      <c r="D132" s="29" t="s">
        <v>1711</v>
      </c>
      <c r="E132" s="29" t="s">
        <v>1712</v>
      </c>
    </row>
    <row r="133" spans="1:5">
      <c r="A133" s="46" t="e">
        <f>VLOOKUP(C:C,#REF!,3,0)</f>
        <v>#REF!</v>
      </c>
      <c r="B133" s="46" t="e">
        <f>VLOOKUP(C:C,#REF!,2,0)</f>
        <v>#REF!</v>
      </c>
      <c r="C133" s="27">
        <v>175</v>
      </c>
      <c r="D133" s="29" t="s">
        <v>1713</v>
      </c>
      <c r="E133" s="29" t="s">
        <v>1714</v>
      </c>
    </row>
    <row r="134" spans="1:5">
      <c r="A134" s="46" t="e">
        <f>VLOOKUP(C:C,#REF!,3,0)</f>
        <v>#REF!</v>
      </c>
      <c r="B134" s="46" t="e">
        <f>VLOOKUP(C:C,#REF!,2,0)</f>
        <v>#REF!</v>
      </c>
      <c r="C134" s="27">
        <v>176</v>
      </c>
      <c r="D134" s="29" t="s">
        <v>1715</v>
      </c>
      <c r="E134" s="29" t="s">
        <v>1716</v>
      </c>
    </row>
    <row r="135" spans="1:5">
      <c r="A135" s="46" t="e">
        <f>VLOOKUP(C:C,#REF!,3,0)</f>
        <v>#REF!</v>
      </c>
      <c r="B135" s="46" t="e">
        <f>VLOOKUP(C:C,#REF!,2,0)</f>
        <v>#REF!</v>
      </c>
      <c r="C135" s="27">
        <v>177</v>
      </c>
      <c r="D135" s="29" t="s">
        <v>1717</v>
      </c>
      <c r="E135" s="29" t="s">
        <v>1718</v>
      </c>
    </row>
    <row r="136" spans="1:5">
      <c r="A136" s="46" t="e">
        <f>VLOOKUP(C:C,#REF!,3,0)</f>
        <v>#REF!</v>
      </c>
      <c r="B136" s="46" t="e">
        <f>VLOOKUP(C:C,#REF!,2,0)</f>
        <v>#REF!</v>
      </c>
      <c r="C136" s="27">
        <v>178</v>
      </c>
      <c r="D136" s="29" t="s">
        <v>1719</v>
      </c>
      <c r="E136" s="29" t="s">
        <v>1720</v>
      </c>
    </row>
    <row r="137" spans="1:5">
      <c r="A137" s="46" t="e">
        <f>VLOOKUP(C:C,#REF!,3,0)</f>
        <v>#REF!</v>
      </c>
      <c r="B137" s="46" t="e">
        <f>VLOOKUP(C:C,#REF!,2,0)</f>
        <v>#REF!</v>
      </c>
      <c r="C137" s="27">
        <v>179</v>
      </c>
      <c r="D137" s="29" t="s">
        <v>1721</v>
      </c>
      <c r="E137" s="29" t="s">
        <v>1722</v>
      </c>
    </row>
    <row r="138" spans="1:5">
      <c r="A138" s="46" t="e">
        <f>VLOOKUP(C:C,#REF!,3,0)</f>
        <v>#REF!</v>
      </c>
      <c r="B138" s="46" t="e">
        <f>VLOOKUP(C:C,#REF!,2,0)</f>
        <v>#REF!</v>
      </c>
      <c r="C138" s="27">
        <v>180</v>
      </c>
      <c r="D138" s="29" t="s">
        <v>147</v>
      </c>
      <c r="E138" s="29" t="s">
        <v>1723</v>
      </c>
    </row>
    <row r="139" spans="1:5">
      <c r="A139" s="46" t="e">
        <f>VLOOKUP(C:C,#REF!,3,0)</f>
        <v>#REF!</v>
      </c>
      <c r="B139" s="46" t="e">
        <f>VLOOKUP(C:C,#REF!,2,0)</f>
        <v>#REF!</v>
      </c>
      <c r="C139" s="27">
        <v>181</v>
      </c>
      <c r="D139" s="29" t="s">
        <v>1724</v>
      </c>
      <c r="E139" s="29" t="s">
        <v>1725</v>
      </c>
    </row>
    <row r="140" spans="1:5">
      <c r="A140" s="46" t="e">
        <f>VLOOKUP(C:C,#REF!,3,0)</f>
        <v>#REF!</v>
      </c>
      <c r="B140" s="46" t="e">
        <f>VLOOKUP(C:C,#REF!,2,0)</f>
        <v>#REF!</v>
      </c>
      <c r="C140" s="27">
        <v>182</v>
      </c>
      <c r="D140" s="29" t="s">
        <v>1726</v>
      </c>
      <c r="E140" s="29" t="s">
        <v>1727</v>
      </c>
    </row>
    <row r="141" spans="1:5">
      <c r="A141" s="46" t="e">
        <f>VLOOKUP(C:C,#REF!,3,0)</f>
        <v>#REF!</v>
      </c>
      <c r="B141" s="46" t="e">
        <f>VLOOKUP(C:C,#REF!,2,0)</f>
        <v>#REF!</v>
      </c>
      <c r="C141" s="27">
        <v>183</v>
      </c>
      <c r="D141" s="29" t="s">
        <v>1730</v>
      </c>
      <c r="E141" s="29" t="s">
        <v>1731</v>
      </c>
    </row>
    <row r="142" spans="1:5">
      <c r="A142" s="46" t="e">
        <f>VLOOKUP(C:C,#REF!,3,0)</f>
        <v>#REF!</v>
      </c>
      <c r="B142" s="46" t="e">
        <f>VLOOKUP(C:C,#REF!,2,0)</f>
        <v>#REF!</v>
      </c>
      <c r="C142" s="27">
        <v>184</v>
      </c>
      <c r="D142" s="29" t="s">
        <v>167</v>
      </c>
      <c r="E142" s="29" t="s">
        <v>166</v>
      </c>
    </row>
    <row r="143" spans="1:5">
      <c r="A143" s="46" t="e">
        <f>VLOOKUP(C:C,#REF!,3,0)</f>
        <v>#REF!</v>
      </c>
      <c r="B143" s="46" t="e">
        <f>VLOOKUP(C:C,#REF!,2,0)</f>
        <v>#REF!</v>
      </c>
      <c r="C143" s="27">
        <v>185</v>
      </c>
      <c r="D143" s="29" t="s">
        <v>1732</v>
      </c>
      <c r="E143" s="29" t="s">
        <v>1733</v>
      </c>
    </row>
    <row r="144" spans="1:5">
      <c r="A144" s="46" t="e">
        <f>VLOOKUP(C:C,#REF!,3,0)</f>
        <v>#REF!</v>
      </c>
      <c r="B144" s="46" t="e">
        <f>VLOOKUP(C:C,#REF!,2,0)</f>
        <v>#REF!</v>
      </c>
      <c r="C144" s="27">
        <v>186</v>
      </c>
      <c r="D144" s="29" t="s">
        <v>1734</v>
      </c>
      <c r="E144" s="29" t="s">
        <v>1735</v>
      </c>
    </row>
    <row r="145" spans="1:5">
      <c r="A145" s="46" t="e">
        <f>VLOOKUP(C:C,#REF!,3,0)</f>
        <v>#REF!</v>
      </c>
      <c r="B145" s="46" t="e">
        <f>VLOOKUP(C:C,#REF!,2,0)</f>
        <v>#REF!</v>
      </c>
      <c r="C145" s="27">
        <v>187</v>
      </c>
      <c r="D145" s="29" t="s">
        <v>1736</v>
      </c>
      <c r="E145" s="29" t="s">
        <v>1737</v>
      </c>
    </row>
    <row r="146" spans="1:5">
      <c r="A146" s="46" t="e">
        <f>VLOOKUP(C:C,#REF!,3,0)</f>
        <v>#REF!</v>
      </c>
      <c r="B146" s="46" t="e">
        <f>VLOOKUP(C:C,#REF!,2,0)</f>
        <v>#REF!</v>
      </c>
      <c r="C146" s="27">
        <v>188</v>
      </c>
      <c r="D146" s="29" t="s">
        <v>1740</v>
      </c>
      <c r="E146" s="29" t="s">
        <v>1741</v>
      </c>
    </row>
    <row r="147" spans="1:5">
      <c r="A147" s="46" t="e">
        <f>VLOOKUP(C:C,#REF!,3,0)</f>
        <v>#REF!</v>
      </c>
      <c r="B147" s="46" t="e">
        <f>VLOOKUP(C:C,#REF!,2,0)</f>
        <v>#REF!</v>
      </c>
      <c r="C147" s="27">
        <v>189</v>
      </c>
      <c r="D147" s="29" t="s">
        <v>1742</v>
      </c>
      <c r="E147" s="29" t="s">
        <v>1743</v>
      </c>
    </row>
    <row r="148" spans="1:5">
      <c r="A148" s="46" t="e">
        <f>VLOOKUP(C:C,#REF!,3,0)</f>
        <v>#REF!</v>
      </c>
      <c r="B148" s="46" t="e">
        <f>VLOOKUP(C:C,#REF!,2,0)</f>
        <v>#REF!</v>
      </c>
      <c r="C148" s="27">
        <v>190</v>
      </c>
      <c r="D148" s="29" t="s">
        <v>1744</v>
      </c>
      <c r="E148" s="29" t="s">
        <v>1745</v>
      </c>
    </row>
    <row r="149" spans="1:5">
      <c r="A149" s="46" t="e">
        <f>VLOOKUP(C:C,#REF!,3,0)</f>
        <v>#REF!</v>
      </c>
      <c r="B149" s="46" t="e">
        <f>VLOOKUP(C:C,#REF!,2,0)</f>
        <v>#REF!</v>
      </c>
      <c r="C149" s="27">
        <v>191</v>
      </c>
      <c r="D149" s="29" t="s">
        <v>1746</v>
      </c>
      <c r="E149" s="29" t="s">
        <v>1747</v>
      </c>
    </row>
    <row r="150" spans="1:5">
      <c r="A150" s="46" t="e">
        <f>VLOOKUP(C:C,#REF!,3,0)</f>
        <v>#REF!</v>
      </c>
      <c r="B150" s="46" t="e">
        <f>VLOOKUP(C:C,#REF!,2,0)</f>
        <v>#REF!</v>
      </c>
      <c r="C150" s="27">
        <v>192</v>
      </c>
      <c r="D150" s="29" t="s">
        <v>1748</v>
      </c>
      <c r="E150" s="29" t="s">
        <v>1749</v>
      </c>
    </row>
    <row r="151" spans="1:5">
      <c r="A151" s="46" t="e">
        <f>VLOOKUP(C:C,#REF!,3,0)</f>
        <v>#REF!</v>
      </c>
      <c r="B151" s="46" t="e">
        <f>VLOOKUP(C:C,#REF!,2,0)</f>
        <v>#REF!</v>
      </c>
      <c r="C151" s="27">
        <v>193</v>
      </c>
      <c r="D151" s="29" t="s">
        <v>1750</v>
      </c>
      <c r="E151" s="29" t="s">
        <v>1751</v>
      </c>
    </row>
    <row r="152" spans="1:5">
      <c r="A152" s="46" t="e">
        <f>VLOOKUP(C:C,#REF!,3,0)</f>
        <v>#REF!</v>
      </c>
      <c r="B152" s="46" t="e">
        <f>VLOOKUP(C:C,#REF!,2,0)</f>
        <v>#REF!</v>
      </c>
      <c r="C152" s="27">
        <v>194</v>
      </c>
      <c r="D152" s="29" t="s">
        <v>1754</v>
      </c>
      <c r="E152" s="29" t="s">
        <v>1755</v>
      </c>
    </row>
    <row r="153" spans="1:5">
      <c r="A153" s="46" t="e">
        <f>VLOOKUP(C:C,#REF!,3,0)</f>
        <v>#REF!</v>
      </c>
      <c r="B153" s="46" t="e">
        <f>VLOOKUP(C:C,#REF!,2,0)</f>
        <v>#REF!</v>
      </c>
      <c r="C153" s="27">
        <v>195</v>
      </c>
      <c r="D153" s="29" t="s">
        <v>1756</v>
      </c>
      <c r="E153" s="29" t="s">
        <v>1757</v>
      </c>
    </row>
    <row r="154" spans="1:5">
      <c r="A154" s="46" t="e">
        <f>VLOOKUP(C:C,#REF!,3,0)</f>
        <v>#REF!</v>
      </c>
      <c r="B154" s="46" t="e">
        <f>VLOOKUP(C:C,#REF!,2,0)</f>
        <v>#REF!</v>
      </c>
      <c r="C154" s="27">
        <v>196</v>
      </c>
      <c r="D154" s="29" t="s">
        <v>1758</v>
      </c>
      <c r="E154" s="29" t="s">
        <v>1759</v>
      </c>
    </row>
    <row r="155" spans="1:5">
      <c r="A155" s="46" t="e">
        <f>VLOOKUP(C:C,#REF!,3,0)</f>
        <v>#REF!</v>
      </c>
      <c r="B155" s="46" t="e">
        <f>VLOOKUP(C:C,#REF!,2,0)</f>
        <v>#REF!</v>
      </c>
      <c r="C155" s="27">
        <v>197</v>
      </c>
      <c r="D155" s="29" t="s">
        <v>1762</v>
      </c>
      <c r="E155" s="29" t="s">
        <v>159</v>
      </c>
    </row>
    <row r="156" spans="1:5">
      <c r="A156" s="46" t="e">
        <f>VLOOKUP(C:C,#REF!,3,0)</f>
        <v>#REF!</v>
      </c>
      <c r="B156" s="46" t="e">
        <f>VLOOKUP(C:C,#REF!,2,0)</f>
        <v>#REF!</v>
      </c>
      <c r="C156" s="27">
        <v>198</v>
      </c>
      <c r="D156" s="29" t="s">
        <v>1763</v>
      </c>
      <c r="E156" s="29" t="s">
        <v>1764</v>
      </c>
    </row>
    <row r="157" spans="1:5">
      <c r="A157" s="46" t="e">
        <f>VLOOKUP(C:C,#REF!,3,0)</f>
        <v>#REF!</v>
      </c>
      <c r="B157" s="46" t="e">
        <f>VLOOKUP(C:C,#REF!,2,0)</f>
        <v>#REF!</v>
      </c>
      <c r="C157" s="27">
        <v>199</v>
      </c>
      <c r="D157" s="29" t="s">
        <v>1765</v>
      </c>
      <c r="E157" s="29" t="s">
        <v>1766</v>
      </c>
    </row>
    <row r="158" spans="1:5">
      <c r="A158" s="46" t="e">
        <f>VLOOKUP(C:C,#REF!,3,0)</f>
        <v>#REF!</v>
      </c>
      <c r="B158" s="46" t="e">
        <f>VLOOKUP(C:C,#REF!,2,0)</f>
        <v>#REF!</v>
      </c>
      <c r="C158" s="27">
        <v>200</v>
      </c>
      <c r="D158" s="29" t="s">
        <v>1767</v>
      </c>
      <c r="E158" s="29" t="s">
        <v>1768</v>
      </c>
    </row>
    <row r="159" spans="1:5">
      <c r="A159" s="46" t="e">
        <f>VLOOKUP(C:C,#REF!,3,0)</f>
        <v>#REF!</v>
      </c>
      <c r="B159" s="46" t="e">
        <f>VLOOKUP(C:C,#REF!,2,0)</f>
        <v>#REF!</v>
      </c>
      <c r="C159" s="27">
        <v>201</v>
      </c>
      <c r="D159" s="29" t="s">
        <v>1771</v>
      </c>
      <c r="E159" s="29" t="s">
        <v>1772</v>
      </c>
    </row>
    <row r="160" spans="1:5">
      <c r="A160" s="46" t="e">
        <f>VLOOKUP(C:C,#REF!,3,0)</f>
        <v>#REF!</v>
      </c>
      <c r="B160" s="46" t="e">
        <f>VLOOKUP(C:C,#REF!,2,0)</f>
        <v>#REF!</v>
      </c>
      <c r="C160" s="27">
        <v>202</v>
      </c>
      <c r="D160" s="29" t="s">
        <v>1773</v>
      </c>
      <c r="E160" s="29" t="s">
        <v>1774</v>
      </c>
    </row>
    <row r="161" spans="1:5">
      <c r="A161" s="46" t="e">
        <f>VLOOKUP(C:C,#REF!,3,0)</f>
        <v>#REF!</v>
      </c>
      <c r="B161" s="46" t="e">
        <f>VLOOKUP(C:C,#REF!,2,0)</f>
        <v>#REF!</v>
      </c>
      <c r="C161" s="27">
        <v>203</v>
      </c>
      <c r="D161" s="29" t="s">
        <v>1775</v>
      </c>
      <c r="E161" s="29" t="s">
        <v>1776</v>
      </c>
    </row>
    <row r="162" spans="1:5">
      <c r="A162" s="46" t="e">
        <f>VLOOKUP(C:C,#REF!,3,0)</f>
        <v>#REF!</v>
      </c>
      <c r="B162" s="46" t="e">
        <f>VLOOKUP(C:C,#REF!,2,0)</f>
        <v>#REF!</v>
      </c>
      <c r="C162" s="27">
        <v>204</v>
      </c>
      <c r="D162" s="29" t="s">
        <v>1777</v>
      </c>
      <c r="E162" s="29" t="s">
        <v>1778</v>
      </c>
    </row>
    <row r="163" spans="1:5">
      <c r="A163" s="46" t="e">
        <f>VLOOKUP(C:C,#REF!,3,0)</f>
        <v>#REF!</v>
      </c>
      <c r="B163" s="46" t="e">
        <f>VLOOKUP(C:C,#REF!,2,0)</f>
        <v>#REF!</v>
      </c>
      <c r="C163" s="27">
        <v>205</v>
      </c>
      <c r="D163" s="29" t="s">
        <v>1779</v>
      </c>
      <c r="E163" s="29" t="s">
        <v>1780</v>
      </c>
    </row>
    <row r="164" spans="1:5">
      <c r="A164" s="46" t="e">
        <f>VLOOKUP(C:C,#REF!,3,0)</f>
        <v>#REF!</v>
      </c>
      <c r="B164" s="46" t="e">
        <f>VLOOKUP(C:C,#REF!,2,0)</f>
        <v>#REF!</v>
      </c>
      <c r="C164" s="27">
        <v>206</v>
      </c>
      <c r="D164" s="29" t="s">
        <v>1781</v>
      </c>
      <c r="E164" s="29" t="s">
        <v>1782</v>
      </c>
    </row>
    <row r="165" spans="1:5">
      <c r="A165" s="46" t="e">
        <f>VLOOKUP(C:C,#REF!,3,0)</f>
        <v>#REF!</v>
      </c>
      <c r="B165" s="46" t="e">
        <f>VLOOKUP(C:C,#REF!,2,0)</f>
        <v>#REF!</v>
      </c>
      <c r="C165" s="27">
        <v>207</v>
      </c>
      <c r="D165" s="29" t="s">
        <v>1785</v>
      </c>
      <c r="E165" s="29" t="s">
        <v>1786</v>
      </c>
    </row>
    <row r="166" spans="1:5">
      <c r="A166" s="46" t="e">
        <f>VLOOKUP(C:C,#REF!,3,0)</f>
        <v>#REF!</v>
      </c>
      <c r="B166" s="46" t="e">
        <f>VLOOKUP(C:C,#REF!,2,0)</f>
        <v>#REF!</v>
      </c>
      <c r="C166" s="27">
        <v>208</v>
      </c>
      <c r="D166" s="29" t="s">
        <v>1787</v>
      </c>
      <c r="E166" s="29" t="s">
        <v>1788</v>
      </c>
    </row>
    <row r="167" spans="1:5">
      <c r="A167" s="46" t="e">
        <f>VLOOKUP(C:C,#REF!,3,0)</f>
        <v>#REF!</v>
      </c>
      <c r="B167" s="46" t="e">
        <f>VLOOKUP(C:C,#REF!,2,0)</f>
        <v>#REF!</v>
      </c>
      <c r="C167" s="27">
        <v>209</v>
      </c>
      <c r="D167" s="29" t="s">
        <v>1789</v>
      </c>
      <c r="E167" s="29" t="s">
        <v>1790</v>
      </c>
    </row>
    <row r="168" spans="1:5">
      <c r="A168" s="46" t="e">
        <f>VLOOKUP(C:C,#REF!,3,0)</f>
        <v>#REF!</v>
      </c>
      <c r="B168" s="46" t="e">
        <f>VLOOKUP(C:C,#REF!,2,0)</f>
        <v>#REF!</v>
      </c>
      <c r="C168" s="27">
        <v>210</v>
      </c>
      <c r="D168" s="29" t="s">
        <v>1791</v>
      </c>
      <c r="E168" s="29" t="s">
        <v>1792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38"/>
  <sheetViews>
    <sheetView zoomScale="60" zoomScaleNormal="60" zoomScalePageLayoutView="60" workbookViewId="0">
      <selection activeCell="L23" sqref="L23"/>
    </sheetView>
  </sheetViews>
  <sheetFormatPr defaultColWidth="8.85546875" defaultRowHeight="15"/>
  <cols>
    <col min="1" max="1" width="18.85546875" style="47" bestFit="1" customWidth="1"/>
    <col min="2" max="2" width="23.28515625" style="47" bestFit="1" customWidth="1"/>
    <col min="3" max="3" width="28.140625" style="47" bestFit="1" customWidth="1"/>
    <col min="4" max="4" width="30.85546875" style="47" bestFit="1" customWidth="1"/>
    <col min="5" max="16384" width="8.85546875" style="47"/>
  </cols>
  <sheetData>
    <row r="1" spans="1:4">
      <c r="A1" s="49" t="s">
        <v>1389</v>
      </c>
      <c r="B1" s="49" t="s">
        <v>1392</v>
      </c>
      <c r="C1" s="50" t="s">
        <v>1393</v>
      </c>
      <c r="D1" s="50" t="s">
        <v>1394</v>
      </c>
    </row>
    <row r="2" spans="1:4">
      <c r="A2" s="47" t="e">
        <f>VLOOKUP(B:B,#REF!,2,0)</f>
        <v>#REF!</v>
      </c>
      <c r="B2" s="48">
        <v>7</v>
      </c>
      <c r="C2" s="41" t="s">
        <v>1412</v>
      </c>
      <c r="D2" s="41" t="s">
        <v>1413</v>
      </c>
    </row>
    <row r="3" spans="1:4">
      <c r="A3" s="47" t="e">
        <f>VLOOKUP(B:B,#REF!,2,0)</f>
        <v>#REF!</v>
      </c>
      <c r="B3" s="48">
        <v>8</v>
      </c>
      <c r="C3" s="41" t="s">
        <v>1424</v>
      </c>
      <c r="D3" s="41" t="s">
        <v>1425</v>
      </c>
    </row>
    <row r="4" spans="1:4">
      <c r="A4" s="47" t="e">
        <f>VLOOKUP(B:B,#REF!,2,0)</f>
        <v>#REF!</v>
      </c>
      <c r="B4" s="48">
        <v>9</v>
      </c>
      <c r="C4" s="41" t="s">
        <v>1438</v>
      </c>
      <c r="D4" s="41" t="s">
        <v>1439</v>
      </c>
    </row>
    <row r="5" spans="1:4">
      <c r="A5" s="47" t="e">
        <f>VLOOKUP(B:B,#REF!,2,0)</f>
        <v>#REF!</v>
      </c>
      <c r="B5" s="48">
        <v>10</v>
      </c>
      <c r="C5" s="41" t="s">
        <v>1453</v>
      </c>
      <c r="D5" s="41" t="s">
        <v>1454</v>
      </c>
    </row>
    <row r="6" spans="1:4">
      <c r="A6" s="47" t="e">
        <f>VLOOKUP(B:B,#REF!,2,0)</f>
        <v>#REF!</v>
      </c>
      <c r="B6" s="48">
        <v>11</v>
      </c>
      <c r="C6" s="41" t="s">
        <v>1460</v>
      </c>
      <c r="D6" s="41" t="s">
        <v>176</v>
      </c>
    </row>
    <row r="7" spans="1:4">
      <c r="A7" s="47" t="e">
        <f>VLOOKUP(B:B,#REF!,2,0)</f>
        <v>#REF!</v>
      </c>
      <c r="B7" s="48">
        <v>12</v>
      </c>
      <c r="C7" s="41" t="s">
        <v>1465</v>
      </c>
      <c r="D7" s="41" t="s">
        <v>1466</v>
      </c>
    </row>
    <row r="8" spans="1:4">
      <c r="A8" s="47" t="e">
        <f>VLOOKUP(B:B,#REF!,2,0)</f>
        <v>#REF!</v>
      </c>
      <c r="B8" s="48">
        <v>13</v>
      </c>
      <c r="C8" s="41" t="s">
        <v>1478</v>
      </c>
      <c r="D8" s="41" t="s">
        <v>1479</v>
      </c>
    </row>
    <row r="9" spans="1:4">
      <c r="A9" s="47" t="e">
        <f>VLOOKUP(B:B,#REF!,2,0)</f>
        <v>#REF!</v>
      </c>
      <c r="B9" s="48">
        <v>14</v>
      </c>
      <c r="C9" s="41" t="s">
        <v>1484</v>
      </c>
      <c r="D9" s="41" t="s">
        <v>1485</v>
      </c>
    </row>
    <row r="10" spans="1:4">
      <c r="A10" s="47" t="e">
        <f>VLOOKUP(B:B,#REF!,2,0)</f>
        <v>#REF!</v>
      </c>
      <c r="B10" s="48">
        <v>15</v>
      </c>
      <c r="C10" s="41" t="s">
        <v>1492</v>
      </c>
      <c r="D10" s="41" t="s">
        <v>1493</v>
      </c>
    </row>
    <row r="11" spans="1:4">
      <c r="A11" s="47" t="e">
        <f>VLOOKUP(B:B,#REF!,2,0)</f>
        <v>#REF!</v>
      </c>
      <c r="B11" s="48">
        <v>16</v>
      </c>
      <c r="C11" s="41" t="s">
        <v>1506</v>
      </c>
      <c r="D11" s="41" t="s">
        <v>1507</v>
      </c>
    </row>
    <row r="12" spans="1:4">
      <c r="A12" s="47" t="e">
        <f>VLOOKUP(B:B,#REF!,2,0)</f>
        <v>#REF!</v>
      </c>
      <c r="B12" s="48">
        <v>17</v>
      </c>
      <c r="C12" s="41" t="s">
        <v>1522</v>
      </c>
      <c r="D12" s="41" t="s">
        <v>1523</v>
      </c>
    </row>
    <row r="13" spans="1:4">
      <c r="A13" s="47" t="e">
        <f>VLOOKUP(B:B,#REF!,2,0)</f>
        <v>#REF!</v>
      </c>
      <c r="B13" s="48">
        <v>18</v>
      </c>
      <c r="C13" s="41" t="s">
        <v>1536</v>
      </c>
      <c r="D13" s="41" t="s">
        <v>1537</v>
      </c>
    </row>
    <row r="14" spans="1:4">
      <c r="A14" s="47" t="e">
        <f>VLOOKUP(B:B,#REF!,2,0)</f>
        <v>#REF!</v>
      </c>
      <c r="B14" s="48">
        <v>19</v>
      </c>
      <c r="C14" s="41" t="s">
        <v>1546</v>
      </c>
      <c r="D14" s="41" t="s">
        <v>1547</v>
      </c>
    </row>
    <row r="15" spans="1:4">
      <c r="A15" s="47" t="e">
        <f>VLOOKUP(B:B,#REF!,2,0)</f>
        <v>#REF!</v>
      </c>
      <c r="B15" s="48">
        <v>20</v>
      </c>
      <c r="C15" s="41" t="s">
        <v>1554</v>
      </c>
      <c r="D15" s="41" t="s">
        <v>1555</v>
      </c>
    </row>
    <row r="16" spans="1:4">
      <c r="A16" s="47" t="e">
        <f>VLOOKUP(B:B,#REF!,2,0)</f>
        <v>#REF!</v>
      </c>
      <c r="B16" s="48">
        <v>21</v>
      </c>
      <c r="C16" s="41" t="s">
        <v>1564</v>
      </c>
      <c r="D16" s="41" t="s">
        <v>138</v>
      </c>
    </row>
    <row r="17" spans="1:4">
      <c r="A17" s="47" t="e">
        <f>VLOOKUP(B:B,#REF!,2,0)</f>
        <v>#REF!</v>
      </c>
      <c r="B17" s="48">
        <v>22</v>
      </c>
      <c r="C17" s="41" t="s">
        <v>1566</v>
      </c>
      <c r="D17" s="41" t="s">
        <v>1567</v>
      </c>
    </row>
    <row r="18" spans="1:4">
      <c r="A18" s="47" t="e">
        <f>VLOOKUP(B:B,#REF!,2,0)</f>
        <v>#REF!</v>
      </c>
      <c r="B18" s="48">
        <v>23</v>
      </c>
      <c r="C18" s="41" t="s">
        <v>1576</v>
      </c>
      <c r="D18" s="41" t="s">
        <v>1577</v>
      </c>
    </row>
    <row r="19" spans="1:4">
      <c r="A19" s="47" t="e">
        <f>VLOOKUP(B:B,#REF!,2,0)</f>
        <v>#REF!</v>
      </c>
      <c r="B19" s="48">
        <v>24</v>
      </c>
      <c r="C19" s="41" t="s">
        <v>1584</v>
      </c>
      <c r="D19" s="41" t="s">
        <v>1585</v>
      </c>
    </row>
    <row r="20" spans="1:4">
      <c r="A20" s="47" t="e">
        <f>VLOOKUP(B:B,#REF!,2,0)</f>
        <v>#REF!</v>
      </c>
      <c r="B20" s="48">
        <v>25</v>
      </c>
      <c r="C20" s="41" t="s">
        <v>1593</v>
      </c>
      <c r="D20" s="41" t="s">
        <v>1594</v>
      </c>
    </row>
    <row r="21" spans="1:4">
      <c r="A21" s="47" t="e">
        <f>VLOOKUP(B:B,#REF!,2,0)</f>
        <v>#REF!</v>
      </c>
      <c r="B21" s="48">
        <v>26</v>
      </c>
      <c r="C21" s="41" t="s">
        <v>125</v>
      </c>
      <c r="D21" s="41" t="s">
        <v>1600</v>
      </c>
    </row>
    <row r="22" spans="1:4">
      <c r="A22" s="47" t="e">
        <f>VLOOKUP(B:B,#REF!,2,0)</f>
        <v>#REF!</v>
      </c>
      <c r="B22" s="48">
        <v>27</v>
      </c>
      <c r="C22" s="41" t="s">
        <v>1606</v>
      </c>
      <c r="D22" s="41" t="s">
        <v>1607</v>
      </c>
    </row>
    <row r="23" spans="1:4">
      <c r="A23" s="47" t="e">
        <f>VLOOKUP(B:B,#REF!,2,0)</f>
        <v>#REF!</v>
      </c>
      <c r="B23" s="48">
        <v>28</v>
      </c>
      <c r="C23" s="41" t="s">
        <v>1616</v>
      </c>
      <c r="D23" s="40" t="s">
        <v>2370</v>
      </c>
    </row>
    <row r="24" spans="1:4">
      <c r="A24" s="47" t="e">
        <f>VLOOKUP(B:B,#REF!,2,0)</f>
        <v>#REF!</v>
      </c>
      <c r="B24" s="48">
        <v>29</v>
      </c>
      <c r="C24" s="41" t="s">
        <v>1623</v>
      </c>
      <c r="D24" s="41" t="s">
        <v>1624</v>
      </c>
    </row>
    <row r="25" spans="1:4">
      <c r="A25" s="47" t="e">
        <f>VLOOKUP(B:B,#REF!,2,0)</f>
        <v>#REF!</v>
      </c>
      <c r="B25" s="48">
        <v>30</v>
      </c>
      <c r="C25" s="41" t="s">
        <v>1642</v>
      </c>
      <c r="D25" s="41" t="s">
        <v>1643</v>
      </c>
    </row>
    <row r="26" spans="1:4">
      <c r="A26" s="47" t="e">
        <f>VLOOKUP(B:B,#REF!,2,0)</f>
        <v>#REF!</v>
      </c>
      <c r="B26" s="48">
        <v>31</v>
      </c>
      <c r="C26" s="41" t="s">
        <v>1650</v>
      </c>
      <c r="D26" s="52" t="s">
        <v>3259</v>
      </c>
    </row>
    <row r="27" spans="1:4">
      <c r="A27" s="47" t="e">
        <f>VLOOKUP(B:B,#REF!,2,0)</f>
        <v>#REF!</v>
      </c>
      <c r="B27" s="48">
        <v>32</v>
      </c>
      <c r="C27" s="41" t="s">
        <v>1661</v>
      </c>
      <c r="D27" s="41" t="s">
        <v>1662</v>
      </c>
    </row>
    <row r="28" spans="1:4">
      <c r="A28" s="47" t="e">
        <f>VLOOKUP(B:B,#REF!,2,0)</f>
        <v>#REF!</v>
      </c>
      <c r="B28" s="48">
        <v>33</v>
      </c>
      <c r="C28" s="41" t="s">
        <v>1669</v>
      </c>
      <c r="D28" s="41" t="s">
        <v>1670</v>
      </c>
    </row>
    <row r="29" spans="1:4">
      <c r="A29" s="47" t="e">
        <f>VLOOKUP(B:B,#REF!,2,0)</f>
        <v>#REF!</v>
      </c>
      <c r="B29" s="48">
        <v>34</v>
      </c>
      <c r="C29" s="41" t="s">
        <v>1677</v>
      </c>
      <c r="D29" s="41" t="s">
        <v>1678</v>
      </c>
    </row>
    <row r="30" spans="1:4">
      <c r="A30" s="47" t="e">
        <f>VLOOKUP(B:B,#REF!,2,0)</f>
        <v>#REF!</v>
      </c>
      <c r="B30" s="48">
        <v>35</v>
      </c>
      <c r="C30" s="41" t="s">
        <v>1681</v>
      </c>
      <c r="D30" s="41" t="s">
        <v>1682</v>
      </c>
    </row>
    <row r="31" spans="1:4">
      <c r="A31" s="47" t="e">
        <f>VLOOKUP(B:B,#REF!,2,0)</f>
        <v>#REF!</v>
      </c>
      <c r="B31" s="48">
        <v>36</v>
      </c>
      <c r="C31" s="41" t="s">
        <v>1695</v>
      </c>
      <c r="D31" s="41" t="s">
        <v>1696</v>
      </c>
    </row>
    <row r="32" spans="1:4">
      <c r="A32" s="47" t="e">
        <f>VLOOKUP(B:B,#REF!,2,0)</f>
        <v>#REF!</v>
      </c>
      <c r="B32" s="48">
        <v>37</v>
      </c>
      <c r="C32" s="41" t="s">
        <v>1706</v>
      </c>
      <c r="D32" s="40" t="s">
        <v>3260</v>
      </c>
    </row>
    <row r="33" spans="1:4">
      <c r="A33" s="47" t="e">
        <f>VLOOKUP(B:B,#REF!,2,0)</f>
        <v>#REF!</v>
      </c>
      <c r="B33" s="48">
        <v>38</v>
      </c>
      <c r="C33" s="41" t="s">
        <v>1728</v>
      </c>
      <c r="D33" s="41" t="s">
        <v>1729</v>
      </c>
    </row>
    <row r="34" spans="1:4">
      <c r="A34" s="47" t="e">
        <f>VLOOKUP(B:B,#REF!,2,0)</f>
        <v>#REF!</v>
      </c>
      <c r="B34" s="48">
        <v>39</v>
      </c>
      <c r="C34" s="41" t="s">
        <v>1738</v>
      </c>
      <c r="D34" s="41" t="s">
        <v>1739</v>
      </c>
    </row>
    <row r="35" spans="1:4">
      <c r="A35" s="47" t="e">
        <f>VLOOKUP(B:B,#REF!,2,0)</f>
        <v>#REF!</v>
      </c>
      <c r="B35" s="48">
        <v>40</v>
      </c>
      <c r="C35" s="41" t="s">
        <v>1752</v>
      </c>
      <c r="D35" s="41" t="s">
        <v>1753</v>
      </c>
    </row>
    <row r="36" spans="1:4">
      <c r="A36" s="47" t="e">
        <f>VLOOKUP(B:B,#REF!,2,0)</f>
        <v>#REF!</v>
      </c>
      <c r="B36" s="48">
        <v>41</v>
      </c>
      <c r="C36" s="41" t="s">
        <v>1760</v>
      </c>
      <c r="D36" s="41" t="s">
        <v>1761</v>
      </c>
    </row>
    <row r="37" spans="1:4">
      <c r="A37" s="47" t="e">
        <f>VLOOKUP(B:B,#REF!,2,0)</f>
        <v>#REF!</v>
      </c>
      <c r="B37" s="48">
        <v>42</v>
      </c>
      <c r="C37" s="41" t="s">
        <v>1769</v>
      </c>
      <c r="D37" s="41" t="s">
        <v>1770</v>
      </c>
    </row>
    <row r="38" spans="1:4">
      <c r="A38" s="47" t="e">
        <f>VLOOKUP(B:B,#REF!,2,0)</f>
        <v>#REF!</v>
      </c>
      <c r="B38" s="48">
        <v>43</v>
      </c>
      <c r="C38" s="41" t="s">
        <v>1783</v>
      </c>
      <c r="D38" s="41" t="s">
        <v>1784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7"/>
  <sheetViews>
    <sheetView workbookViewId="0">
      <selection activeCell="C18" sqref="C18"/>
    </sheetView>
  </sheetViews>
  <sheetFormatPr defaultColWidth="8.85546875" defaultRowHeight="15"/>
  <cols>
    <col min="1" max="1" width="20" style="46" customWidth="1"/>
    <col min="2" max="2" width="33.28515625" style="46" customWidth="1"/>
    <col min="3" max="3" width="29.7109375" style="46" customWidth="1"/>
    <col min="4" max="16384" width="8.85546875" style="46"/>
  </cols>
  <sheetData>
    <row r="1" spans="1:3">
      <c r="A1" s="49" t="s">
        <v>1389</v>
      </c>
      <c r="B1" s="49" t="s">
        <v>1390</v>
      </c>
      <c r="C1" s="50" t="s">
        <v>1391</v>
      </c>
    </row>
    <row r="2" spans="1:3">
      <c r="A2" s="27">
        <v>1</v>
      </c>
      <c r="B2" s="29" t="s">
        <v>1410</v>
      </c>
      <c r="C2" s="29" t="s">
        <v>1411</v>
      </c>
    </row>
    <row r="3" spans="1:3">
      <c r="A3" s="27">
        <v>2</v>
      </c>
      <c r="B3" s="29" t="s">
        <v>1504</v>
      </c>
      <c r="C3" s="29" t="s">
        <v>1505</v>
      </c>
    </row>
    <row r="4" spans="1:3">
      <c r="A4" s="27">
        <v>3</v>
      </c>
      <c r="B4" s="29" t="s">
        <v>1562</v>
      </c>
      <c r="C4" s="29" t="s">
        <v>1563</v>
      </c>
    </row>
    <row r="5" spans="1:3">
      <c r="A5" s="27">
        <v>4</v>
      </c>
      <c r="B5" s="29" t="s">
        <v>1621</v>
      </c>
      <c r="C5" s="29" t="s">
        <v>1622</v>
      </c>
    </row>
    <row r="6" spans="1:3">
      <c r="A6" s="27">
        <v>5</v>
      </c>
      <c r="B6" s="29" t="s">
        <v>1659</v>
      </c>
      <c r="C6" s="29" t="s">
        <v>1660</v>
      </c>
    </row>
    <row r="7" spans="1:3">
      <c r="A7" s="27">
        <v>6</v>
      </c>
      <c r="B7" s="29" t="s">
        <v>1693</v>
      </c>
      <c r="C7" s="29" t="s">
        <v>1694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FF0000"/>
  </sheetPr>
  <dimension ref="A1:BZ503"/>
  <sheetViews>
    <sheetView topLeftCell="A482" zoomScaleNormal="100" zoomScalePageLayoutView="50" workbookViewId="0">
      <pane xSplit="1" topLeftCell="BJ1" activePane="topRight" state="frozen"/>
      <selection pane="topRight" activeCell="AF512" sqref="AF512"/>
    </sheetView>
  </sheetViews>
  <sheetFormatPr defaultColWidth="14.42578125" defaultRowHeight="15.75" customHeight="1"/>
  <cols>
    <col min="1" max="1" width="9" style="29" customWidth="1"/>
    <col min="2" max="2" width="17.140625" style="29" customWidth="1"/>
    <col min="3" max="3" width="21.42578125" style="29" customWidth="1"/>
    <col min="4" max="4" width="15" style="29" customWidth="1"/>
    <col min="5" max="5" width="26.28515625" style="29" customWidth="1"/>
    <col min="6" max="6" width="19.7109375" style="29" customWidth="1"/>
    <col min="7" max="7" width="28.28515625" style="29" customWidth="1"/>
    <col min="8" max="8" width="29.42578125" style="29" customWidth="1"/>
    <col min="9" max="9" width="29.85546875" style="29" customWidth="1"/>
    <col min="10" max="10" width="56.7109375" style="29" customWidth="1"/>
    <col min="11" max="11" width="59.7109375" style="29" customWidth="1"/>
    <col min="12" max="12" width="10.85546875" style="29" customWidth="1"/>
    <col min="13" max="13" width="16.85546875" style="29" customWidth="1"/>
    <col min="14" max="14" width="6.7109375" style="29" customWidth="1"/>
    <col min="15" max="15" width="4.42578125" style="29" customWidth="1"/>
    <col min="16" max="16" width="6.7109375" style="29" customWidth="1"/>
    <col min="17" max="17" width="5.7109375" style="29" customWidth="1"/>
    <col min="18" max="18" width="11.42578125" style="29" customWidth="1"/>
    <col min="19" max="20" width="13" style="29" customWidth="1"/>
    <col min="21" max="21" width="13.85546875" style="29" customWidth="1"/>
    <col min="22" max="22" width="24.42578125" style="29" customWidth="1"/>
    <col min="23" max="23" width="14.140625" style="29" customWidth="1"/>
    <col min="24" max="24" width="13" style="29" customWidth="1"/>
    <col min="25" max="25" width="6.140625" style="29" customWidth="1"/>
    <col min="26" max="26" width="6.28515625" style="29" customWidth="1"/>
    <col min="27" max="27" width="4.28515625" style="29" customWidth="1"/>
    <col min="28" max="28" width="4.85546875" style="29" customWidth="1"/>
    <col min="29" max="29" width="5.28515625" style="29" customWidth="1"/>
    <col min="30" max="30" width="27.7109375" style="29" customWidth="1"/>
    <col min="31" max="31" width="6.42578125" style="29" customWidth="1"/>
    <col min="32" max="32" width="6" style="29" customWidth="1"/>
    <col min="33" max="33" width="5.7109375" style="29" customWidth="1"/>
    <col min="34" max="34" width="3" style="29" customWidth="1"/>
    <col min="35" max="35" width="4.42578125" style="29" customWidth="1"/>
    <col min="36" max="36" width="4.7109375" style="29" customWidth="1"/>
    <col min="37" max="37" width="4.85546875" style="29" customWidth="1"/>
    <col min="38" max="38" width="3.7109375" style="29" customWidth="1"/>
    <col min="39" max="39" width="4.7109375" style="29" customWidth="1"/>
    <col min="40" max="40" width="4.42578125" style="29" customWidth="1"/>
    <col min="41" max="41" width="5.140625" style="29" customWidth="1"/>
    <col min="42" max="42" width="6.7109375" style="29" customWidth="1"/>
    <col min="43" max="43" width="7.7109375" style="29" customWidth="1"/>
    <col min="44" max="44" width="7.42578125" style="29" customWidth="1"/>
    <col min="45" max="46" width="6.42578125" style="29" customWidth="1"/>
    <col min="47" max="47" width="7.7109375" style="29" customWidth="1"/>
    <col min="48" max="48" width="7.42578125" style="29" customWidth="1"/>
    <col min="49" max="49" width="8" style="29" customWidth="1"/>
    <col min="50" max="50" width="4.42578125" style="29" customWidth="1"/>
    <col min="51" max="51" width="4.140625" style="29" customWidth="1"/>
    <col min="52" max="52" width="4" style="29" customWidth="1"/>
    <col min="53" max="53" width="8.28515625" style="29" customWidth="1"/>
    <col min="54" max="54" width="8.140625" style="29" customWidth="1"/>
    <col min="55" max="55" width="6.85546875" style="29" customWidth="1"/>
    <col min="56" max="56" width="5" style="29" customWidth="1"/>
    <col min="57" max="57" width="6" style="29" customWidth="1"/>
    <col min="58" max="58" width="8.42578125" style="29" customWidth="1"/>
    <col min="59" max="59" width="9.28515625" style="29" customWidth="1"/>
    <col min="60" max="60" width="9" style="29" customWidth="1"/>
    <col min="61" max="61" width="7.7109375" style="29" customWidth="1"/>
    <col min="62" max="62" width="7.28515625" style="29" customWidth="1"/>
    <col min="63" max="63" width="9.28515625" style="29" customWidth="1"/>
    <col min="64" max="64" width="6.85546875" style="29" customWidth="1"/>
    <col min="65" max="65" width="8" style="29" customWidth="1"/>
    <col min="66" max="66" width="6.85546875" style="29" customWidth="1"/>
    <col min="67" max="67" width="9.42578125" style="29" customWidth="1"/>
    <col min="68" max="68" width="6.7109375" style="29" customWidth="1"/>
    <col min="69" max="69" width="2.7109375" style="29" customWidth="1"/>
    <col min="70" max="71" width="5.7109375" style="29" customWidth="1"/>
    <col min="72" max="72" width="17" style="29" customWidth="1"/>
    <col min="73" max="73" width="16.42578125" style="29" customWidth="1"/>
    <col min="74" max="74" width="13.7109375" style="29" customWidth="1"/>
    <col min="75" max="75" width="16.85546875" style="29" customWidth="1"/>
    <col min="76" max="76" width="9.85546875" style="29" customWidth="1"/>
    <col min="77" max="77" width="10" style="29" customWidth="1"/>
    <col min="78" max="78" width="9.85546875" style="29" customWidth="1"/>
    <col min="79" max="16384" width="14.42578125" style="29"/>
  </cols>
  <sheetData>
    <row r="1" spans="1:78" s="43" customFormat="1" ht="15.75" customHeight="1">
      <c r="A1" s="1" t="s">
        <v>0</v>
      </c>
      <c r="B1" s="38" t="s">
        <v>1</v>
      </c>
      <c r="C1" s="38" t="s">
        <v>2</v>
      </c>
      <c r="D1" s="2" t="s">
        <v>3</v>
      </c>
      <c r="E1" s="94" t="s">
        <v>4</v>
      </c>
      <c r="F1" s="93"/>
      <c r="G1" s="93"/>
      <c r="H1" s="39" t="s">
        <v>5</v>
      </c>
      <c r="I1" s="39" t="s">
        <v>6</v>
      </c>
      <c r="J1" s="3" t="s">
        <v>7</v>
      </c>
      <c r="K1" s="3" t="s">
        <v>8</v>
      </c>
      <c r="L1" s="4" t="s">
        <v>9</v>
      </c>
      <c r="M1" s="4" t="s">
        <v>10</v>
      </c>
      <c r="N1" s="4" t="s">
        <v>11</v>
      </c>
      <c r="O1" s="4"/>
      <c r="P1" s="4" t="s">
        <v>12</v>
      </c>
      <c r="Q1" s="4" t="s">
        <v>13</v>
      </c>
      <c r="R1" s="4" t="s">
        <v>14</v>
      </c>
      <c r="S1" s="5" t="s">
        <v>15</v>
      </c>
      <c r="T1" s="5" t="s">
        <v>16</v>
      </c>
      <c r="U1" s="1" t="s">
        <v>17</v>
      </c>
      <c r="V1" s="1" t="s">
        <v>18</v>
      </c>
      <c r="W1" s="81" t="s">
        <v>19</v>
      </c>
      <c r="X1" s="6" t="s">
        <v>20</v>
      </c>
      <c r="Y1" s="82" t="s">
        <v>21</v>
      </c>
      <c r="Z1" s="7" t="s">
        <v>22</v>
      </c>
      <c r="AA1" s="7" t="s">
        <v>23</v>
      </c>
      <c r="AB1" s="8" t="s">
        <v>24</v>
      </c>
      <c r="AC1" s="9" t="s">
        <v>25</v>
      </c>
      <c r="AD1" s="9" t="s">
        <v>26</v>
      </c>
      <c r="AE1" s="9" t="s">
        <v>27</v>
      </c>
      <c r="AF1" s="7" t="s">
        <v>28</v>
      </c>
      <c r="AG1" s="95" t="s">
        <v>29</v>
      </c>
      <c r="AH1" s="93"/>
      <c r="AI1" s="93"/>
      <c r="AJ1" s="93"/>
      <c r="AK1" s="93"/>
      <c r="AL1" s="93"/>
      <c r="AM1" s="3" t="s">
        <v>30</v>
      </c>
      <c r="AN1" s="10" t="s">
        <v>31</v>
      </c>
      <c r="AO1" s="10" t="s">
        <v>32</v>
      </c>
      <c r="AP1" s="1" t="s">
        <v>33</v>
      </c>
      <c r="AQ1" s="96" t="s">
        <v>34</v>
      </c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6" t="s">
        <v>35</v>
      </c>
      <c r="BU1" s="93"/>
      <c r="BV1" s="93"/>
      <c r="BW1" s="93"/>
      <c r="BX1" s="92" t="s">
        <v>36</v>
      </c>
      <c r="BY1" s="93"/>
      <c r="BZ1" s="93"/>
    </row>
    <row r="2" spans="1:78" s="43" customFormat="1" ht="15.75" customHeight="1">
      <c r="A2" s="83" t="s">
        <v>5277</v>
      </c>
      <c r="B2" s="84" t="s">
        <v>1</v>
      </c>
      <c r="C2" s="84" t="s">
        <v>2</v>
      </c>
      <c r="D2" s="84" t="s">
        <v>5278</v>
      </c>
      <c r="E2" s="84"/>
      <c r="F2" s="84"/>
      <c r="G2" s="84"/>
      <c r="H2" s="84" t="s">
        <v>5279</v>
      </c>
      <c r="I2" s="84" t="s">
        <v>5280</v>
      </c>
      <c r="J2" s="83" t="s">
        <v>5281</v>
      </c>
      <c r="K2" s="83" t="s">
        <v>5282</v>
      </c>
      <c r="L2" s="83" t="s">
        <v>5283</v>
      </c>
      <c r="M2" s="83" t="s">
        <v>5283</v>
      </c>
      <c r="N2" s="83" t="s">
        <v>5283</v>
      </c>
      <c r="O2" s="83" t="s">
        <v>5283</v>
      </c>
      <c r="P2" s="83" t="s">
        <v>5283</v>
      </c>
      <c r="Q2" s="83" t="s">
        <v>5283</v>
      </c>
      <c r="R2" s="83" t="s">
        <v>5283</v>
      </c>
      <c r="S2" s="83" t="s">
        <v>5284</v>
      </c>
      <c r="T2" s="83" t="s">
        <v>5284</v>
      </c>
      <c r="U2" s="83"/>
      <c r="V2" s="83"/>
      <c r="W2" s="84" t="s">
        <v>19</v>
      </c>
      <c r="X2" s="83" t="s">
        <v>5285</v>
      </c>
      <c r="Y2" s="83"/>
      <c r="Z2" s="83" t="s">
        <v>37</v>
      </c>
      <c r="AA2" s="83" t="s">
        <v>5286</v>
      </c>
      <c r="AB2" s="83" t="s">
        <v>5287</v>
      </c>
      <c r="AC2" s="83" t="s">
        <v>5288</v>
      </c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83"/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83"/>
      <c r="BV2" s="83"/>
      <c r="BW2" s="83"/>
      <c r="BX2" s="83"/>
      <c r="BY2" s="83"/>
      <c r="BZ2" s="83"/>
    </row>
    <row r="3" spans="1:78" s="43" customFormat="1" ht="15.75" customHeight="1">
      <c r="A3" s="4" t="s">
        <v>38</v>
      </c>
      <c r="B3" s="85" t="s">
        <v>39</v>
      </c>
      <c r="C3" s="85" t="s">
        <v>40</v>
      </c>
      <c r="D3" s="11" t="s">
        <v>41</v>
      </c>
      <c r="E3" s="11" t="s">
        <v>42</v>
      </c>
      <c r="F3" s="11" t="s">
        <v>43</v>
      </c>
      <c r="G3" s="11" t="s">
        <v>44</v>
      </c>
      <c r="H3" s="86" t="s">
        <v>45</v>
      </c>
      <c r="I3" s="86" t="s">
        <v>46</v>
      </c>
      <c r="J3" s="3"/>
      <c r="K3" s="3"/>
      <c r="L3" s="12" t="s">
        <v>11</v>
      </c>
      <c r="M3" s="12" t="s">
        <v>47</v>
      </c>
      <c r="N3" s="12" t="s">
        <v>48</v>
      </c>
      <c r="O3" s="12"/>
      <c r="P3" s="12"/>
      <c r="Q3" s="12" t="s">
        <v>49</v>
      </c>
      <c r="R3" s="12" t="s">
        <v>50</v>
      </c>
      <c r="S3" s="13" t="s">
        <v>51</v>
      </c>
      <c r="T3" s="13" t="s">
        <v>52</v>
      </c>
      <c r="U3" s="4"/>
      <c r="V3" s="4"/>
      <c r="W3" s="87" t="s">
        <v>53</v>
      </c>
      <c r="X3" s="14" t="s">
        <v>54</v>
      </c>
      <c r="Y3" s="25" t="s">
        <v>5289</v>
      </c>
      <c r="Z3" s="5" t="s">
        <v>37</v>
      </c>
      <c r="AA3" s="5" t="s">
        <v>55</v>
      </c>
      <c r="AB3" s="15" t="s">
        <v>56</v>
      </c>
      <c r="AC3" s="16" t="s">
        <v>5288</v>
      </c>
      <c r="AD3" s="16"/>
      <c r="AE3" s="16"/>
      <c r="AF3" s="5" t="s">
        <v>41</v>
      </c>
      <c r="AG3" s="5" t="s">
        <v>57</v>
      </c>
      <c r="AH3" s="5" t="s">
        <v>58</v>
      </c>
      <c r="AI3" s="5" t="s">
        <v>59</v>
      </c>
      <c r="AJ3" s="5" t="s">
        <v>60</v>
      </c>
      <c r="AK3" s="5" t="s">
        <v>61</v>
      </c>
      <c r="AL3" s="5" t="s">
        <v>62</v>
      </c>
      <c r="AM3" s="17"/>
      <c r="AN3" s="18"/>
      <c r="AO3" s="18"/>
      <c r="AP3" s="4" t="s">
        <v>33</v>
      </c>
      <c r="AQ3" s="25" t="s">
        <v>5290</v>
      </c>
      <c r="AR3" s="25" t="s">
        <v>5291</v>
      </c>
      <c r="AS3" s="25" t="s">
        <v>5292</v>
      </c>
      <c r="AT3" s="25" t="s">
        <v>5293</v>
      </c>
      <c r="AU3" s="25" t="s">
        <v>5294</v>
      </c>
      <c r="AV3" s="25" t="s">
        <v>5295</v>
      </c>
      <c r="AW3" s="25" t="s">
        <v>5296</v>
      </c>
      <c r="AX3" s="25" t="s">
        <v>5297</v>
      </c>
      <c r="AY3" s="25" t="s">
        <v>5298</v>
      </c>
      <c r="AZ3" s="25" t="s">
        <v>5299</v>
      </c>
      <c r="BA3" s="25" t="s">
        <v>5300</v>
      </c>
      <c r="BB3" s="25" t="s">
        <v>5301</v>
      </c>
      <c r="BC3" s="25" t="s">
        <v>5302</v>
      </c>
      <c r="BD3" s="25" t="s">
        <v>5303</v>
      </c>
      <c r="BE3" s="25" t="s">
        <v>5304</v>
      </c>
      <c r="BF3" s="25" t="s">
        <v>5305</v>
      </c>
      <c r="BG3" s="25" t="s">
        <v>5306</v>
      </c>
      <c r="BH3" s="25" t="s">
        <v>5307</v>
      </c>
      <c r="BI3" s="25" t="s">
        <v>5308</v>
      </c>
      <c r="BJ3" s="25" t="s">
        <v>5309</v>
      </c>
      <c r="BK3" s="25" t="s">
        <v>5310</v>
      </c>
      <c r="BL3" s="25" t="s">
        <v>5311</v>
      </c>
      <c r="BM3" s="25" t="s">
        <v>5296</v>
      </c>
      <c r="BN3" s="25" t="s">
        <v>5312</v>
      </c>
      <c r="BO3" s="25" t="s">
        <v>5313</v>
      </c>
      <c r="BP3" s="25" t="s">
        <v>5314</v>
      </c>
      <c r="BQ3" s="25" t="s">
        <v>5315</v>
      </c>
      <c r="BR3" s="25" t="s">
        <v>5316</v>
      </c>
      <c r="BS3" s="25" t="s">
        <v>5317</v>
      </c>
      <c r="BT3" s="25" t="s">
        <v>5318</v>
      </c>
      <c r="BU3" s="25" t="s">
        <v>5319</v>
      </c>
      <c r="BV3" s="25" t="s">
        <v>5320</v>
      </c>
      <c r="BW3" s="25" t="s">
        <v>5321</v>
      </c>
      <c r="BX3" s="25" t="s">
        <v>63</v>
      </c>
      <c r="BY3" s="25" t="s">
        <v>64</v>
      </c>
      <c r="BZ3" s="25" t="s">
        <v>5322</v>
      </c>
    </row>
    <row r="4" spans="1:78" s="41" customFormat="1" ht="15.75" customHeight="1">
      <c r="A4" s="41">
        <v>137733</v>
      </c>
      <c r="B4" s="41" t="s">
        <v>184</v>
      </c>
      <c r="C4" s="65" t="str">
        <f>VLOOKUP(B:B,Brand!B:C,2,0)</f>
        <v>Savepak</v>
      </c>
      <c r="D4" s="63">
        <f>VLOOKUP(E:E,'Product Category'!J:O,6,FALSE)</f>
        <v>44</v>
      </c>
      <c r="E4" s="63" t="s">
        <v>2064</v>
      </c>
      <c r="F4" s="63" t="str">
        <f>VLOOKUP(E:E,'Product Category'!J:K,2,FALSE)</f>
        <v>7-Households Product</v>
      </c>
      <c r="G4" s="63" t="str">
        <f>VLOOKUP(F:F,'Product Category'!K:L,2,FALSE)</f>
        <v>1-Households</v>
      </c>
      <c r="H4" s="41" t="s">
        <v>4403</v>
      </c>
      <c r="I4" s="41" t="s">
        <v>4404</v>
      </c>
      <c r="J4" s="41" t="s">
        <v>5170</v>
      </c>
      <c r="K4" s="41" t="s">
        <v>5171</v>
      </c>
      <c r="L4" s="41">
        <v>500</v>
      </c>
      <c r="M4" s="41" t="s">
        <v>1810</v>
      </c>
      <c r="N4" s="41" t="str">
        <f>VLOOKUP(M:M,Unit!B:C,2,0)</f>
        <v>each</v>
      </c>
      <c r="O4" s="41" t="s">
        <v>67</v>
      </c>
      <c r="P4" s="41">
        <v>1</v>
      </c>
      <c r="Q4" s="41" t="s">
        <v>179</v>
      </c>
      <c r="R4" s="41" t="str">
        <f>VLOOKUP(Q:Q,Unit!B:D,2,0)</f>
        <v>pack</v>
      </c>
      <c r="S4" s="41" t="s">
        <v>75</v>
      </c>
      <c r="T4" s="41" t="str">
        <f>VLOOKUP(S:S,Promo!B:D,2,0)</f>
        <v>Promo EN</v>
      </c>
      <c r="W4" s="41">
        <v>149</v>
      </c>
      <c r="X4" s="41">
        <v>139</v>
      </c>
      <c r="AB4" s="41" t="s">
        <v>2056</v>
      </c>
      <c r="AG4" s="41" t="s">
        <v>71</v>
      </c>
      <c r="AH4" s="41" t="s">
        <v>71</v>
      </c>
      <c r="AI4" s="41" t="s">
        <v>71</v>
      </c>
      <c r="AJ4" s="41" t="s">
        <v>71</v>
      </c>
      <c r="AK4" s="41" t="s">
        <v>71</v>
      </c>
      <c r="AL4" s="41" t="s">
        <v>71</v>
      </c>
      <c r="AQ4" s="41" t="s">
        <v>4405</v>
      </c>
      <c r="AR4" s="41" t="s">
        <v>2182</v>
      </c>
      <c r="BS4" s="41" t="s">
        <v>2058</v>
      </c>
      <c r="BT4" s="41" t="s">
        <v>72</v>
      </c>
      <c r="BW4" s="41" t="s">
        <v>72</v>
      </c>
      <c r="BX4" s="41">
        <f>VLOOKUP(B:B,Brand!B:D,3,0)</f>
        <v>187</v>
      </c>
      <c r="BY4" s="41">
        <f>VLOOKUP(M:M,Unit!B:D,3,0)</f>
        <v>32</v>
      </c>
      <c r="BZ4" s="41">
        <f>VLOOKUP(S:S,Promo!B:D,3,0)</f>
        <v>0</v>
      </c>
    </row>
    <row r="5" spans="1:78" s="41" customFormat="1" ht="15.75" customHeight="1">
      <c r="A5" s="41">
        <v>164559</v>
      </c>
      <c r="B5" s="41" t="s">
        <v>97</v>
      </c>
      <c r="C5" s="65" t="str">
        <f>VLOOKUP(B:B,Brand!B:C,2,0)</f>
        <v>aro</v>
      </c>
      <c r="D5" s="63">
        <f>VLOOKUP(E:E,'Product Category'!J:O,6,FALSE)</f>
        <v>44</v>
      </c>
      <c r="E5" s="41" t="s">
        <v>2064</v>
      </c>
      <c r="F5" s="63" t="str">
        <f>VLOOKUP(E:E,'Product Category'!J:K,2,FALSE)</f>
        <v>7-Households Product</v>
      </c>
      <c r="G5" s="63" t="str">
        <f>VLOOKUP(F:F,'Product Category'!K:L,2,FALSE)</f>
        <v>1-Households</v>
      </c>
      <c r="H5" s="41" t="s">
        <v>2284</v>
      </c>
      <c r="I5" s="41" t="s">
        <v>4406</v>
      </c>
      <c r="J5" s="41" t="s">
        <v>5172</v>
      </c>
      <c r="K5" s="41" t="s">
        <v>5173</v>
      </c>
      <c r="L5" s="41">
        <v>500</v>
      </c>
      <c r="M5" s="41" t="s">
        <v>1810</v>
      </c>
      <c r="N5" s="41" t="str">
        <f>VLOOKUP(M:M,Unit!B:C,2,0)</f>
        <v>each</v>
      </c>
      <c r="O5" s="41" t="s">
        <v>67</v>
      </c>
      <c r="P5" s="41">
        <v>1</v>
      </c>
      <c r="Q5" s="41" t="s">
        <v>179</v>
      </c>
      <c r="R5" s="41" t="str">
        <f>VLOOKUP(Q:Q,Unit!B:D,2,0)</f>
        <v>pack</v>
      </c>
      <c r="S5" s="41" t="s">
        <v>75</v>
      </c>
      <c r="T5" s="41" t="str">
        <f>VLOOKUP(S:S,Promo!B:D,2,0)</f>
        <v>Promo EN</v>
      </c>
      <c r="W5" s="41">
        <v>149</v>
      </c>
      <c r="X5" s="41">
        <v>139</v>
      </c>
      <c r="AB5" s="41" t="s">
        <v>2056</v>
      </c>
      <c r="AG5" s="41" t="s">
        <v>71</v>
      </c>
      <c r="AH5" s="41" t="s">
        <v>71</v>
      </c>
      <c r="AI5" s="41" t="s">
        <v>71</v>
      </c>
      <c r="AJ5" s="41" t="s">
        <v>71</v>
      </c>
      <c r="AK5" s="41" t="s">
        <v>71</v>
      </c>
      <c r="AL5" s="41" t="s">
        <v>71</v>
      </c>
      <c r="AQ5" s="41" t="s">
        <v>3897</v>
      </c>
      <c r="AR5" s="41" t="s">
        <v>2164</v>
      </c>
      <c r="BS5" s="41" t="s">
        <v>2058</v>
      </c>
      <c r="BT5" s="41" t="s">
        <v>72</v>
      </c>
      <c r="BW5" s="41" t="s">
        <v>72</v>
      </c>
      <c r="BX5" s="41">
        <f>VLOOKUP(B:B,Brand!B:D,3,0)</f>
        <v>692</v>
      </c>
      <c r="BY5" s="41">
        <f>VLOOKUP(M:M,Unit!B:D,3,0)</f>
        <v>32</v>
      </c>
      <c r="BZ5" s="41">
        <f>VLOOKUP(S:S,Promo!B:D,3,0)</f>
        <v>0</v>
      </c>
    </row>
    <row r="6" spans="1:78" s="41" customFormat="1" ht="15.75" customHeight="1">
      <c r="A6" s="41">
        <v>167902</v>
      </c>
      <c r="B6" s="41" t="s">
        <v>184</v>
      </c>
      <c r="C6" s="65" t="str">
        <f>VLOOKUP(B:B,Brand!B:C,2,0)</f>
        <v>Savepak</v>
      </c>
      <c r="D6" s="63">
        <f>VLOOKUP(E:E,'Product Category'!J:O,6,FALSE)</f>
        <v>44</v>
      </c>
      <c r="E6" s="41" t="s">
        <v>2064</v>
      </c>
      <c r="F6" s="63" t="str">
        <f>VLOOKUP(E:E,'Product Category'!J:K,2,FALSE)</f>
        <v>7-Households Product</v>
      </c>
      <c r="G6" s="63" t="str">
        <f>VLOOKUP(F:F,'Product Category'!K:L,2,FALSE)</f>
        <v>1-Households</v>
      </c>
      <c r="H6" s="41" t="s">
        <v>4407</v>
      </c>
      <c r="I6" s="41" t="s">
        <v>4408</v>
      </c>
      <c r="J6" s="41" t="s">
        <v>5174</v>
      </c>
      <c r="K6" s="41" t="s">
        <v>5175</v>
      </c>
      <c r="L6" s="41">
        <v>100</v>
      </c>
      <c r="M6" s="41" t="s">
        <v>1810</v>
      </c>
      <c r="N6" s="41" t="str">
        <f>VLOOKUP(M:M,Unit!B:C,2,0)</f>
        <v>each</v>
      </c>
      <c r="O6" s="41" t="s">
        <v>67</v>
      </c>
      <c r="P6" s="41">
        <v>1</v>
      </c>
      <c r="Q6" s="41" t="s">
        <v>179</v>
      </c>
      <c r="R6" s="41" t="str">
        <f>VLOOKUP(Q:Q,Unit!B:D,2,0)</f>
        <v>pack</v>
      </c>
      <c r="S6" s="41" t="s">
        <v>75</v>
      </c>
      <c r="T6" s="41" t="str">
        <f>VLOOKUP(S:S,Promo!B:D,2,0)</f>
        <v>Promo EN</v>
      </c>
      <c r="W6" s="41">
        <v>49</v>
      </c>
      <c r="X6" s="41">
        <v>39</v>
      </c>
      <c r="AB6" s="41" t="s">
        <v>2056</v>
      </c>
      <c r="AG6" s="41" t="s">
        <v>71</v>
      </c>
      <c r="AH6" s="41" t="s">
        <v>71</v>
      </c>
      <c r="AI6" s="41" t="s">
        <v>71</v>
      </c>
      <c r="AJ6" s="41" t="s">
        <v>71</v>
      </c>
      <c r="AK6" s="41" t="s">
        <v>71</v>
      </c>
      <c r="AL6" s="41" t="s">
        <v>71</v>
      </c>
      <c r="AQ6" s="41" t="s">
        <v>4405</v>
      </c>
      <c r="AR6" s="41" t="s">
        <v>2182</v>
      </c>
      <c r="BS6" s="41" t="s">
        <v>2058</v>
      </c>
      <c r="BT6" s="41" t="s">
        <v>72</v>
      </c>
      <c r="BW6" s="41" t="s">
        <v>72</v>
      </c>
      <c r="BX6" s="41">
        <f>VLOOKUP(B:B,Brand!B:D,3,0)</f>
        <v>187</v>
      </c>
      <c r="BY6" s="41">
        <f>VLOOKUP(M:M,Unit!B:D,3,0)</f>
        <v>32</v>
      </c>
      <c r="BZ6" s="41">
        <f>VLOOKUP(S:S,Promo!B:D,3,0)</f>
        <v>0</v>
      </c>
    </row>
    <row r="7" spans="1:78" s="41" customFormat="1" ht="15.75" customHeight="1">
      <c r="A7" s="41">
        <v>167903</v>
      </c>
      <c r="B7" s="41" t="s">
        <v>184</v>
      </c>
      <c r="C7" s="65" t="str">
        <f>VLOOKUP(B:B,Brand!B:C,2,0)</f>
        <v>Savepak</v>
      </c>
      <c r="D7" s="63">
        <f>VLOOKUP(E:E,'Product Category'!J:O,6,FALSE)</f>
        <v>44</v>
      </c>
      <c r="E7" s="41" t="s">
        <v>2064</v>
      </c>
      <c r="F7" s="63" t="str">
        <f>VLOOKUP(E:E,'Product Category'!J:K,2,FALSE)</f>
        <v>7-Households Product</v>
      </c>
      <c r="G7" s="63" t="str">
        <f>VLOOKUP(F:F,'Product Category'!K:L,2,FALSE)</f>
        <v>1-Households</v>
      </c>
      <c r="H7" s="41" t="s">
        <v>4409</v>
      </c>
      <c r="I7" s="41" t="s">
        <v>4410</v>
      </c>
      <c r="J7" s="41" t="s">
        <v>5176</v>
      </c>
      <c r="K7" s="41" t="s">
        <v>5177</v>
      </c>
      <c r="L7" s="41">
        <v>100</v>
      </c>
      <c r="M7" s="41" t="s">
        <v>1810</v>
      </c>
      <c r="N7" s="41" t="str">
        <f>VLOOKUP(M:M,Unit!B:C,2,0)</f>
        <v>each</v>
      </c>
      <c r="O7" s="41" t="s">
        <v>67</v>
      </c>
      <c r="P7" s="41">
        <v>1</v>
      </c>
      <c r="Q7" s="41" t="s">
        <v>179</v>
      </c>
      <c r="R7" s="41" t="str">
        <f>VLOOKUP(Q:Q,Unit!B:D,2,0)</f>
        <v>pack</v>
      </c>
      <c r="S7" s="41" t="s">
        <v>75</v>
      </c>
      <c r="T7" s="41" t="str">
        <f>VLOOKUP(S:S,Promo!B:D,2,0)</f>
        <v>Promo EN</v>
      </c>
      <c r="W7" s="41">
        <v>49</v>
      </c>
      <c r="X7" s="41">
        <v>39</v>
      </c>
      <c r="AB7" s="41" t="s">
        <v>2056</v>
      </c>
      <c r="AG7" s="41" t="s">
        <v>71</v>
      </c>
      <c r="AH7" s="41" t="s">
        <v>71</v>
      </c>
      <c r="AI7" s="41" t="s">
        <v>71</v>
      </c>
      <c r="AJ7" s="41" t="s">
        <v>71</v>
      </c>
      <c r="AK7" s="41" t="s">
        <v>71</v>
      </c>
      <c r="AL7" s="41" t="s">
        <v>71</v>
      </c>
      <c r="AQ7" s="41" t="s">
        <v>4405</v>
      </c>
      <c r="AR7" s="41" t="s">
        <v>2182</v>
      </c>
      <c r="BS7" s="41" t="s">
        <v>2058</v>
      </c>
      <c r="BT7" s="41" t="s">
        <v>72</v>
      </c>
      <c r="BW7" s="41" t="s">
        <v>72</v>
      </c>
      <c r="BX7" s="41">
        <f>VLOOKUP(B:B,Brand!B:D,3,0)</f>
        <v>187</v>
      </c>
      <c r="BY7" s="41">
        <f>VLOOKUP(M:M,Unit!B:D,3,0)</f>
        <v>32</v>
      </c>
      <c r="BZ7" s="41">
        <f>VLOOKUP(S:S,Promo!B:D,3,0)</f>
        <v>0</v>
      </c>
    </row>
    <row r="8" spans="1:78" s="41" customFormat="1" ht="15.75" customHeight="1">
      <c r="A8" s="41">
        <v>164560</v>
      </c>
      <c r="B8" s="41" t="s">
        <v>97</v>
      </c>
      <c r="C8" s="65" t="str">
        <f>VLOOKUP(B:B,Brand!B:C,2,0)</f>
        <v>aro</v>
      </c>
      <c r="D8" s="63">
        <f>VLOOKUP(E:E,'Product Category'!J:O,6,FALSE)</f>
        <v>44</v>
      </c>
      <c r="E8" s="41" t="s">
        <v>2064</v>
      </c>
      <c r="F8" s="63" t="str">
        <f>VLOOKUP(E:E,'Product Category'!J:K,2,FALSE)</f>
        <v>7-Households Product</v>
      </c>
      <c r="G8" s="63" t="str">
        <f>VLOOKUP(F:F,'Product Category'!K:L,2,FALSE)</f>
        <v>1-Households</v>
      </c>
      <c r="H8" s="41" t="s">
        <v>4411</v>
      </c>
      <c r="I8" s="41" t="s">
        <v>4412</v>
      </c>
      <c r="J8" s="41" t="s">
        <v>5178</v>
      </c>
      <c r="K8" s="41" t="s">
        <v>5179</v>
      </c>
      <c r="L8" s="41">
        <v>100</v>
      </c>
      <c r="M8" s="41" t="s">
        <v>1810</v>
      </c>
      <c r="N8" s="41" t="str">
        <f>VLOOKUP(M:M,Unit!B:C,2,0)</f>
        <v>each</v>
      </c>
      <c r="O8" s="41" t="s">
        <v>67</v>
      </c>
      <c r="P8" s="41">
        <v>1</v>
      </c>
      <c r="Q8" s="41" t="s">
        <v>179</v>
      </c>
      <c r="R8" s="41" t="str">
        <f>VLOOKUP(Q:Q,Unit!B:D,2,0)</f>
        <v>pack</v>
      </c>
      <c r="S8" s="41" t="s">
        <v>75</v>
      </c>
      <c r="T8" s="41" t="str">
        <f>VLOOKUP(S:S,Promo!B:D,2,0)</f>
        <v>Promo EN</v>
      </c>
      <c r="W8" s="41">
        <v>54</v>
      </c>
      <c r="X8" s="41">
        <v>45</v>
      </c>
      <c r="AB8" s="41" t="s">
        <v>2056</v>
      </c>
      <c r="AG8" s="41" t="s">
        <v>71</v>
      </c>
      <c r="AH8" s="41" t="s">
        <v>71</v>
      </c>
      <c r="AI8" s="41" t="s">
        <v>71</v>
      </c>
      <c r="AJ8" s="41" t="s">
        <v>71</v>
      </c>
      <c r="AK8" s="41" t="s">
        <v>71</v>
      </c>
      <c r="AL8" s="41" t="s">
        <v>71</v>
      </c>
      <c r="AQ8" s="41" t="s">
        <v>3897</v>
      </c>
      <c r="AR8" s="41" t="s">
        <v>2164</v>
      </c>
      <c r="BS8" s="41" t="s">
        <v>2058</v>
      </c>
      <c r="BT8" s="41" t="s">
        <v>72</v>
      </c>
      <c r="BW8" s="41" t="s">
        <v>72</v>
      </c>
      <c r="BX8" s="41">
        <f>VLOOKUP(B:B,Brand!B:D,3,0)</f>
        <v>692</v>
      </c>
      <c r="BY8" s="41">
        <f>VLOOKUP(M:M,Unit!B:D,3,0)</f>
        <v>32</v>
      </c>
      <c r="BZ8" s="41">
        <f>VLOOKUP(S:S,Promo!B:D,3,0)</f>
        <v>0</v>
      </c>
    </row>
    <row r="9" spans="1:78" s="41" customFormat="1" ht="15.75" customHeight="1">
      <c r="A9" s="41">
        <v>164561</v>
      </c>
      <c r="B9" s="41" t="s">
        <v>97</v>
      </c>
      <c r="C9" s="65" t="str">
        <f>VLOOKUP(B:B,Brand!B:C,2,0)</f>
        <v>aro</v>
      </c>
      <c r="D9" s="63">
        <f>VLOOKUP(E:E,'Product Category'!J:O,6,FALSE)</f>
        <v>44</v>
      </c>
      <c r="E9" s="41" t="s">
        <v>2064</v>
      </c>
      <c r="F9" s="63" t="str">
        <f>VLOOKUP(E:E,'Product Category'!J:K,2,FALSE)</f>
        <v>7-Households Product</v>
      </c>
      <c r="G9" s="63" t="str">
        <f>VLOOKUP(F:F,'Product Category'!K:L,2,FALSE)</f>
        <v>1-Households</v>
      </c>
      <c r="H9" s="41" t="s">
        <v>4413</v>
      </c>
      <c r="I9" s="41" t="s">
        <v>4414</v>
      </c>
      <c r="J9" s="41" t="s">
        <v>5180</v>
      </c>
      <c r="K9" s="41" t="s">
        <v>5181</v>
      </c>
      <c r="L9" s="41">
        <v>100</v>
      </c>
      <c r="M9" s="41" t="s">
        <v>1810</v>
      </c>
      <c r="N9" s="41" t="str">
        <f>VLOOKUP(M:M,Unit!B:C,2,0)</f>
        <v>each</v>
      </c>
      <c r="O9" s="41" t="s">
        <v>67</v>
      </c>
      <c r="P9" s="41">
        <v>1</v>
      </c>
      <c r="Q9" s="41" t="s">
        <v>179</v>
      </c>
      <c r="R9" s="41" t="str">
        <f>VLOOKUP(Q:Q,Unit!B:D,2,0)</f>
        <v>pack</v>
      </c>
      <c r="S9" s="41" t="s">
        <v>75</v>
      </c>
      <c r="T9" s="41" t="str">
        <f>VLOOKUP(S:S,Promo!B:D,2,0)</f>
        <v>Promo EN</v>
      </c>
      <c r="W9" s="41">
        <v>54</v>
      </c>
      <c r="X9" s="41">
        <v>45</v>
      </c>
      <c r="AB9" s="41" t="s">
        <v>2056</v>
      </c>
      <c r="AG9" s="41" t="s">
        <v>71</v>
      </c>
      <c r="AH9" s="41" t="s">
        <v>71</v>
      </c>
      <c r="AI9" s="41" t="s">
        <v>71</v>
      </c>
      <c r="AJ9" s="41" t="s">
        <v>71</v>
      </c>
      <c r="AK9" s="41" t="s">
        <v>71</v>
      </c>
      <c r="AL9" s="41" t="s">
        <v>71</v>
      </c>
      <c r="AQ9" s="41" t="s">
        <v>3897</v>
      </c>
      <c r="AR9" s="41" t="s">
        <v>2164</v>
      </c>
      <c r="BS9" s="41" t="s">
        <v>2058</v>
      </c>
      <c r="BT9" s="41" t="s">
        <v>72</v>
      </c>
      <c r="BW9" s="41" t="s">
        <v>72</v>
      </c>
      <c r="BX9" s="41">
        <f>VLOOKUP(B:B,Brand!B:D,3,0)</f>
        <v>692</v>
      </c>
      <c r="BY9" s="41">
        <f>VLOOKUP(M:M,Unit!B:D,3,0)</f>
        <v>32</v>
      </c>
      <c r="BZ9" s="41">
        <f>VLOOKUP(S:S,Promo!B:D,3,0)</f>
        <v>0</v>
      </c>
    </row>
    <row r="10" spans="1:78" s="41" customFormat="1" ht="15.75" customHeight="1">
      <c r="A10" s="41">
        <v>107213</v>
      </c>
      <c r="B10" s="41" t="s">
        <v>97</v>
      </c>
      <c r="C10" s="65" t="str">
        <f>VLOOKUP(B:B,Brand!B:C,2,0)</f>
        <v>aro</v>
      </c>
      <c r="D10" s="63">
        <f>VLOOKUP(E:E,'Product Category'!J:O,6,FALSE)</f>
        <v>44</v>
      </c>
      <c r="E10" s="41" t="s">
        <v>2064</v>
      </c>
      <c r="F10" s="63" t="str">
        <f>VLOOKUP(E:E,'Product Category'!J:K,2,FALSE)</f>
        <v>7-Households Product</v>
      </c>
      <c r="G10" s="63" t="str">
        <f>VLOOKUP(F:F,'Product Category'!K:L,2,FALSE)</f>
        <v>1-Households</v>
      </c>
      <c r="H10" s="41" t="s">
        <v>2163</v>
      </c>
      <c r="I10" s="41" t="s">
        <v>2315</v>
      </c>
      <c r="J10" s="41" t="s">
        <v>5184</v>
      </c>
      <c r="K10" s="41" t="s">
        <v>5185</v>
      </c>
      <c r="L10" s="41">
        <v>3</v>
      </c>
      <c r="M10" s="41" t="s">
        <v>79</v>
      </c>
      <c r="N10" s="41" t="str">
        <f>VLOOKUP(M:M,Unit!B:C,2,0)</f>
        <v>kg</v>
      </c>
      <c r="O10" s="41" t="s">
        <v>67</v>
      </c>
      <c r="P10" s="41">
        <v>1</v>
      </c>
      <c r="Q10" s="41" t="s">
        <v>135</v>
      </c>
      <c r="R10" s="41" t="str">
        <f>VLOOKUP(Q:Q,Unit!B:D,2,0)</f>
        <v>g</v>
      </c>
      <c r="S10" s="41" t="s">
        <v>75</v>
      </c>
      <c r="T10" s="41" t="str">
        <f>VLOOKUP(S:S,Promo!B:D,2,0)</f>
        <v>Promo EN</v>
      </c>
      <c r="W10" s="41">
        <v>228</v>
      </c>
      <c r="X10" s="41">
        <v>220</v>
      </c>
      <c r="AB10" s="41" t="s">
        <v>2054</v>
      </c>
      <c r="AF10" s="41" t="s">
        <v>3373</v>
      </c>
      <c r="AG10" s="41" t="s">
        <v>71</v>
      </c>
      <c r="AH10" s="41" t="s">
        <v>71</v>
      </c>
      <c r="AI10" s="41" t="s">
        <v>71</v>
      </c>
      <c r="AJ10" s="41" t="s">
        <v>71</v>
      </c>
      <c r="AK10" s="41" t="s">
        <v>71</v>
      </c>
      <c r="AL10" s="41" t="s">
        <v>71</v>
      </c>
      <c r="BS10" s="41" t="s">
        <v>2058</v>
      </c>
      <c r="BT10" s="41" t="s">
        <v>72</v>
      </c>
      <c r="BW10" s="41" t="s">
        <v>72</v>
      </c>
      <c r="BX10" s="41">
        <f>VLOOKUP(B:B,Brand!B:D,3,0)</f>
        <v>692</v>
      </c>
      <c r="BY10" s="41">
        <f>VLOOKUP(M:M,Unit!B:D,3,0)</f>
        <v>2</v>
      </c>
      <c r="BZ10" s="41">
        <f>VLOOKUP(S:S,Promo!B:D,3,0)</f>
        <v>0</v>
      </c>
    </row>
    <row r="11" spans="1:78" s="41" customFormat="1" ht="15.75" customHeight="1">
      <c r="A11" s="41">
        <v>227074</v>
      </c>
      <c r="B11" s="41" t="s">
        <v>97</v>
      </c>
      <c r="C11" s="65" t="str">
        <f>VLOOKUP(B:B,Brand!B:C,2,0)</f>
        <v>aro</v>
      </c>
      <c r="D11" s="63">
        <f>VLOOKUP(E:E,'Product Category'!J:O,6,FALSE)</f>
        <v>45</v>
      </c>
      <c r="E11" s="41" t="s">
        <v>2086</v>
      </c>
      <c r="F11" s="63" t="str">
        <f>VLOOKUP(E:E,'Product Category'!J:K,2,FALSE)</f>
        <v>7-Households Product</v>
      </c>
      <c r="G11" s="63" t="str">
        <f>VLOOKUP(F:F,'Product Category'!K:L,2,FALSE)</f>
        <v>1-Households</v>
      </c>
      <c r="H11" s="41" t="s">
        <v>4330</v>
      </c>
      <c r="I11" s="41" t="s">
        <v>4331</v>
      </c>
      <c r="J11" s="41" t="s">
        <v>5119</v>
      </c>
      <c r="K11" s="41" t="s">
        <v>5120</v>
      </c>
      <c r="L11" s="41">
        <v>25</v>
      </c>
      <c r="M11" s="41" t="s">
        <v>183</v>
      </c>
      <c r="N11" s="41" t="str">
        <f>VLOOKUP(M:M,Unit!B:C,2,0)</f>
        <v>set</v>
      </c>
      <c r="O11" s="41" t="s">
        <v>67</v>
      </c>
      <c r="P11" s="41">
        <v>1</v>
      </c>
      <c r="Q11" s="41" t="s">
        <v>179</v>
      </c>
      <c r="R11" s="41" t="str">
        <f>VLOOKUP(Q:Q,Unit!B:D,2,0)</f>
        <v>pack</v>
      </c>
      <c r="S11" s="40" t="s">
        <v>5260</v>
      </c>
      <c r="T11" s="41" t="str">
        <f>VLOOKUP(S:S,Promo!B:D,2,0)</f>
        <v>Save up to 10% off</v>
      </c>
      <c r="W11" s="41">
        <v>89</v>
      </c>
      <c r="X11" s="41">
        <v>79</v>
      </c>
      <c r="AB11" s="41" t="s">
        <v>2054</v>
      </c>
      <c r="AG11" s="41" t="s">
        <v>71</v>
      </c>
      <c r="AH11" s="41" t="s">
        <v>71</v>
      </c>
      <c r="AI11" s="41" t="s">
        <v>71</v>
      </c>
      <c r="AJ11" s="41" t="s">
        <v>71</v>
      </c>
      <c r="AK11" s="41" t="s">
        <v>71</v>
      </c>
      <c r="AL11" s="41" t="s">
        <v>71</v>
      </c>
      <c r="AS11" s="41" t="s">
        <v>4332</v>
      </c>
      <c r="AT11" s="41" t="s">
        <v>4333</v>
      </c>
      <c r="BS11" s="41" t="s">
        <v>2058</v>
      </c>
      <c r="BT11" s="41" t="s">
        <v>72</v>
      </c>
      <c r="BW11" s="41" t="s">
        <v>72</v>
      </c>
      <c r="BX11" s="41">
        <f>VLOOKUP(B:B,Brand!B:D,3,0)</f>
        <v>692</v>
      </c>
      <c r="BY11" s="41">
        <f>VLOOKUP(M:M,Unit!B:D,3,0)</f>
        <v>20</v>
      </c>
      <c r="BZ11" s="41">
        <f>VLOOKUP(S:S,Promo!B:D,3,0)</f>
        <v>36</v>
      </c>
    </row>
    <row r="12" spans="1:78" s="41" customFormat="1" ht="15.75" customHeight="1">
      <c r="A12" s="41">
        <v>805326</v>
      </c>
      <c r="B12" s="41" t="s">
        <v>97</v>
      </c>
      <c r="C12" s="65" t="str">
        <f>VLOOKUP(B:B,Brand!B:C,2,0)</f>
        <v>aro</v>
      </c>
      <c r="D12" s="63">
        <f>VLOOKUP(E:E,'Product Category'!J:O,6,FALSE)</f>
        <v>45</v>
      </c>
      <c r="E12" s="41" t="s">
        <v>2086</v>
      </c>
      <c r="F12" s="63" t="str">
        <f>VLOOKUP(E:E,'Product Category'!J:K,2,FALSE)</f>
        <v>7-Households Product</v>
      </c>
      <c r="G12" s="63" t="str">
        <f>VLOOKUP(F:F,'Product Category'!K:L,2,FALSE)</f>
        <v>1-Households</v>
      </c>
      <c r="H12" s="41" t="s">
        <v>4334</v>
      </c>
      <c r="I12" s="41" t="s">
        <v>4331</v>
      </c>
      <c r="J12" s="41" t="s">
        <v>5121</v>
      </c>
      <c r="K12" s="41" t="s">
        <v>5120</v>
      </c>
      <c r="L12" s="41">
        <v>25</v>
      </c>
      <c r="M12" s="41" t="s">
        <v>183</v>
      </c>
      <c r="N12" s="41" t="str">
        <f>VLOOKUP(M:M,Unit!B:C,2,0)</f>
        <v>set</v>
      </c>
      <c r="O12" s="41" t="s">
        <v>67</v>
      </c>
      <c r="P12" s="41">
        <v>1</v>
      </c>
      <c r="Q12" s="41" t="s">
        <v>179</v>
      </c>
      <c r="R12" s="41" t="str">
        <f>VLOOKUP(Q:Q,Unit!B:D,2,0)</f>
        <v>pack</v>
      </c>
      <c r="S12" s="40" t="s">
        <v>5260</v>
      </c>
      <c r="T12" s="41" t="str">
        <f>VLOOKUP(S:S,Promo!B:D,2,0)</f>
        <v>Save up to 10% off</v>
      </c>
      <c r="W12" s="41">
        <v>89</v>
      </c>
      <c r="X12" s="41">
        <v>79</v>
      </c>
      <c r="AB12" s="41" t="s">
        <v>2054</v>
      </c>
      <c r="AG12" s="41" t="s">
        <v>71</v>
      </c>
      <c r="AH12" s="41" t="s">
        <v>71</v>
      </c>
      <c r="AI12" s="41" t="s">
        <v>71</v>
      </c>
      <c r="AJ12" s="41" t="s">
        <v>71</v>
      </c>
      <c r="AK12" s="41" t="s">
        <v>71</v>
      </c>
      <c r="AL12" s="41" t="s">
        <v>71</v>
      </c>
      <c r="AS12" s="41" t="s">
        <v>4332</v>
      </c>
      <c r="AT12" s="41" t="s">
        <v>4333</v>
      </c>
      <c r="BS12" s="41" t="s">
        <v>2058</v>
      </c>
      <c r="BT12" s="41" t="s">
        <v>72</v>
      </c>
      <c r="BW12" s="41" t="s">
        <v>72</v>
      </c>
      <c r="BX12" s="41">
        <f>VLOOKUP(B:B,Brand!B:D,3,0)</f>
        <v>692</v>
      </c>
      <c r="BY12" s="41">
        <f>VLOOKUP(M:M,Unit!B:D,3,0)</f>
        <v>20</v>
      </c>
      <c r="BZ12" s="41">
        <f>VLOOKUP(S:S,Promo!B:D,3,0)</f>
        <v>36</v>
      </c>
    </row>
    <row r="13" spans="1:78" s="41" customFormat="1" ht="15.75" customHeight="1">
      <c r="A13" s="41">
        <v>103059</v>
      </c>
      <c r="B13" s="41" t="s">
        <v>867</v>
      </c>
      <c r="C13" s="65" t="str">
        <f>VLOOKUP(B:B,Brand!B:C,2,0)</f>
        <v>P&amp;P</v>
      </c>
      <c r="D13" s="63">
        <f>VLOOKUP(E:E,'Product Category'!J:O,6,FALSE)</f>
        <v>47</v>
      </c>
      <c r="E13" s="41" t="s">
        <v>2073</v>
      </c>
      <c r="F13" s="63" t="str">
        <f>VLOOKUP(E:E,'Product Category'!J:K,2,FALSE)</f>
        <v>7-Households Product</v>
      </c>
      <c r="G13" s="63" t="str">
        <f>VLOOKUP(F:F,'Product Category'!K:L,2,FALSE)</f>
        <v>1-Households</v>
      </c>
      <c r="H13" s="41" t="s">
        <v>3965</v>
      </c>
      <c r="I13" s="41" t="s">
        <v>3966</v>
      </c>
      <c r="J13" s="41" t="s">
        <v>4869</v>
      </c>
      <c r="K13" s="41" t="s">
        <v>4870</v>
      </c>
      <c r="L13" s="41">
        <v>2</v>
      </c>
      <c r="M13" s="41" t="s">
        <v>79</v>
      </c>
      <c r="N13" s="41" t="str">
        <f>VLOOKUP(M:M,Unit!B:C,2,0)</f>
        <v>kg</v>
      </c>
      <c r="O13" s="41" t="s">
        <v>67</v>
      </c>
      <c r="P13" s="41">
        <v>1</v>
      </c>
      <c r="Q13" s="41" t="s">
        <v>179</v>
      </c>
      <c r="R13" s="41" t="str">
        <f>VLOOKUP(Q:Q,Unit!B:D,2,0)</f>
        <v>pack</v>
      </c>
      <c r="S13" s="41" t="s">
        <v>75</v>
      </c>
      <c r="T13" s="41" t="str">
        <f>VLOOKUP(S:S,Promo!B:D,2,0)</f>
        <v>Promo EN</v>
      </c>
      <c r="W13" s="41">
        <v>249</v>
      </c>
      <c r="X13" s="41">
        <v>239</v>
      </c>
      <c r="AB13" s="41" t="s">
        <v>2056</v>
      </c>
      <c r="AG13" s="41" t="s">
        <v>71</v>
      </c>
      <c r="AH13" s="41" t="s">
        <v>71</v>
      </c>
      <c r="AI13" s="41" t="s">
        <v>71</v>
      </c>
      <c r="AJ13" s="41" t="s">
        <v>71</v>
      </c>
      <c r="AK13" s="41" t="s">
        <v>71</v>
      </c>
      <c r="AL13" s="41" t="s">
        <v>71</v>
      </c>
      <c r="BS13" s="41" t="s">
        <v>2058</v>
      </c>
      <c r="BT13" s="41" t="s">
        <v>72</v>
      </c>
      <c r="BW13" s="41" t="s">
        <v>72</v>
      </c>
      <c r="BX13" s="41">
        <f>VLOOKUP(B:B,Brand!B:D,3,0)</f>
        <v>435</v>
      </c>
      <c r="BY13" s="41">
        <f>VLOOKUP(M:M,Unit!B:D,3,0)</f>
        <v>2</v>
      </c>
      <c r="BZ13" s="41">
        <f>VLOOKUP(S:S,Promo!B:D,3,0)</f>
        <v>0</v>
      </c>
    </row>
    <row r="14" spans="1:78" s="41" customFormat="1" ht="15.75" customHeight="1">
      <c r="A14" s="41">
        <v>804458</v>
      </c>
      <c r="D14" s="63">
        <f>VLOOKUP(E:E,'Product Category'!J:O,6,FALSE)</f>
        <v>47</v>
      </c>
      <c r="E14" s="41" t="s">
        <v>2073</v>
      </c>
      <c r="F14" s="63" t="str">
        <f>VLOOKUP(E:E,'Product Category'!J:K,2,FALSE)</f>
        <v>7-Households Product</v>
      </c>
      <c r="G14" s="63" t="str">
        <f>VLOOKUP(F:F,'Product Category'!K:L,2,FALSE)</f>
        <v>1-Households</v>
      </c>
      <c r="H14" s="41" t="s">
        <v>3978</v>
      </c>
      <c r="I14" s="41" t="s">
        <v>3979</v>
      </c>
      <c r="J14" s="65" t="str">
        <f>TRIM(CONCATENATE(B14," ",H14," ",L14," ",M14," ",O14,P14," ",Q14))</f>
        <v>ชุดหม้อแขก 28-36 ซม. 3 ใบ x1 แพ็ค</v>
      </c>
      <c r="K14" s="80" t="str">
        <f>TRIM(CONCATENATE(C14," ",I14," ",L14," ",N14," ",O14,P14," ",R14))</f>
        <v>Stainless Steel Indian Pot Pan Set 28-36 cm. 3 pc x1 pack</v>
      </c>
      <c r="L14" s="41">
        <v>3</v>
      </c>
      <c r="M14" s="41" t="s">
        <v>100</v>
      </c>
      <c r="N14" s="41" t="str">
        <f>VLOOKUP(M:M,Unit!B:C,2,0)</f>
        <v>pc</v>
      </c>
      <c r="O14" s="41" t="s">
        <v>67</v>
      </c>
      <c r="P14" s="41">
        <v>1</v>
      </c>
      <c r="Q14" s="41" t="s">
        <v>179</v>
      </c>
      <c r="R14" s="41" t="str">
        <f>VLOOKUP(Q:Q,Unit!B:D,2,0)</f>
        <v>pack</v>
      </c>
      <c r="S14" s="41" t="s">
        <v>74</v>
      </c>
      <c r="T14" s="41" t="str">
        <f>VLOOKUP(S:S,Promo!B:D,2,0)</f>
        <v>buy 1 get 1</v>
      </c>
      <c r="W14" s="41">
        <v>1290</v>
      </c>
      <c r="X14" s="41">
        <v>990</v>
      </c>
      <c r="AB14" s="41" t="s">
        <v>91</v>
      </c>
      <c r="AG14" s="41" t="s">
        <v>71</v>
      </c>
      <c r="AH14" s="41" t="s">
        <v>71</v>
      </c>
      <c r="AI14" s="41" t="s">
        <v>71</v>
      </c>
      <c r="AJ14" s="41" t="s">
        <v>71</v>
      </c>
      <c r="AK14" s="41" t="s">
        <v>71</v>
      </c>
      <c r="AL14" s="41" t="s">
        <v>71</v>
      </c>
      <c r="BS14" s="41" t="s">
        <v>2058</v>
      </c>
      <c r="BT14" s="41" t="s">
        <v>72</v>
      </c>
      <c r="BW14" s="41" t="s">
        <v>72</v>
      </c>
      <c r="BY14" s="41">
        <f>VLOOKUP(M:M,Unit!B:D,3,0)</f>
        <v>10</v>
      </c>
      <c r="BZ14" s="41">
        <f>VLOOKUP(S:S,Promo!B:D,3,0)</f>
        <v>1</v>
      </c>
    </row>
    <row r="15" spans="1:78" s="41" customFormat="1" ht="15.75" customHeight="1">
      <c r="A15" s="41">
        <v>103517</v>
      </c>
      <c r="B15" s="41" t="s">
        <v>867</v>
      </c>
      <c r="C15" s="65" t="str">
        <f>VLOOKUP(B:B,Brand!B:C,2,0)</f>
        <v>P&amp;P</v>
      </c>
      <c r="D15" s="63">
        <f>VLOOKUP(E:E,'Product Category'!J:O,6,FALSE)</f>
        <v>47</v>
      </c>
      <c r="E15" s="41" t="s">
        <v>2073</v>
      </c>
      <c r="F15" s="63" t="str">
        <f>VLOOKUP(E:E,'Product Category'!J:K,2,FALSE)</f>
        <v>7-Households Product</v>
      </c>
      <c r="G15" s="63" t="str">
        <f>VLOOKUP(F:F,'Product Category'!K:L,2,FALSE)</f>
        <v>1-Households</v>
      </c>
      <c r="H15" s="41" t="s">
        <v>4106</v>
      </c>
      <c r="I15" s="41" t="s">
        <v>4105</v>
      </c>
      <c r="J15" s="41" t="s">
        <v>4999</v>
      </c>
      <c r="K15" s="41" t="s">
        <v>5000</v>
      </c>
      <c r="L15" s="41">
        <v>2</v>
      </c>
      <c r="M15" s="41" t="s">
        <v>79</v>
      </c>
      <c r="N15" s="41" t="str">
        <f>VLOOKUP(M:M,Unit!B:C,2,0)</f>
        <v>kg</v>
      </c>
      <c r="O15" s="41" t="s">
        <v>67</v>
      </c>
      <c r="P15" s="41">
        <v>1</v>
      </c>
      <c r="Q15" s="41" t="s">
        <v>68</v>
      </c>
      <c r="R15" s="41" t="str">
        <f>VLOOKUP(Q:Q,Unit!B:D,2,0)</f>
        <v>pc</v>
      </c>
      <c r="S15" s="41" t="s">
        <v>75</v>
      </c>
      <c r="T15" s="41" t="str">
        <f>VLOOKUP(S:S,Promo!B:D,2,0)</f>
        <v>Promo EN</v>
      </c>
      <c r="X15" s="41">
        <v>150</v>
      </c>
      <c r="AB15" s="41" t="s">
        <v>2056</v>
      </c>
      <c r="AG15" s="41" t="s">
        <v>71</v>
      </c>
      <c r="AH15" s="41" t="s">
        <v>71</v>
      </c>
      <c r="AI15" s="41" t="s">
        <v>71</v>
      </c>
      <c r="AJ15" s="41" t="s">
        <v>71</v>
      </c>
      <c r="AK15" s="41" t="s">
        <v>71</v>
      </c>
      <c r="AL15" s="41" t="s">
        <v>71</v>
      </c>
      <c r="BS15" s="41" t="s">
        <v>2058</v>
      </c>
      <c r="BT15" s="41" t="s">
        <v>72</v>
      </c>
      <c r="BW15" s="41" t="s">
        <v>72</v>
      </c>
      <c r="BX15" s="41">
        <f>VLOOKUP(B:B,Brand!B:D,3,0)</f>
        <v>435</v>
      </c>
      <c r="BY15" s="41">
        <f>VLOOKUP(M:M,Unit!B:D,3,0)</f>
        <v>2</v>
      </c>
      <c r="BZ15" s="41">
        <f>VLOOKUP(S:S,Promo!B:D,3,0)</f>
        <v>0</v>
      </c>
    </row>
    <row r="16" spans="1:78" s="41" customFormat="1" ht="15.75" customHeight="1">
      <c r="A16" s="41">
        <v>820874</v>
      </c>
      <c r="B16" s="41" t="s">
        <v>2493</v>
      </c>
      <c r="C16" s="65" t="str">
        <f>VLOOKUP(B:B,Brand!B:C,2,0)</f>
        <v>Rocket</v>
      </c>
      <c r="D16" s="63">
        <f>VLOOKUP(E:E,'Product Category'!J:O,6,FALSE)</f>
        <v>47</v>
      </c>
      <c r="E16" s="41" t="s">
        <v>2073</v>
      </c>
      <c r="F16" s="63" t="str">
        <f>VLOOKUP(E:E,'Product Category'!J:K,2,FALSE)</f>
        <v>7-Households Product</v>
      </c>
      <c r="G16" s="63" t="str">
        <f>VLOOKUP(F:F,'Product Category'!K:L,2,FALSE)</f>
        <v>1-Households</v>
      </c>
      <c r="H16" s="41" t="s">
        <v>4242</v>
      </c>
      <c r="I16" s="41" t="s">
        <v>4243</v>
      </c>
      <c r="J16" s="41" t="s">
        <v>5081</v>
      </c>
      <c r="K16" s="41" t="s">
        <v>5082</v>
      </c>
      <c r="L16" s="41">
        <v>2</v>
      </c>
      <c r="M16" s="41" t="s">
        <v>100</v>
      </c>
      <c r="N16" s="41" t="str">
        <f>VLOOKUP(M:M,Unit!B:C,2,0)</f>
        <v>pc</v>
      </c>
      <c r="O16" s="41" t="s">
        <v>67</v>
      </c>
      <c r="P16" s="41">
        <v>1</v>
      </c>
      <c r="Q16" s="41" t="s">
        <v>183</v>
      </c>
      <c r="R16" s="41" t="str">
        <f>VLOOKUP(Q:Q,Unit!B:D,2,0)</f>
        <v>set</v>
      </c>
      <c r="S16" s="41" t="s">
        <v>75</v>
      </c>
      <c r="T16" s="41" t="str">
        <f>VLOOKUP(S:S,Promo!B:D,2,0)</f>
        <v>Promo EN</v>
      </c>
      <c r="W16" s="41">
        <v>790</v>
      </c>
      <c r="X16" s="41">
        <v>499</v>
      </c>
      <c r="AB16" s="41" t="s">
        <v>2054</v>
      </c>
      <c r="AG16" s="41" t="s">
        <v>71</v>
      </c>
      <c r="AH16" s="41" t="s">
        <v>71</v>
      </c>
      <c r="AI16" s="41" t="s">
        <v>71</v>
      </c>
      <c r="AJ16" s="41" t="s">
        <v>71</v>
      </c>
      <c r="AK16" s="41" t="s">
        <v>71</v>
      </c>
      <c r="AL16" s="41" t="s">
        <v>71</v>
      </c>
      <c r="AS16" s="41" t="s">
        <v>4244</v>
      </c>
      <c r="AT16" s="41" t="s">
        <v>4245</v>
      </c>
      <c r="BS16" s="41" t="s">
        <v>2058</v>
      </c>
      <c r="BT16" s="41" t="s">
        <v>72</v>
      </c>
      <c r="BW16" s="41" t="s">
        <v>72</v>
      </c>
      <c r="BX16" s="41">
        <f>VLOOKUP(B:B,Brand!B:D,3,0)</f>
        <v>105</v>
      </c>
      <c r="BY16" s="41">
        <f>VLOOKUP(M:M,Unit!B:D,3,0)</f>
        <v>10</v>
      </c>
      <c r="BZ16" s="41">
        <f>VLOOKUP(S:S,Promo!B:D,3,0)</f>
        <v>0</v>
      </c>
    </row>
    <row r="17" spans="1:78" s="41" customFormat="1" ht="15.75" customHeight="1">
      <c r="A17" s="41">
        <v>816769</v>
      </c>
      <c r="B17" s="41" t="s">
        <v>99</v>
      </c>
      <c r="C17" s="65" t="str">
        <f>VLOOKUP(B:B,Brand!B:C,2,0)</f>
        <v>Crocodile</v>
      </c>
      <c r="D17" s="63">
        <f>VLOOKUP(E:E,'Product Category'!J:O,6,FALSE)</f>
        <v>47</v>
      </c>
      <c r="E17" s="41" t="s">
        <v>2073</v>
      </c>
      <c r="F17" s="63" t="str">
        <f>VLOOKUP(E:E,'Product Category'!J:K,2,FALSE)</f>
        <v>7-Households Product</v>
      </c>
      <c r="G17" s="63" t="str">
        <f>VLOOKUP(F:F,'Product Category'!K:L,2,FALSE)</f>
        <v>1-Households</v>
      </c>
      <c r="H17" s="41" t="s">
        <v>4326</v>
      </c>
      <c r="I17" s="41" t="s">
        <v>4327</v>
      </c>
      <c r="J17" s="41" t="s">
        <v>5117</v>
      </c>
      <c r="K17" s="41" t="s">
        <v>5118</v>
      </c>
      <c r="L17" s="41">
        <v>3</v>
      </c>
      <c r="M17" s="41" t="s">
        <v>100</v>
      </c>
      <c r="N17" s="41" t="str">
        <f>VLOOKUP(M:M,Unit!B:C,2,0)</f>
        <v>pc</v>
      </c>
      <c r="O17" s="41" t="s">
        <v>67</v>
      </c>
      <c r="P17" s="41">
        <v>1</v>
      </c>
      <c r="Q17" s="41" t="s">
        <v>183</v>
      </c>
      <c r="R17" s="41" t="str">
        <f>VLOOKUP(Q:Q,Unit!B:D,2,0)</f>
        <v>set</v>
      </c>
      <c r="S17" s="41" t="s">
        <v>75</v>
      </c>
      <c r="T17" s="41" t="str">
        <f>VLOOKUP(S:S,Promo!B:D,2,0)</f>
        <v>Promo EN</v>
      </c>
      <c r="W17" s="41">
        <v>1290</v>
      </c>
      <c r="X17" s="41">
        <v>990</v>
      </c>
      <c r="AB17" s="41" t="s">
        <v>2056</v>
      </c>
      <c r="AG17" s="41" t="s">
        <v>71</v>
      </c>
      <c r="AH17" s="41" t="s">
        <v>71</v>
      </c>
      <c r="AI17" s="41" t="s">
        <v>71</v>
      </c>
      <c r="AJ17" s="41" t="s">
        <v>71</v>
      </c>
      <c r="AK17" s="41" t="s">
        <v>71</v>
      </c>
      <c r="AL17" s="41" t="s">
        <v>71</v>
      </c>
      <c r="AS17" s="41" t="s">
        <v>4328</v>
      </c>
      <c r="AT17" s="41" t="s">
        <v>4329</v>
      </c>
      <c r="BS17" s="41" t="s">
        <v>2058</v>
      </c>
      <c r="BT17" s="41" t="s">
        <v>72</v>
      </c>
      <c r="BW17" s="41" t="s">
        <v>72</v>
      </c>
      <c r="BX17" s="41">
        <f>VLOOKUP(B:B,Brand!B:D,3,0)</f>
        <v>106</v>
      </c>
      <c r="BY17" s="41">
        <f>VLOOKUP(M:M,Unit!B:D,3,0)</f>
        <v>10</v>
      </c>
      <c r="BZ17" s="41">
        <f>VLOOKUP(S:S,Promo!B:D,3,0)</f>
        <v>0</v>
      </c>
    </row>
    <row r="18" spans="1:78" s="41" customFormat="1" ht="15.75" customHeight="1">
      <c r="A18" s="41">
        <v>810293</v>
      </c>
      <c r="B18" s="40" t="s">
        <v>2516</v>
      </c>
      <c r="C18" s="65" t="str">
        <f>VLOOKUP(B:B,Brand!B:C,2,0)</f>
        <v>OTTO</v>
      </c>
      <c r="D18" s="63">
        <f>VLOOKUP(E:E,'Product Category'!J:O,6,FALSE)</f>
        <v>47</v>
      </c>
      <c r="E18" s="41" t="s">
        <v>2073</v>
      </c>
      <c r="F18" s="63" t="str">
        <f>VLOOKUP(E:E,'Product Category'!J:K,2,FALSE)</f>
        <v>7-Households Product</v>
      </c>
      <c r="G18" s="63" t="str">
        <f>VLOOKUP(F:F,'Product Category'!K:L,2,FALSE)</f>
        <v>1-Households</v>
      </c>
      <c r="H18" s="41" t="s">
        <v>4352</v>
      </c>
      <c r="I18" s="41" t="s">
        <v>4353</v>
      </c>
      <c r="J18" s="65" t="str">
        <f>TRIM(CONCATENATE(B18," ",H18," ",L18," ",M18," ",O18,P18," ",Q18))</f>
        <v>ออตโต้ หม้อทอดไฟฟ้า 3 ลิตร #DF-375 1 เครื่อง x1 ชิ้น</v>
      </c>
      <c r="K18" s="80" t="str">
        <f>TRIM(CONCATENATE(C18," ",I18," ",L18," ",N18," ",O18,P18," ",R18))</f>
        <v>OTTO DEEP FRYER 3L. #DF-375 1 unit x1 pc</v>
      </c>
      <c r="L18" s="41">
        <v>1</v>
      </c>
      <c r="M18" s="41" t="s">
        <v>93</v>
      </c>
      <c r="N18" s="41" t="str">
        <f>VLOOKUP(M:M,Unit!B:C,2,0)</f>
        <v>unit</v>
      </c>
      <c r="O18" s="41" t="s">
        <v>67</v>
      </c>
      <c r="P18" s="41">
        <v>1</v>
      </c>
      <c r="Q18" s="41" t="s">
        <v>68</v>
      </c>
      <c r="R18" s="41" t="str">
        <f>VLOOKUP(Q:Q,Unit!B:D,2,0)</f>
        <v>pc</v>
      </c>
      <c r="S18" s="41" t="s">
        <v>75</v>
      </c>
      <c r="T18" s="41" t="str">
        <f>VLOOKUP(S:S,Promo!B:D,2,0)</f>
        <v>Promo EN</v>
      </c>
      <c r="W18" s="41">
        <v>1590</v>
      </c>
      <c r="X18" s="41">
        <v>1290</v>
      </c>
      <c r="AB18" s="41" t="s">
        <v>2056</v>
      </c>
      <c r="AD18" s="41" t="s">
        <v>3808</v>
      </c>
      <c r="AF18" s="41" t="s">
        <v>3373</v>
      </c>
      <c r="AG18" s="41" t="s">
        <v>71</v>
      </c>
      <c r="AH18" s="41" t="s">
        <v>71</v>
      </c>
      <c r="AI18" s="41" t="s">
        <v>71</v>
      </c>
      <c r="AJ18" s="41" t="s">
        <v>71</v>
      </c>
      <c r="AK18" s="41" t="s">
        <v>71</v>
      </c>
      <c r="AL18" s="41" t="s">
        <v>71</v>
      </c>
      <c r="AS18" s="41" t="s">
        <v>4354</v>
      </c>
      <c r="AT18" s="41" t="s">
        <v>3808</v>
      </c>
      <c r="BS18" s="41" t="s">
        <v>2058</v>
      </c>
      <c r="BT18" s="41" t="s">
        <v>72</v>
      </c>
      <c r="BW18" s="41" t="s">
        <v>72</v>
      </c>
      <c r="BX18" s="41">
        <f>VLOOKUP(B:B,Brand!B:D,3,0)</f>
        <v>651</v>
      </c>
      <c r="BY18" s="41">
        <f>VLOOKUP(M:M,Unit!B:D,3,0)</f>
        <v>6</v>
      </c>
      <c r="BZ18" s="41">
        <f>VLOOKUP(S:S,Promo!B:D,3,0)</f>
        <v>0</v>
      </c>
    </row>
    <row r="19" spans="1:78" s="41" customFormat="1" ht="15.75" customHeight="1">
      <c r="A19" s="41">
        <v>804457</v>
      </c>
      <c r="D19" s="63">
        <f>VLOOKUP(E:E,'Product Category'!J:O,6,FALSE)</f>
        <v>47</v>
      </c>
      <c r="E19" s="41" t="s">
        <v>2073</v>
      </c>
      <c r="F19" s="63" t="str">
        <f>VLOOKUP(E:E,'Product Category'!J:K,2,FALSE)</f>
        <v>7-Households Product</v>
      </c>
      <c r="G19" s="63" t="str">
        <f>VLOOKUP(F:F,'Product Category'!K:L,2,FALSE)</f>
        <v>1-Households</v>
      </c>
      <c r="H19" s="41" t="s">
        <v>4360</v>
      </c>
      <c r="I19" s="41" t="s">
        <v>4359</v>
      </c>
      <c r="J19" s="65" t="str">
        <f>TRIM(CONCATENATE(B19," ",H19," ",L19," ",M19," ",O19,P19," ",Q19))</f>
        <v>หม้ออเนกประสงค์พร้อมชั้นนึ่ง 28 ซม. 1 ชุด x1 ชิ้น</v>
      </c>
      <c r="K19" s="80" t="str">
        <f>TRIM(CONCATENATE(C19," ",I19," ",L19," ",N19," ",O19,P19," ",R19))</f>
        <v>POT+STREAMER 28 CM. 1 set x1 pc</v>
      </c>
      <c r="L19" s="41">
        <v>1</v>
      </c>
      <c r="M19" s="41" t="s">
        <v>183</v>
      </c>
      <c r="N19" s="41" t="str">
        <f>VLOOKUP(M:M,Unit!B:C,2,0)</f>
        <v>set</v>
      </c>
      <c r="O19" s="41" t="s">
        <v>67</v>
      </c>
      <c r="P19" s="41">
        <v>1</v>
      </c>
      <c r="Q19" s="41" t="s">
        <v>68</v>
      </c>
      <c r="R19" s="41" t="str">
        <f>VLOOKUP(Q:Q,Unit!B:D,2,0)</f>
        <v>pc</v>
      </c>
      <c r="S19" s="41" t="s">
        <v>75</v>
      </c>
      <c r="T19" s="41" t="str">
        <f>VLOOKUP(S:S,Promo!B:D,2,0)</f>
        <v>Promo EN</v>
      </c>
      <c r="W19" s="41">
        <v>290</v>
      </c>
      <c r="X19" s="41">
        <v>199</v>
      </c>
      <c r="AB19" s="41" t="s">
        <v>2062</v>
      </c>
      <c r="AG19" s="41" t="s">
        <v>71</v>
      </c>
      <c r="AH19" s="41" t="s">
        <v>71</v>
      </c>
      <c r="AI19" s="41" t="s">
        <v>71</v>
      </c>
      <c r="AJ19" s="41" t="s">
        <v>71</v>
      </c>
      <c r="AK19" s="41" t="s">
        <v>71</v>
      </c>
      <c r="AL19" s="41" t="s">
        <v>71</v>
      </c>
      <c r="AS19" s="41" t="s">
        <v>4361</v>
      </c>
      <c r="AT19" s="41" t="s">
        <v>2186</v>
      </c>
      <c r="BS19" s="41" t="s">
        <v>2058</v>
      </c>
      <c r="BT19" s="41" t="s">
        <v>72</v>
      </c>
      <c r="BW19" s="41" t="s">
        <v>72</v>
      </c>
      <c r="BY19" s="41">
        <f>VLOOKUP(M:M,Unit!B:D,3,0)</f>
        <v>20</v>
      </c>
      <c r="BZ19" s="41">
        <f>VLOOKUP(S:S,Promo!B:D,3,0)</f>
        <v>0</v>
      </c>
    </row>
    <row r="20" spans="1:78" s="41" customFormat="1" ht="15.75" customHeight="1">
      <c r="A20" s="41">
        <v>60515</v>
      </c>
      <c r="B20" s="41" t="s">
        <v>97</v>
      </c>
      <c r="C20" s="65" t="str">
        <f>VLOOKUP(B:B,Brand!B:C,2,0)</f>
        <v>aro</v>
      </c>
      <c r="D20" s="63">
        <f>VLOOKUP(E:E,'Product Category'!J:O,6,FALSE)</f>
        <v>47</v>
      </c>
      <c r="E20" s="41" t="s">
        <v>2073</v>
      </c>
      <c r="F20" s="63" t="str">
        <f>VLOOKUP(E:E,'Product Category'!J:K,2,FALSE)</f>
        <v>7-Households Product</v>
      </c>
      <c r="G20" s="63" t="str">
        <f>VLOOKUP(F:F,'Product Category'!K:L,2,FALSE)</f>
        <v>1-Households</v>
      </c>
      <c r="H20" s="41" t="s">
        <v>4383</v>
      </c>
      <c r="I20" s="41" t="s">
        <v>2331</v>
      </c>
      <c r="J20" s="41" t="s">
        <v>5150</v>
      </c>
      <c r="K20" s="41" t="s">
        <v>5151</v>
      </c>
      <c r="L20" s="41">
        <v>1</v>
      </c>
      <c r="M20" s="41" t="s">
        <v>100</v>
      </c>
      <c r="N20" s="41" t="str">
        <f>VLOOKUP(M:M,Unit!B:C,2,0)</f>
        <v>pc</v>
      </c>
      <c r="O20" s="41" t="s">
        <v>67</v>
      </c>
      <c r="P20" s="41">
        <v>1</v>
      </c>
      <c r="Q20" s="41" t="s">
        <v>68</v>
      </c>
      <c r="R20" s="41" t="str">
        <f>VLOOKUP(Q:Q,Unit!B:D,2,0)</f>
        <v>pc</v>
      </c>
      <c r="S20" s="41" t="s">
        <v>75</v>
      </c>
      <c r="T20" s="41" t="str">
        <f>VLOOKUP(S:S,Promo!B:D,2,0)</f>
        <v>Promo EN</v>
      </c>
      <c r="W20" s="41">
        <v>350</v>
      </c>
      <c r="X20" s="41">
        <v>299</v>
      </c>
      <c r="AB20" s="41" t="s">
        <v>2056</v>
      </c>
      <c r="AG20" s="41" t="s">
        <v>71</v>
      </c>
      <c r="AH20" s="41" t="s">
        <v>71</v>
      </c>
      <c r="AI20" s="41" t="s">
        <v>71</v>
      </c>
      <c r="AJ20" s="41" t="s">
        <v>71</v>
      </c>
      <c r="AK20" s="41" t="s">
        <v>71</v>
      </c>
      <c r="AL20" s="41" t="s">
        <v>71</v>
      </c>
      <c r="AS20" s="41" t="s">
        <v>4384</v>
      </c>
      <c r="AT20" s="41" t="s">
        <v>2171</v>
      </c>
      <c r="BS20" s="41" t="s">
        <v>2058</v>
      </c>
      <c r="BT20" s="41" t="s">
        <v>72</v>
      </c>
      <c r="BW20" s="41" t="s">
        <v>72</v>
      </c>
      <c r="BX20" s="41">
        <f>VLOOKUP(B:B,Brand!B:D,3,0)</f>
        <v>692</v>
      </c>
      <c r="BY20" s="41">
        <f>VLOOKUP(M:M,Unit!B:D,3,0)</f>
        <v>10</v>
      </c>
      <c r="BZ20" s="41">
        <f>VLOOKUP(S:S,Promo!B:D,3,0)</f>
        <v>0</v>
      </c>
    </row>
    <row r="21" spans="1:78" s="41" customFormat="1" ht="15.75" customHeight="1">
      <c r="A21" s="41">
        <v>137578</v>
      </c>
      <c r="B21" s="41" t="s">
        <v>99</v>
      </c>
      <c r="C21" s="65" t="str">
        <f>VLOOKUP(B:B,Brand!B:C,2,0)</f>
        <v>Crocodile</v>
      </c>
      <c r="D21" s="63">
        <f>VLOOKUP(E:E,'Product Category'!J:O,6,FALSE)</f>
        <v>47</v>
      </c>
      <c r="E21" s="41" t="s">
        <v>2073</v>
      </c>
      <c r="F21" s="63" t="str">
        <f>VLOOKUP(E:E,'Product Category'!J:K,2,FALSE)</f>
        <v>7-Households Product</v>
      </c>
      <c r="G21" s="63" t="str">
        <f>VLOOKUP(F:F,'Product Category'!K:L,2,FALSE)</f>
        <v>1-Households</v>
      </c>
      <c r="H21" s="41" t="s">
        <v>4385</v>
      </c>
      <c r="I21" s="41" t="s">
        <v>4386</v>
      </c>
      <c r="J21" s="41" t="s">
        <v>5152</v>
      </c>
      <c r="K21" s="41" t="s">
        <v>5153</v>
      </c>
      <c r="L21" s="41">
        <v>1</v>
      </c>
      <c r="M21" s="41" t="s">
        <v>100</v>
      </c>
      <c r="N21" s="41" t="str">
        <f>VLOOKUP(M:M,Unit!B:C,2,0)</f>
        <v>pc</v>
      </c>
      <c r="O21" s="41" t="s">
        <v>67</v>
      </c>
      <c r="P21" s="41">
        <v>1</v>
      </c>
      <c r="Q21" s="41" t="s">
        <v>68</v>
      </c>
      <c r="R21" s="41" t="str">
        <f>VLOOKUP(Q:Q,Unit!B:D,2,0)</f>
        <v>pc</v>
      </c>
      <c r="S21" s="41" t="s">
        <v>75</v>
      </c>
      <c r="T21" s="41" t="str">
        <f>VLOOKUP(S:S,Promo!B:D,2,0)</f>
        <v>Promo EN</v>
      </c>
      <c r="W21" s="41">
        <v>239</v>
      </c>
      <c r="X21" s="41">
        <v>225</v>
      </c>
      <c r="AB21" s="41" t="s">
        <v>2054</v>
      </c>
      <c r="AG21" s="41" t="s">
        <v>71</v>
      </c>
      <c r="AH21" s="41" t="s">
        <v>71</v>
      </c>
      <c r="AI21" s="41" t="s">
        <v>71</v>
      </c>
      <c r="AJ21" s="41" t="s">
        <v>71</v>
      </c>
      <c r="AK21" s="41" t="s">
        <v>71</v>
      </c>
      <c r="AL21" s="41" t="s">
        <v>71</v>
      </c>
      <c r="AS21" s="41" t="s">
        <v>4387</v>
      </c>
      <c r="AT21" s="41" t="s">
        <v>4388</v>
      </c>
      <c r="BS21" s="41" t="s">
        <v>2058</v>
      </c>
      <c r="BT21" s="41" t="s">
        <v>72</v>
      </c>
      <c r="BW21" s="41" t="s">
        <v>72</v>
      </c>
      <c r="BX21" s="41">
        <f>VLOOKUP(B:B,Brand!B:D,3,0)</f>
        <v>106</v>
      </c>
      <c r="BY21" s="41">
        <f>VLOOKUP(M:M,Unit!B:D,3,0)</f>
        <v>10</v>
      </c>
      <c r="BZ21" s="41">
        <f>VLOOKUP(S:S,Promo!B:D,3,0)</f>
        <v>0</v>
      </c>
    </row>
    <row r="22" spans="1:78" s="41" customFormat="1" ht="15.75" customHeight="1">
      <c r="A22" s="41">
        <v>107677</v>
      </c>
      <c r="B22" s="41" t="s">
        <v>1127</v>
      </c>
      <c r="C22" s="65" t="str">
        <f>VLOOKUP(B:B,Brand!B:C,2,0)</f>
        <v>Scotch Brite</v>
      </c>
      <c r="D22" s="63">
        <f>VLOOKUP(E:E,'Product Category'!J:O,6,FALSE)</f>
        <v>49</v>
      </c>
      <c r="E22" s="41" t="s">
        <v>2202</v>
      </c>
      <c r="F22" s="63" t="str">
        <f>VLOOKUP(E:E,'Product Category'!J:K,2,FALSE)</f>
        <v>8-Washing &amp; Cleaning</v>
      </c>
      <c r="G22" s="63" t="str">
        <f>VLOOKUP(F:F,'Product Category'!K:L,2,FALSE)</f>
        <v>1-Households</v>
      </c>
      <c r="H22" s="41" t="s">
        <v>3919</v>
      </c>
      <c r="I22" s="41" t="s">
        <v>3920</v>
      </c>
      <c r="J22" s="65" t="str">
        <f>TRIM(CONCATENATE(B22," ",H22," ",L22," ",M22," ",O22,P22," ",Q22))</f>
        <v>สก๊อตซ์ไบรต์ อเนกประสงค์เล็ก 3"x4" 24+5 ชิ้น x1 แผง</v>
      </c>
      <c r="K22" s="80" t="str">
        <f>TRIM(CONCATENATE(C22," ",I22," ",L22," ",N22," ",O22,P22," ",R22))</f>
        <v>Scotch Brite 3"x4" 24+5 pc x1 panel</v>
      </c>
      <c r="L22" s="41" t="s">
        <v>2287</v>
      </c>
      <c r="M22" s="41" t="s">
        <v>68</v>
      </c>
      <c r="N22" s="41" t="str">
        <f>VLOOKUP(M:M,Unit!B:C,2,0)</f>
        <v>pc</v>
      </c>
      <c r="O22" s="41" t="s">
        <v>67</v>
      </c>
      <c r="P22" s="41">
        <v>1</v>
      </c>
      <c r="Q22" s="41" t="s">
        <v>2173</v>
      </c>
      <c r="R22" s="41" t="str">
        <f>VLOOKUP(Q:Q,Unit!B:D,2,0)</f>
        <v>panel</v>
      </c>
      <c r="S22" s="41" t="s">
        <v>75</v>
      </c>
      <c r="T22" s="41" t="str">
        <f>VLOOKUP(S:S,Promo!B:D,2,0)</f>
        <v>Promo EN</v>
      </c>
      <c r="W22" s="41">
        <v>289</v>
      </c>
      <c r="X22" s="41">
        <v>225</v>
      </c>
      <c r="AB22" s="41" t="s">
        <v>2056</v>
      </c>
      <c r="AG22" s="41" t="s">
        <v>71</v>
      </c>
      <c r="AH22" s="41" t="s">
        <v>71</v>
      </c>
      <c r="AI22" s="41" t="s">
        <v>71</v>
      </c>
      <c r="AJ22" s="41" t="s">
        <v>71</v>
      </c>
      <c r="AK22" s="41" t="s">
        <v>71</v>
      </c>
      <c r="AL22" s="41" t="s">
        <v>71</v>
      </c>
      <c r="AS22" s="41" t="s">
        <v>2288</v>
      </c>
      <c r="AT22" s="41" t="s">
        <v>2289</v>
      </c>
      <c r="BS22" s="41" t="s">
        <v>2058</v>
      </c>
      <c r="BT22" s="41" t="s">
        <v>72</v>
      </c>
      <c r="BW22" s="41" t="s">
        <v>72</v>
      </c>
      <c r="BX22" s="41">
        <f>VLOOKUP(B:B,Brand!B:D,3,0)</f>
        <v>609</v>
      </c>
      <c r="BY22" s="41">
        <f>VLOOKUP(M:M,Unit!B:D,3,0)</f>
        <v>3</v>
      </c>
      <c r="BZ22" s="41">
        <f>VLOOKUP(S:S,Promo!B:D,3,0)</f>
        <v>0</v>
      </c>
    </row>
    <row r="23" spans="1:78" s="41" customFormat="1" ht="15.75" customHeight="1">
      <c r="A23" s="41">
        <v>212471</v>
      </c>
      <c r="B23" s="41" t="s">
        <v>188</v>
      </c>
      <c r="C23" s="65" t="str">
        <f>VLOOKUP(B:B,Brand!B:C,2,0)</f>
        <v>Champion</v>
      </c>
      <c r="D23" s="63">
        <f>VLOOKUP(E:E,'Product Category'!J:O,6,FALSE)</f>
        <v>50</v>
      </c>
      <c r="E23" s="41" t="s">
        <v>2091</v>
      </c>
      <c r="F23" s="63" t="str">
        <f>VLOOKUP(E:E,'Product Category'!J:K,2,FALSE)</f>
        <v>8-Washing &amp; Cleaning</v>
      </c>
      <c r="G23" s="63" t="str">
        <f>VLOOKUP(F:F,'Product Category'!K:L,2,FALSE)</f>
        <v>1-Households</v>
      </c>
      <c r="H23" s="41" t="s">
        <v>4253</v>
      </c>
      <c r="I23" s="41" t="s">
        <v>4254</v>
      </c>
      <c r="J23" s="41" t="s">
        <v>5087</v>
      </c>
      <c r="K23" s="41" t="s">
        <v>5088</v>
      </c>
      <c r="L23" s="41">
        <v>1</v>
      </c>
      <c r="M23" s="41" t="s">
        <v>179</v>
      </c>
      <c r="N23" s="41" t="str">
        <f>VLOOKUP(M:M,Unit!B:C,2,0)</f>
        <v>pack</v>
      </c>
      <c r="O23" s="41" t="s">
        <v>67</v>
      </c>
      <c r="P23" s="41">
        <v>1</v>
      </c>
      <c r="Q23" s="41" t="s">
        <v>68</v>
      </c>
      <c r="R23" s="41" t="str">
        <f>VLOOKUP(Q:Q,Unit!B:D,2,0)</f>
        <v>pc</v>
      </c>
      <c r="S23" s="41" t="s">
        <v>194</v>
      </c>
      <c r="T23" s="41" t="str">
        <f>VLOOKUP(S:S,Promo!B:D,2,0)</f>
        <v>buy 3 get 1</v>
      </c>
      <c r="W23" s="41">
        <v>90</v>
      </c>
      <c r="X23" s="41">
        <v>89</v>
      </c>
      <c r="AB23" s="41" t="s">
        <v>2056</v>
      </c>
      <c r="AG23" s="41" t="s">
        <v>71</v>
      </c>
      <c r="AH23" s="41" t="s">
        <v>71</v>
      </c>
      <c r="AI23" s="41" t="s">
        <v>71</v>
      </c>
      <c r="AJ23" s="41" t="s">
        <v>71</v>
      </c>
      <c r="AK23" s="41" t="s">
        <v>71</v>
      </c>
      <c r="AL23" s="41" t="s">
        <v>71</v>
      </c>
      <c r="AS23" s="41" t="s">
        <v>3569</v>
      </c>
      <c r="AT23" s="41" t="s">
        <v>3570</v>
      </c>
      <c r="AU23" s="41" t="s">
        <v>4255</v>
      </c>
      <c r="AV23" s="41" t="s">
        <v>2218</v>
      </c>
      <c r="BS23" s="41" t="s">
        <v>2058</v>
      </c>
      <c r="BT23" s="41" t="s">
        <v>72</v>
      </c>
      <c r="BW23" s="41" t="s">
        <v>72</v>
      </c>
      <c r="BX23" s="41">
        <f>VLOOKUP(B:B,Brand!B:D,3,0)</f>
        <v>144</v>
      </c>
      <c r="BY23" s="41">
        <f>VLOOKUP(M:M,Unit!B:D,3,0)</f>
        <v>22</v>
      </c>
      <c r="BZ23" s="41">
        <f>VLOOKUP(S:S,Promo!B:D,3,0)</f>
        <v>3</v>
      </c>
    </row>
    <row r="24" spans="1:78" s="41" customFormat="1" ht="15.75" customHeight="1">
      <c r="A24" s="41">
        <v>212474</v>
      </c>
      <c r="B24" s="41" t="s">
        <v>188</v>
      </c>
      <c r="C24" s="65" t="str">
        <f>VLOOKUP(B:B,Brand!B:C,2,0)</f>
        <v>Champion</v>
      </c>
      <c r="D24" s="63">
        <f>VLOOKUP(E:E,'Product Category'!J:O,6,FALSE)</f>
        <v>50</v>
      </c>
      <c r="E24" s="41" t="s">
        <v>2091</v>
      </c>
      <c r="F24" s="63" t="str">
        <f>VLOOKUP(E:E,'Product Category'!J:K,2,FALSE)</f>
        <v>8-Washing &amp; Cleaning</v>
      </c>
      <c r="G24" s="63" t="str">
        <f>VLOOKUP(F:F,'Product Category'!K:L,2,FALSE)</f>
        <v>1-Households</v>
      </c>
      <c r="H24" s="41" t="s">
        <v>4256</v>
      </c>
      <c r="I24" s="41" t="s">
        <v>4257</v>
      </c>
      <c r="J24" s="41" t="s">
        <v>5089</v>
      </c>
      <c r="K24" s="41" t="s">
        <v>5090</v>
      </c>
      <c r="L24" s="41">
        <v>1</v>
      </c>
      <c r="M24" s="41" t="s">
        <v>179</v>
      </c>
      <c r="N24" s="41" t="str">
        <f>VLOOKUP(M:M,Unit!B:C,2,0)</f>
        <v>pack</v>
      </c>
      <c r="O24" s="41" t="s">
        <v>67</v>
      </c>
      <c r="P24" s="41">
        <v>1</v>
      </c>
      <c r="Q24" s="41" t="s">
        <v>68</v>
      </c>
      <c r="R24" s="41" t="str">
        <f>VLOOKUP(Q:Q,Unit!B:D,2,0)</f>
        <v>pc</v>
      </c>
      <c r="S24" s="41" t="s">
        <v>194</v>
      </c>
      <c r="T24" s="41" t="str">
        <f>VLOOKUP(S:S,Promo!B:D,2,0)</f>
        <v>buy 3 get 1</v>
      </c>
      <c r="W24" s="41">
        <v>90</v>
      </c>
      <c r="X24" s="41">
        <v>89</v>
      </c>
      <c r="AB24" s="41" t="s">
        <v>2056</v>
      </c>
      <c r="AG24" s="41" t="s">
        <v>71</v>
      </c>
      <c r="AH24" s="41" t="s">
        <v>71</v>
      </c>
      <c r="AI24" s="41" t="s">
        <v>71</v>
      </c>
      <c r="AJ24" s="41" t="s">
        <v>71</v>
      </c>
      <c r="AK24" s="41" t="s">
        <v>71</v>
      </c>
      <c r="AL24" s="41" t="s">
        <v>71</v>
      </c>
      <c r="AS24" s="41" t="s">
        <v>3569</v>
      </c>
      <c r="AT24" s="41" t="s">
        <v>3570</v>
      </c>
      <c r="AU24" s="41" t="s">
        <v>2217</v>
      </c>
      <c r="AV24" s="41" t="s">
        <v>2368</v>
      </c>
      <c r="BS24" s="41" t="s">
        <v>2058</v>
      </c>
      <c r="BT24" s="41" t="s">
        <v>72</v>
      </c>
      <c r="BW24" s="41" t="s">
        <v>72</v>
      </c>
      <c r="BX24" s="41">
        <f>VLOOKUP(B:B,Brand!B:D,3,0)</f>
        <v>144</v>
      </c>
      <c r="BY24" s="41">
        <f>VLOOKUP(M:M,Unit!B:D,3,0)</f>
        <v>22</v>
      </c>
      <c r="BZ24" s="41">
        <f>VLOOKUP(S:S,Promo!B:D,3,0)</f>
        <v>3</v>
      </c>
    </row>
    <row r="25" spans="1:78" s="41" customFormat="1" ht="15.75" customHeight="1">
      <c r="A25" s="41">
        <v>212473</v>
      </c>
      <c r="B25" s="41" t="s">
        <v>188</v>
      </c>
      <c r="C25" s="65" t="str">
        <f>VLOOKUP(B:B,Brand!B:C,2,0)</f>
        <v>Champion</v>
      </c>
      <c r="D25" s="63">
        <f>VLOOKUP(E:E,'Product Category'!J:O,6,FALSE)</f>
        <v>50</v>
      </c>
      <c r="E25" s="41" t="s">
        <v>2091</v>
      </c>
      <c r="F25" s="63" t="str">
        <f>VLOOKUP(E:E,'Product Category'!J:K,2,FALSE)</f>
        <v>8-Washing &amp; Cleaning</v>
      </c>
      <c r="G25" s="63" t="str">
        <f>VLOOKUP(F:F,'Product Category'!K:L,2,FALSE)</f>
        <v>1-Households</v>
      </c>
      <c r="H25" s="41" t="s">
        <v>4258</v>
      </c>
      <c r="I25" s="41" t="s">
        <v>4259</v>
      </c>
      <c r="J25" s="41" t="s">
        <v>5091</v>
      </c>
      <c r="K25" s="41" t="s">
        <v>5092</v>
      </c>
      <c r="L25" s="41">
        <v>1</v>
      </c>
      <c r="M25" s="41" t="s">
        <v>179</v>
      </c>
      <c r="N25" s="41" t="str">
        <f>VLOOKUP(M:M,Unit!B:C,2,0)</f>
        <v>pack</v>
      </c>
      <c r="O25" s="41" t="s">
        <v>67</v>
      </c>
      <c r="P25" s="41">
        <v>1</v>
      </c>
      <c r="Q25" s="41" t="s">
        <v>68</v>
      </c>
      <c r="R25" s="41" t="str">
        <f>VLOOKUP(Q:Q,Unit!B:D,2,0)</f>
        <v>pc</v>
      </c>
      <c r="S25" s="41" t="s">
        <v>194</v>
      </c>
      <c r="T25" s="41" t="str">
        <f>VLOOKUP(S:S,Promo!B:D,2,0)</f>
        <v>buy 3 get 1</v>
      </c>
      <c r="W25" s="41">
        <v>90</v>
      </c>
      <c r="X25" s="41">
        <v>89</v>
      </c>
      <c r="AB25" s="41" t="s">
        <v>2056</v>
      </c>
      <c r="AG25" s="41" t="s">
        <v>71</v>
      </c>
      <c r="AH25" s="41" t="s">
        <v>71</v>
      </c>
      <c r="AI25" s="41" t="s">
        <v>71</v>
      </c>
      <c r="AJ25" s="41" t="s">
        <v>71</v>
      </c>
      <c r="AK25" s="41" t="s">
        <v>71</v>
      </c>
      <c r="AL25" s="41" t="s">
        <v>71</v>
      </c>
      <c r="AS25" s="41" t="s">
        <v>3569</v>
      </c>
      <c r="AT25" s="41" t="s">
        <v>3570</v>
      </c>
      <c r="AU25" s="41" t="s">
        <v>4260</v>
      </c>
      <c r="AV25" s="41" t="s">
        <v>944</v>
      </c>
      <c r="BS25" s="41" t="s">
        <v>2058</v>
      </c>
      <c r="BT25" s="41" t="s">
        <v>72</v>
      </c>
      <c r="BW25" s="41" t="s">
        <v>72</v>
      </c>
      <c r="BX25" s="41">
        <f>VLOOKUP(B:B,Brand!B:D,3,0)</f>
        <v>144</v>
      </c>
      <c r="BY25" s="41">
        <f>VLOOKUP(M:M,Unit!B:D,3,0)</f>
        <v>22</v>
      </c>
      <c r="BZ25" s="41">
        <f>VLOOKUP(S:S,Promo!B:D,3,0)</f>
        <v>3</v>
      </c>
    </row>
    <row r="26" spans="1:78" s="41" customFormat="1" ht="15.75" customHeight="1">
      <c r="A26" s="41">
        <v>212526</v>
      </c>
      <c r="B26" s="41" t="s">
        <v>188</v>
      </c>
      <c r="C26" s="65" t="str">
        <f>VLOOKUP(B:B,Brand!B:C,2,0)</f>
        <v>Champion</v>
      </c>
      <c r="D26" s="63">
        <f>VLOOKUP(E:E,'Product Category'!J:O,6,FALSE)</f>
        <v>50</v>
      </c>
      <c r="E26" s="41" t="s">
        <v>2091</v>
      </c>
      <c r="F26" s="63" t="str">
        <f>VLOOKUP(E:E,'Product Category'!J:K,2,FALSE)</f>
        <v>8-Washing &amp; Cleaning</v>
      </c>
      <c r="G26" s="63" t="str">
        <f>VLOOKUP(F:F,'Product Category'!K:L,2,FALSE)</f>
        <v>1-Households</v>
      </c>
      <c r="H26" s="41" t="s">
        <v>4261</v>
      </c>
      <c r="I26" s="41" t="s">
        <v>4262</v>
      </c>
      <c r="J26" s="41" t="s">
        <v>5093</v>
      </c>
      <c r="K26" s="41" t="s">
        <v>5094</v>
      </c>
      <c r="L26" s="41">
        <v>1</v>
      </c>
      <c r="M26" s="41" t="s">
        <v>179</v>
      </c>
      <c r="N26" s="41" t="str">
        <f>VLOOKUP(M:M,Unit!B:C,2,0)</f>
        <v>pack</v>
      </c>
      <c r="O26" s="41" t="s">
        <v>67</v>
      </c>
      <c r="P26" s="41">
        <v>1</v>
      </c>
      <c r="Q26" s="41" t="s">
        <v>68</v>
      </c>
      <c r="R26" s="41" t="str">
        <f>VLOOKUP(Q:Q,Unit!B:D,2,0)</f>
        <v>pc</v>
      </c>
      <c r="S26" s="41" t="s">
        <v>194</v>
      </c>
      <c r="T26" s="41" t="str">
        <f>VLOOKUP(S:S,Promo!B:D,2,0)</f>
        <v>buy 3 get 1</v>
      </c>
      <c r="W26" s="41">
        <v>90</v>
      </c>
      <c r="X26" s="41">
        <v>89</v>
      </c>
      <c r="AB26" s="41" t="s">
        <v>2056</v>
      </c>
      <c r="AG26" s="41" t="s">
        <v>71</v>
      </c>
      <c r="AH26" s="41" t="s">
        <v>71</v>
      </c>
      <c r="AI26" s="41" t="s">
        <v>71</v>
      </c>
      <c r="AJ26" s="41" t="s">
        <v>71</v>
      </c>
      <c r="AK26" s="41" t="s">
        <v>71</v>
      </c>
      <c r="AL26" s="41" t="s">
        <v>71</v>
      </c>
      <c r="AS26" s="41" t="s">
        <v>3569</v>
      </c>
      <c r="AT26" s="41" t="s">
        <v>3570</v>
      </c>
      <c r="AU26" s="41" t="s">
        <v>4199</v>
      </c>
      <c r="AV26" s="41" t="s">
        <v>2167</v>
      </c>
      <c r="BS26" s="41" t="s">
        <v>2058</v>
      </c>
      <c r="BT26" s="41" t="s">
        <v>72</v>
      </c>
      <c r="BW26" s="41" t="s">
        <v>72</v>
      </c>
      <c r="BX26" s="41">
        <f>VLOOKUP(B:B,Brand!B:D,3,0)</f>
        <v>144</v>
      </c>
      <c r="BY26" s="41">
        <f>VLOOKUP(M:M,Unit!B:D,3,0)</f>
        <v>22</v>
      </c>
      <c r="BZ26" s="41">
        <f>VLOOKUP(S:S,Promo!B:D,3,0)</f>
        <v>3</v>
      </c>
    </row>
    <row r="27" spans="1:78" s="41" customFormat="1" ht="15.75" customHeight="1">
      <c r="A27" s="41">
        <v>212475</v>
      </c>
      <c r="B27" s="41" t="s">
        <v>188</v>
      </c>
      <c r="C27" s="65" t="str">
        <f>VLOOKUP(B:B,Brand!B:C,2,0)</f>
        <v>Champion</v>
      </c>
      <c r="D27" s="63">
        <f>VLOOKUP(E:E,'Product Category'!J:O,6,FALSE)</f>
        <v>50</v>
      </c>
      <c r="E27" s="41" t="s">
        <v>2091</v>
      </c>
      <c r="F27" s="63" t="str">
        <f>VLOOKUP(E:E,'Product Category'!J:K,2,FALSE)</f>
        <v>8-Washing &amp; Cleaning</v>
      </c>
      <c r="G27" s="63" t="str">
        <f>VLOOKUP(F:F,'Product Category'!K:L,2,FALSE)</f>
        <v>1-Households</v>
      </c>
      <c r="H27" s="41" t="s">
        <v>4263</v>
      </c>
      <c r="I27" s="41" t="s">
        <v>4264</v>
      </c>
      <c r="J27" s="41" t="s">
        <v>5095</v>
      </c>
      <c r="K27" s="41" t="s">
        <v>5096</v>
      </c>
      <c r="L27" s="41">
        <v>1</v>
      </c>
      <c r="M27" s="41" t="s">
        <v>179</v>
      </c>
      <c r="N27" s="41" t="str">
        <f>VLOOKUP(M:M,Unit!B:C,2,0)</f>
        <v>pack</v>
      </c>
      <c r="O27" s="41" t="s">
        <v>67</v>
      </c>
      <c r="P27" s="41">
        <v>1</v>
      </c>
      <c r="Q27" s="41" t="s">
        <v>68</v>
      </c>
      <c r="R27" s="41" t="str">
        <f>VLOOKUP(Q:Q,Unit!B:D,2,0)</f>
        <v>pc</v>
      </c>
      <c r="S27" s="41" t="s">
        <v>194</v>
      </c>
      <c r="T27" s="41" t="str">
        <f>VLOOKUP(S:S,Promo!B:D,2,0)</f>
        <v>buy 3 get 1</v>
      </c>
      <c r="W27" s="41">
        <v>90</v>
      </c>
      <c r="X27" s="41">
        <v>89</v>
      </c>
      <c r="AB27" s="41" t="s">
        <v>2056</v>
      </c>
      <c r="AG27" s="41" t="s">
        <v>71</v>
      </c>
      <c r="AH27" s="41" t="s">
        <v>71</v>
      </c>
      <c r="AI27" s="41" t="s">
        <v>71</v>
      </c>
      <c r="AJ27" s="41" t="s">
        <v>71</v>
      </c>
      <c r="AK27" s="41" t="s">
        <v>71</v>
      </c>
      <c r="AL27" s="41" t="s">
        <v>71</v>
      </c>
      <c r="AS27" s="41" t="s">
        <v>3565</v>
      </c>
      <c r="AT27" s="41" t="s">
        <v>3566</v>
      </c>
      <c r="AU27" s="41" t="s">
        <v>4199</v>
      </c>
      <c r="AV27" s="41" t="s">
        <v>2167</v>
      </c>
      <c r="BS27" s="41" t="s">
        <v>2058</v>
      </c>
      <c r="BT27" s="41" t="s">
        <v>72</v>
      </c>
      <c r="BW27" s="41" t="s">
        <v>72</v>
      </c>
      <c r="BX27" s="41">
        <f>VLOOKUP(B:B,Brand!B:D,3,0)</f>
        <v>144</v>
      </c>
      <c r="BY27" s="41">
        <f>VLOOKUP(M:M,Unit!B:D,3,0)</f>
        <v>22</v>
      </c>
      <c r="BZ27" s="41">
        <f>VLOOKUP(S:S,Promo!B:D,3,0)</f>
        <v>3</v>
      </c>
    </row>
    <row r="28" spans="1:78" s="41" customFormat="1" ht="15.75" customHeight="1">
      <c r="A28" s="41">
        <v>212503</v>
      </c>
      <c r="B28" s="41" t="s">
        <v>188</v>
      </c>
      <c r="C28" s="65" t="str">
        <f>VLOOKUP(B:B,Brand!B:C,2,0)</f>
        <v>Champion</v>
      </c>
      <c r="D28" s="63">
        <f>VLOOKUP(E:E,'Product Category'!J:O,6,FALSE)</f>
        <v>50</v>
      </c>
      <c r="E28" s="41" t="s">
        <v>2091</v>
      </c>
      <c r="F28" s="63" t="str">
        <f>VLOOKUP(E:E,'Product Category'!J:K,2,FALSE)</f>
        <v>8-Washing &amp; Cleaning</v>
      </c>
      <c r="G28" s="63" t="str">
        <f>VLOOKUP(F:F,'Product Category'!K:L,2,FALSE)</f>
        <v>1-Households</v>
      </c>
      <c r="H28" s="41" t="s">
        <v>4265</v>
      </c>
      <c r="I28" s="41" t="s">
        <v>4266</v>
      </c>
      <c r="J28" s="41" t="s">
        <v>5097</v>
      </c>
      <c r="K28" s="41" t="s">
        <v>5098</v>
      </c>
      <c r="L28" s="41">
        <v>1</v>
      </c>
      <c r="M28" s="41" t="s">
        <v>179</v>
      </c>
      <c r="N28" s="41" t="str">
        <f>VLOOKUP(M:M,Unit!B:C,2,0)</f>
        <v>pack</v>
      </c>
      <c r="O28" s="41" t="s">
        <v>67</v>
      </c>
      <c r="P28" s="41">
        <v>1</v>
      </c>
      <c r="Q28" s="41" t="s">
        <v>68</v>
      </c>
      <c r="R28" s="41" t="str">
        <f>VLOOKUP(Q:Q,Unit!B:D,2,0)</f>
        <v>pc</v>
      </c>
      <c r="S28" s="41" t="s">
        <v>194</v>
      </c>
      <c r="T28" s="41" t="str">
        <f>VLOOKUP(S:S,Promo!B:D,2,0)</f>
        <v>buy 3 get 1</v>
      </c>
      <c r="W28" s="41">
        <v>90</v>
      </c>
      <c r="X28" s="41">
        <v>89</v>
      </c>
      <c r="AB28" s="41" t="s">
        <v>2056</v>
      </c>
      <c r="AG28" s="41" t="s">
        <v>71</v>
      </c>
      <c r="AH28" s="41" t="s">
        <v>71</v>
      </c>
      <c r="AI28" s="41" t="s">
        <v>71</v>
      </c>
      <c r="AJ28" s="41" t="s">
        <v>71</v>
      </c>
      <c r="AK28" s="41" t="s">
        <v>71</v>
      </c>
      <c r="AL28" s="41" t="s">
        <v>71</v>
      </c>
      <c r="AS28" s="41" t="s">
        <v>3565</v>
      </c>
      <c r="AT28" s="41" t="s">
        <v>3566</v>
      </c>
      <c r="AU28" s="41" t="s">
        <v>4255</v>
      </c>
      <c r="AV28" s="41" t="s">
        <v>2218</v>
      </c>
      <c r="BS28" s="41" t="s">
        <v>2058</v>
      </c>
      <c r="BT28" s="41" t="s">
        <v>72</v>
      </c>
      <c r="BW28" s="41" t="s">
        <v>72</v>
      </c>
      <c r="BX28" s="41">
        <f>VLOOKUP(B:B,Brand!B:D,3,0)</f>
        <v>144</v>
      </c>
      <c r="BY28" s="41">
        <f>VLOOKUP(M:M,Unit!B:D,3,0)</f>
        <v>22</v>
      </c>
      <c r="BZ28" s="41">
        <f>VLOOKUP(S:S,Promo!B:D,3,0)</f>
        <v>3</v>
      </c>
    </row>
    <row r="29" spans="1:78" s="41" customFormat="1" ht="15.75" customHeight="1">
      <c r="A29" s="41">
        <v>212477</v>
      </c>
      <c r="B29" s="41" t="s">
        <v>188</v>
      </c>
      <c r="C29" s="65" t="str">
        <f>VLOOKUP(B:B,Brand!B:C,2,0)</f>
        <v>Champion</v>
      </c>
      <c r="D29" s="63">
        <f>VLOOKUP(E:E,'Product Category'!J:O,6,FALSE)</f>
        <v>50</v>
      </c>
      <c r="E29" s="41" t="s">
        <v>2091</v>
      </c>
      <c r="F29" s="63" t="str">
        <f>VLOOKUP(E:E,'Product Category'!J:K,2,FALSE)</f>
        <v>8-Washing &amp; Cleaning</v>
      </c>
      <c r="G29" s="63" t="str">
        <f>VLOOKUP(F:F,'Product Category'!K:L,2,FALSE)</f>
        <v>1-Households</v>
      </c>
      <c r="H29" s="41" t="s">
        <v>4267</v>
      </c>
      <c r="I29" s="41" t="s">
        <v>4268</v>
      </c>
      <c r="J29" s="41" t="s">
        <v>5099</v>
      </c>
      <c r="K29" s="41" t="s">
        <v>5100</v>
      </c>
      <c r="L29" s="41">
        <v>1</v>
      </c>
      <c r="M29" s="41" t="s">
        <v>179</v>
      </c>
      <c r="N29" s="41" t="str">
        <f>VLOOKUP(M:M,Unit!B:C,2,0)</f>
        <v>pack</v>
      </c>
      <c r="O29" s="41" t="s">
        <v>67</v>
      </c>
      <c r="P29" s="41">
        <v>1</v>
      </c>
      <c r="Q29" s="41" t="s">
        <v>68</v>
      </c>
      <c r="R29" s="41" t="str">
        <f>VLOOKUP(Q:Q,Unit!B:D,2,0)</f>
        <v>pc</v>
      </c>
      <c r="S29" s="41" t="s">
        <v>194</v>
      </c>
      <c r="T29" s="41" t="str">
        <f>VLOOKUP(S:S,Promo!B:D,2,0)</f>
        <v>buy 3 get 1</v>
      </c>
      <c r="W29" s="41">
        <v>90</v>
      </c>
      <c r="X29" s="41">
        <v>89</v>
      </c>
      <c r="AB29" s="41" t="s">
        <v>2056</v>
      </c>
      <c r="AG29" s="41" t="s">
        <v>71</v>
      </c>
      <c r="AH29" s="41" t="s">
        <v>71</v>
      </c>
      <c r="AI29" s="41" t="s">
        <v>71</v>
      </c>
      <c r="AJ29" s="41" t="s">
        <v>71</v>
      </c>
      <c r="AK29" s="41" t="s">
        <v>71</v>
      </c>
      <c r="AL29" s="41" t="s">
        <v>71</v>
      </c>
      <c r="AS29" s="41" t="s">
        <v>3565</v>
      </c>
      <c r="AT29" s="41" t="s">
        <v>3566</v>
      </c>
      <c r="AU29" s="41" t="s">
        <v>2217</v>
      </c>
      <c r="AV29" s="41" t="s">
        <v>2368</v>
      </c>
      <c r="BS29" s="41" t="s">
        <v>2058</v>
      </c>
      <c r="BT29" s="41" t="s">
        <v>72</v>
      </c>
      <c r="BW29" s="41" t="s">
        <v>72</v>
      </c>
      <c r="BX29" s="41">
        <f>VLOOKUP(B:B,Brand!B:D,3,0)</f>
        <v>144</v>
      </c>
      <c r="BY29" s="41">
        <f>VLOOKUP(M:M,Unit!B:D,3,0)</f>
        <v>22</v>
      </c>
      <c r="BZ29" s="41">
        <f>VLOOKUP(S:S,Promo!B:D,3,0)</f>
        <v>3</v>
      </c>
    </row>
    <row r="30" spans="1:78" s="41" customFormat="1" ht="15.75" customHeight="1">
      <c r="A30" s="41">
        <v>212476</v>
      </c>
      <c r="B30" s="41" t="s">
        <v>188</v>
      </c>
      <c r="C30" s="65" t="str">
        <f>VLOOKUP(B:B,Brand!B:C,2,0)</f>
        <v>Champion</v>
      </c>
      <c r="D30" s="63">
        <f>VLOOKUP(E:E,'Product Category'!J:O,6,FALSE)</f>
        <v>50</v>
      </c>
      <c r="E30" s="41" t="s">
        <v>2091</v>
      </c>
      <c r="F30" s="63" t="str">
        <f>VLOOKUP(E:E,'Product Category'!J:K,2,FALSE)</f>
        <v>8-Washing &amp; Cleaning</v>
      </c>
      <c r="G30" s="63" t="str">
        <f>VLOOKUP(F:F,'Product Category'!K:L,2,FALSE)</f>
        <v>1-Households</v>
      </c>
      <c r="H30" s="41" t="s">
        <v>4269</v>
      </c>
      <c r="I30" s="41" t="s">
        <v>4270</v>
      </c>
      <c r="J30" s="41" t="s">
        <v>5101</v>
      </c>
      <c r="K30" s="41" t="s">
        <v>5102</v>
      </c>
      <c r="L30" s="41">
        <v>1</v>
      </c>
      <c r="M30" s="41" t="s">
        <v>179</v>
      </c>
      <c r="N30" s="41" t="str">
        <f>VLOOKUP(M:M,Unit!B:C,2,0)</f>
        <v>pack</v>
      </c>
      <c r="O30" s="41" t="s">
        <v>67</v>
      </c>
      <c r="P30" s="41">
        <v>1</v>
      </c>
      <c r="Q30" s="41" t="s">
        <v>68</v>
      </c>
      <c r="R30" s="41" t="str">
        <f>VLOOKUP(Q:Q,Unit!B:D,2,0)</f>
        <v>pc</v>
      </c>
      <c r="S30" s="41" t="s">
        <v>194</v>
      </c>
      <c r="T30" s="41" t="str">
        <f>VLOOKUP(S:S,Promo!B:D,2,0)</f>
        <v>buy 3 get 1</v>
      </c>
      <c r="W30" s="41">
        <v>90</v>
      </c>
      <c r="X30" s="41">
        <v>89</v>
      </c>
      <c r="AB30" s="41" t="s">
        <v>2056</v>
      </c>
      <c r="AG30" s="41" t="s">
        <v>71</v>
      </c>
      <c r="AH30" s="41" t="s">
        <v>71</v>
      </c>
      <c r="AI30" s="41" t="s">
        <v>71</v>
      </c>
      <c r="AJ30" s="41" t="s">
        <v>71</v>
      </c>
      <c r="AK30" s="41" t="s">
        <v>71</v>
      </c>
      <c r="AL30" s="41" t="s">
        <v>71</v>
      </c>
      <c r="AS30" s="41" t="s">
        <v>3565</v>
      </c>
      <c r="AT30" s="41" t="s">
        <v>3566</v>
      </c>
      <c r="AU30" s="41" t="s">
        <v>4260</v>
      </c>
      <c r="AV30" s="41" t="s">
        <v>944</v>
      </c>
      <c r="BS30" s="41" t="s">
        <v>2058</v>
      </c>
      <c r="BT30" s="41" t="s">
        <v>72</v>
      </c>
      <c r="BW30" s="41" t="s">
        <v>72</v>
      </c>
      <c r="BX30" s="41">
        <f>VLOOKUP(B:B,Brand!B:D,3,0)</f>
        <v>144</v>
      </c>
      <c r="BY30" s="41">
        <f>VLOOKUP(M:M,Unit!B:D,3,0)</f>
        <v>22</v>
      </c>
      <c r="BZ30" s="41">
        <f>VLOOKUP(S:S,Promo!B:D,3,0)</f>
        <v>3</v>
      </c>
    </row>
    <row r="31" spans="1:78" s="41" customFormat="1" ht="15.75" customHeight="1">
      <c r="A31" s="41">
        <v>807174</v>
      </c>
      <c r="B31" s="41" t="s">
        <v>188</v>
      </c>
      <c r="C31" s="65" t="str">
        <f>VLOOKUP(B:B,Brand!B:C,2,0)</f>
        <v>Champion</v>
      </c>
      <c r="D31" s="63">
        <f>VLOOKUP(E:E,'Product Category'!J:O,6,FALSE)</f>
        <v>50</v>
      </c>
      <c r="E31" s="41" t="s">
        <v>2091</v>
      </c>
      <c r="F31" s="63" t="str">
        <f>VLOOKUP(E:E,'Product Category'!J:K,2,FALSE)</f>
        <v>8-Washing &amp; Cleaning</v>
      </c>
      <c r="G31" s="63" t="str">
        <f>VLOOKUP(F:F,'Product Category'!K:L,2,FALSE)</f>
        <v>1-Households</v>
      </c>
      <c r="H31" s="41" t="s">
        <v>4271</v>
      </c>
      <c r="I31" s="41" t="s">
        <v>4272</v>
      </c>
      <c r="J31" s="41" t="s">
        <v>5103</v>
      </c>
      <c r="K31" s="41" t="s">
        <v>5104</v>
      </c>
      <c r="L31" s="41">
        <v>1</v>
      </c>
      <c r="M31" s="41" t="s">
        <v>179</v>
      </c>
      <c r="N31" s="41" t="str">
        <f>VLOOKUP(M:M,Unit!B:C,2,0)</f>
        <v>pack</v>
      </c>
      <c r="O31" s="41" t="s">
        <v>67</v>
      </c>
      <c r="P31" s="41">
        <v>1</v>
      </c>
      <c r="Q31" s="41" t="s">
        <v>68</v>
      </c>
      <c r="R31" s="41" t="str">
        <f>VLOOKUP(Q:Q,Unit!B:D,2,0)</f>
        <v>pc</v>
      </c>
      <c r="S31" s="41" t="s">
        <v>194</v>
      </c>
      <c r="T31" s="41" t="str">
        <f>VLOOKUP(S:S,Promo!B:D,2,0)</f>
        <v>buy 3 get 1</v>
      </c>
      <c r="W31" s="41">
        <v>90</v>
      </c>
      <c r="X31" s="41">
        <v>89</v>
      </c>
      <c r="AB31" s="41" t="s">
        <v>2056</v>
      </c>
      <c r="AG31" s="41" t="s">
        <v>71</v>
      </c>
      <c r="AH31" s="41" t="s">
        <v>71</v>
      </c>
      <c r="AI31" s="41" t="s">
        <v>71</v>
      </c>
      <c r="AJ31" s="41" t="s">
        <v>71</v>
      </c>
      <c r="AK31" s="41" t="s">
        <v>71</v>
      </c>
      <c r="AL31" s="41" t="s">
        <v>71</v>
      </c>
      <c r="AS31" s="41" t="s">
        <v>3569</v>
      </c>
      <c r="AT31" s="41" t="s">
        <v>3570</v>
      </c>
      <c r="AU31" s="41" t="s">
        <v>2355</v>
      </c>
      <c r="AV31" s="41" t="s">
        <v>2356</v>
      </c>
      <c r="BS31" s="41" t="s">
        <v>2058</v>
      </c>
      <c r="BT31" s="41" t="s">
        <v>72</v>
      </c>
      <c r="BW31" s="41" t="s">
        <v>72</v>
      </c>
      <c r="BX31" s="41">
        <f>VLOOKUP(B:B,Brand!B:D,3,0)</f>
        <v>144</v>
      </c>
      <c r="BY31" s="41">
        <f>VLOOKUP(M:M,Unit!B:D,3,0)</f>
        <v>22</v>
      </c>
      <c r="BZ31" s="41">
        <f>VLOOKUP(S:S,Promo!B:D,3,0)</f>
        <v>3</v>
      </c>
    </row>
    <row r="32" spans="1:78" s="41" customFormat="1" ht="15.75" customHeight="1">
      <c r="A32" s="41">
        <v>807173</v>
      </c>
      <c r="B32" s="41" t="s">
        <v>188</v>
      </c>
      <c r="C32" s="65" t="str">
        <f>VLOOKUP(B:B,Brand!B:C,2,0)</f>
        <v>Champion</v>
      </c>
      <c r="D32" s="63">
        <f>VLOOKUP(E:E,'Product Category'!J:O,6,FALSE)</f>
        <v>50</v>
      </c>
      <c r="E32" s="41" t="s">
        <v>2091</v>
      </c>
      <c r="F32" s="63" t="str">
        <f>VLOOKUP(E:E,'Product Category'!J:K,2,FALSE)</f>
        <v>8-Washing &amp; Cleaning</v>
      </c>
      <c r="G32" s="63" t="str">
        <f>VLOOKUP(F:F,'Product Category'!K:L,2,FALSE)</f>
        <v>1-Households</v>
      </c>
      <c r="H32" s="41" t="s">
        <v>4273</v>
      </c>
      <c r="I32" s="41" t="s">
        <v>4274</v>
      </c>
      <c r="J32" s="41" t="s">
        <v>5105</v>
      </c>
      <c r="K32" s="41" t="s">
        <v>5106</v>
      </c>
      <c r="L32" s="41">
        <v>1</v>
      </c>
      <c r="M32" s="41" t="s">
        <v>179</v>
      </c>
      <c r="N32" s="41" t="str">
        <f>VLOOKUP(M:M,Unit!B:C,2,0)</f>
        <v>pack</v>
      </c>
      <c r="O32" s="41" t="s">
        <v>67</v>
      </c>
      <c r="P32" s="41">
        <v>1</v>
      </c>
      <c r="Q32" s="41" t="s">
        <v>68</v>
      </c>
      <c r="R32" s="41" t="str">
        <f>VLOOKUP(Q:Q,Unit!B:D,2,0)</f>
        <v>pc</v>
      </c>
      <c r="S32" s="41" t="s">
        <v>194</v>
      </c>
      <c r="T32" s="41" t="str">
        <f>VLOOKUP(S:S,Promo!B:D,2,0)</f>
        <v>buy 3 get 1</v>
      </c>
      <c r="W32" s="41">
        <v>90</v>
      </c>
      <c r="X32" s="41">
        <v>89</v>
      </c>
      <c r="AB32" s="41" t="s">
        <v>2056</v>
      </c>
      <c r="AG32" s="41" t="s">
        <v>71</v>
      </c>
      <c r="AH32" s="41" t="s">
        <v>71</v>
      </c>
      <c r="AI32" s="41" t="s">
        <v>71</v>
      </c>
      <c r="AJ32" s="41" t="s">
        <v>71</v>
      </c>
      <c r="AK32" s="41" t="s">
        <v>71</v>
      </c>
      <c r="AL32" s="41" t="s">
        <v>71</v>
      </c>
      <c r="AS32" s="41" t="s">
        <v>3565</v>
      </c>
      <c r="AT32" s="41" t="s">
        <v>3566</v>
      </c>
      <c r="AU32" s="41" t="s">
        <v>2355</v>
      </c>
      <c r="AV32" s="41" t="s">
        <v>2356</v>
      </c>
      <c r="BS32" s="41" t="s">
        <v>2058</v>
      </c>
      <c r="BT32" s="41" t="s">
        <v>72</v>
      </c>
      <c r="BW32" s="41" t="s">
        <v>72</v>
      </c>
      <c r="BX32" s="41">
        <f>VLOOKUP(B:B,Brand!B:D,3,0)</f>
        <v>144</v>
      </c>
      <c r="BY32" s="41">
        <f>VLOOKUP(M:M,Unit!B:D,3,0)</f>
        <v>22</v>
      </c>
      <c r="BZ32" s="41">
        <f>VLOOKUP(S:S,Promo!B:D,3,0)</f>
        <v>3</v>
      </c>
    </row>
    <row r="33" spans="1:78" s="41" customFormat="1" ht="15.75" customHeight="1">
      <c r="A33" s="41">
        <v>816772</v>
      </c>
      <c r="B33" s="41" t="s">
        <v>2413</v>
      </c>
      <c r="C33" s="65" t="str">
        <f>VLOOKUP(B:B,Brand!B:C,2,0)</f>
        <v>Hero</v>
      </c>
      <c r="D33" s="63">
        <f>VLOOKUP(E:E,'Product Category'!J:O,6,FALSE)</f>
        <v>50</v>
      </c>
      <c r="E33" s="41" t="s">
        <v>2091</v>
      </c>
      <c r="F33" s="63" t="str">
        <f>VLOOKUP(E:E,'Product Category'!J:K,2,FALSE)</f>
        <v>8-Washing &amp; Cleaning</v>
      </c>
      <c r="G33" s="63" t="str">
        <f>VLOOKUP(F:F,'Product Category'!K:L,2,FALSE)</f>
        <v>1-Households</v>
      </c>
      <c r="H33" s="41" t="s">
        <v>4300</v>
      </c>
      <c r="I33" s="41" t="s">
        <v>4301</v>
      </c>
      <c r="J33" s="65" t="str">
        <f>TRIM(CONCATENATE(B33," ",H33," ",L33," ",M33," ",O33,P33," ",Q33))</f>
        <v>ฮีโร่ ถุงขยะดำ หนาพิเศษ 24x30 นิ้ว 1 กก. x1 แพ็ค</v>
      </c>
      <c r="K33" s="80" t="str">
        <f>TRIM(CONCATENATE(C33," ",I33," ",L33," ",N33," ",O33,P33," ",R33))</f>
        <v>Hero BLACK GARBAGE BAGS 24X30" 1 kg x1 pack</v>
      </c>
      <c r="L33" s="41">
        <v>1</v>
      </c>
      <c r="M33" s="41" t="s">
        <v>79</v>
      </c>
      <c r="N33" s="41" t="str">
        <f>VLOOKUP(M:M,Unit!B:C,2,0)</f>
        <v>kg</v>
      </c>
      <c r="O33" s="41" t="s">
        <v>67</v>
      </c>
      <c r="P33" s="41">
        <v>1</v>
      </c>
      <c r="Q33" s="41" t="s">
        <v>179</v>
      </c>
      <c r="R33" s="41" t="str">
        <f>VLOOKUP(Q:Q,Unit!B:D,2,0)</f>
        <v>pack</v>
      </c>
      <c r="S33" s="41" t="s">
        <v>196</v>
      </c>
      <c r="T33" s="41" t="str">
        <f>VLOOKUP(S:S,Promo!B:D,2,0)</f>
        <v>buy 4 get 1</v>
      </c>
      <c r="W33" s="41">
        <v>69</v>
      </c>
      <c r="X33" s="41">
        <v>55</v>
      </c>
      <c r="AB33" s="41" t="s">
        <v>2056</v>
      </c>
      <c r="AF33" s="41" t="s">
        <v>3373</v>
      </c>
      <c r="AG33" s="41" t="s">
        <v>71</v>
      </c>
      <c r="AH33" s="41" t="s">
        <v>71</v>
      </c>
      <c r="AI33" s="41" t="s">
        <v>71</v>
      </c>
      <c r="AJ33" s="41" t="s">
        <v>71</v>
      </c>
      <c r="AK33" s="41" t="s">
        <v>71</v>
      </c>
      <c r="AL33" s="41" t="s">
        <v>71</v>
      </c>
      <c r="AQ33" s="41" t="s">
        <v>3564</v>
      </c>
      <c r="AR33" s="41" t="s">
        <v>2181</v>
      </c>
      <c r="AS33" s="41" t="s">
        <v>4302</v>
      </c>
      <c r="AT33" s="41" t="s">
        <v>4303</v>
      </c>
      <c r="BS33" s="41" t="s">
        <v>2058</v>
      </c>
      <c r="BT33" s="41" t="s">
        <v>72</v>
      </c>
      <c r="BW33" s="41" t="s">
        <v>72</v>
      </c>
      <c r="BX33" s="41">
        <f>VLOOKUP(B:B,Brand!B:D,3,0)</f>
        <v>971</v>
      </c>
      <c r="BY33" s="41">
        <f>VLOOKUP(M:M,Unit!B:D,3,0)</f>
        <v>2</v>
      </c>
      <c r="BZ33" s="41">
        <f>VLOOKUP(S:S,Promo!B:D,3,0)</f>
        <v>4</v>
      </c>
    </row>
    <row r="34" spans="1:78" s="41" customFormat="1" ht="15.75" customHeight="1">
      <c r="A34" s="41">
        <v>816773</v>
      </c>
      <c r="B34" s="41" t="s">
        <v>2413</v>
      </c>
      <c r="C34" s="65" t="str">
        <f>VLOOKUP(B:B,Brand!B:C,2,0)</f>
        <v>Hero</v>
      </c>
      <c r="D34" s="63">
        <f>VLOOKUP(E:E,'Product Category'!J:O,6,FALSE)</f>
        <v>50</v>
      </c>
      <c r="E34" s="41" t="s">
        <v>2091</v>
      </c>
      <c r="F34" s="63" t="str">
        <f>VLOOKUP(E:E,'Product Category'!J:K,2,FALSE)</f>
        <v>8-Washing &amp; Cleaning</v>
      </c>
      <c r="G34" s="63" t="str">
        <f>VLOOKUP(F:F,'Product Category'!K:L,2,FALSE)</f>
        <v>1-Households</v>
      </c>
      <c r="H34" s="41" t="s">
        <v>4304</v>
      </c>
      <c r="I34" s="41" t="s">
        <v>4305</v>
      </c>
      <c r="J34" s="65" t="str">
        <f>TRIM(CONCATENATE(B34," ",H34," ",L34," ",M34," ",O34,P34," ",Q34))</f>
        <v>ฮีโร่ ถุงขยะดำ หนาพิเศษ 28x36 นิ้ว 1 กก. x1 แพ็ค</v>
      </c>
      <c r="K34" s="80" t="str">
        <f>TRIM(CONCATENATE(C34," ",I34," ",L34," ",N34," ",O34,P34," ",R34))</f>
        <v>Hero BLACK GARBAGE BAGS 28X36" 1 kg x1 pack</v>
      </c>
      <c r="L34" s="41">
        <v>1</v>
      </c>
      <c r="M34" s="41" t="s">
        <v>79</v>
      </c>
      <c r="N34" s="41" t="str">
        <f>VLOOKUP(M:M,Unit!B:C,2,0)</f>
        <v>kg</v>
      </c>
      <c r="O34" s="41" t="s">
        <v>67</v>
      </c>
      <c r="P34" s="41">
        <v>1</v>
      </c>
      <c r="Q34" s="41" t="s">
        <v>179</v>
      </c>
      <c r="R34" s="41" t="str">
        <f>VLOOKUP(Q:Q,Unit!B:D,2,0)</f>
        <v>pack</v>
      </c>
      <c r="S34" s="41" t="s">
        <v>196</v>
      </c>
      <c r="T34" s="41" t="str">
        <f>VLOOKUP(S:S,Promo!B:D,2,0)</f>
        <v>buy 4 get 1</v>
      </c>
      <c r="W34" s="41">
        <v>69</v>
      </c>
      <c r="X34" s="41">
        <v>55</v>
      </c>
      <c r="AB34" s="41" t="s">
        <v>2056</v>
      </c>
      <c r="AF34" s="41" t="s">
        <v>3373</v>
      </c>
      <c r="AG34" s="41" t="s">
        <v>71</v>
      </c>
      <c r="AH34" s="41" t="s">
        <v>71</v>
      </c>
      <c r="AI34" s="41" t="s">
        <v>71</v>
      </c>
      <c r="AJ34" s="41" t="s">
        <v>71</v>
      </c>
      <c r="AK34" s="41" t="s">
        <v>71</v>
      </c>
      <c r="AL34" s="41" t="s">
        <v>71</v>
      </c>
      <c r="AQ34" s="41" t="s">
        <v>3564</v>
      </c>
      <c r="AR34" s="41" t="s">
        <v>2181</v>
      </c>
      <c r="AS34" s="41" t="s">
        <v>4306</v>
      </c>
      <c r="AT34" s="41" t="s">
        <v>4307</v>
      </c>
      <c r="BS34" s="41" t="s">
        <v>2058</v>
      </c>
      <c r="BT34" s="41" t="s">
        <v>72</v>
      </c>
      <c r="BW34" s="41" t="s">
        <v>72</v>
      </c>
      <c r="BX34" s="41">
        <f>VLOOKUP(B:B,Brand!B:D,3,0)</f>
        <v>971</v>
      </c>
      <c r="BY34" s="41">
        <f>VLOOKUP(M:M,Unit!B:D,3,0)</f>
        <v>2</v>
      </c>
      <c r="BZ34" s="41">
        <f>VLOOKUP(S:S,Promo!B:D,3,0)</f>
        <v>4</v>
      </c>
    </row>
    <row r="35" spans="1:78" s="41" customFormat="1" ht="15.75" customHeight="1">
      <c r="A35" s="41">
        <v>816774</v>
      </c>
      <c r="B35" s="41" t="s">
        <v>2413</v>
      </c>
      <c r="C35" s="65" t="str">
        <f>VLOOKUP(B:B,Brand!B:C,2,0)</f>
        <v>Hero</v>
      </c>
      <c r="D35" s="63">
        <f>VLOOKUP(E:E,'Product Category'!J:O,6,FALSE)</f>
        <v>50</v>
      </c>
      <c r="E35" s="41" t="s">
        <v>2091</v>
      </c>
      <c r="F35" s="63" t="str">
        <f>VLOOKUP(E:E,'Product Category'!J:K,2,FALSE)</f>
        <v>8-Washing &amp; Cleaning</v>
      </c>
      <c r="G35" s="63" t="str">
        <f>VLOOKUP(F:F,'Product Category'!K:L,2,FALSE)</f>
        <v>1-Households</v>
      </c>
      <c r="H35" s="41" t="s">
        <v>4308</v>
      </c>
      <c r="I35" s="41" t="s">
        <v>4309</v>
      </c>
      <c r="J35" s="65" t="str">
        <f>TRIM(CONCATENATE(B35," ",H35," ",L35," ",M35," ",O35,P35," ",Q35))</f>
        <v>ฮีโร่ ถุงขยะดำ หนาพิเศษ 30x40 นิ้ว 1 กก. x1 แพ็ค</v>
      </c>
      <c r="K35" s="80" t="str">
        <f>TRIM(CONCATENATE(C35," ",I35," ",L35," ",N35," ",O35,P35," ",R35))</f>
        <v>Hero BLACK GARBAGE BAGS 30X40" 1 kg x1 pack</v>
      </c>
      <c r="L35" s="41">
        <v>1</v>
      </c>
      <c r="M35" s="41" t="s">
        <v>79</v>
      </c>
      <c r="N35" s="41" t="str">
        <f>VLOOKUP(M:M,Unit!B:C,2,0)</f>
        <v>kg</v>
      </c>
      <c r="O35" s="41" t="s">
        <v>67</v>
      </c>
      <c r="P35" s="41">
        <v>1</v>
      </c>
      <c r="Q35" s="41" t="s">
        <v>179</v>
      </c>
      <c r="R35" s="41" t="str">
        <f>VLOOKUP(Q:Q,Unit!B:D,2,0)</f>
        <v>pack</v>
      </c>
      <c r="S35" s="41" t="s">
        <v>196</v>
      </c>
      <c r="T35" s="41" t="str">
        <f>VLOOKUP(S:S,Promo!B:D,2,0)</f>
        <v>buy 4 get 1</v>
      </c>
      <c r="W35" s="41">
        <v>69</v>
      </c>
      <c r="X35" s="41">
        <v>55</v>
      </c>
      <c r="AB35" s="41" t="s">
        <v>2056</v>
      </c>
      <c r="AF35" s="41" t="s">
        <v>3373</v>
      </c>
      <c r="AG35" s="41" t="s">
        <v>71</v>
      </c>
      <c r="AH35" s="41" t="s">
        <v>71</v>
      </c>
      <c r="AI35" s="41" t="s">
        <v>71</v>
      </c>
      <c r="AJ35" s="41" t="s">
        <v>71</v>
      </c>
      <c r="AK35" s="41" t="s">
        <v>71</v>
      </c>
      <c r="AL35" s="41" t="s">
        <v>71</v>
      </c>
      <c r="AQ35" s="41" t="s">
        <v>3564</v>
      </c>
      <c r="AR35" s="41" t="s">
        <v>2181</v>
      </c>
      <c r="AS35" s="41" t="s">
        <v>4310</v>
      </c>
      <c r="AT35" s="41" t="s">
        <v>4311</v>
      </c>
      <c r="BS35" s="41" t="s">
        <v>2058</v>
      </c>
      <c r="BT35" s="41" t="s">
        <v>72</v>
      </c>
      <c r="BW35" s="41" t="s">
        <v>72</v>
      </c>
      <c r="BX35" s="41">
        <f>VLOOKUP(B:B,Brand!B:D,3,0)</f>
        <v>971</v>
      </c>
      <c r="BY35" s="41">
        <f>VLOOKUP(M:M,Unit!B:D,3,0)</f>
        <v>2</v>
      </c>
      <c r="BZ35" s="41">
        <f>VLOOKUP(S:S,Promo!B:D,3,0)</f>
        <v>4</v>
      </c>
    </row>
    <row r="36" spans="1:78" s="41" customFormat="1" ht="15.75" customHeight="1">
      <c r="A36" s="41">
        <v>816775</v>
      </c>
      <c r="B36" s="41" t="s">
        <v>2413</v>
      </c>
      <c r="C36" s="65" t="str">
        <f>VLOOKUP(B:B,Brand!B:C,2,0)</f>
        <v>Hero</v>
      </c>
      <c r="D36" s="63">
        <f>VLOOKUP(E:E,'Product Category'!J:O,6,FALSE)</f>
        <v>50</v>
      </c>
      <c r="E36" s="41" t="s">
        <v>2091</v>
      </c>
      <c r="F36" s="63" t="str">
        <f>VLOOKUP(E:E,'Product Category'!J:K,2,FALSE)</f>
        <v>8-Washing &amp; Cleaning</v>
      </c>
      <c r="G36" s="63" t="str">
        <f>VLOOKUP(F:F,'Product Category'!K:L,2,FALSE)</f>
        <v>1-Households</v>
      </c>
      <c r="H36" s="41" t="s">
        <v>4312</v>
      </c>
      <c r="I36" s="41" t="s">
        <v>4313</v>
      </c>
      <c r="J36" s="65" t="str">
        <f>TRIM(CONCATENATE(B36," ",H36," ",L36," ",M36," ",O36,P36," ",Q36))</f>
        <v>ฮีโร่ ถุงขยะดำ หนาพิเศษ 36x45 นิ้ว 1 กก. x1 แพ็ค</v>
      </c>
      <c r="K36" s="80" t="str">
        <f>TRIM(CONCATENATE(C36," ",I36," ",L36," ",N36," ",O36,P36," ",R36))</f>
        <v>Hero BLACK GARBAGE BAGS 36X45" 1 kg x1 pack</v>
      </c>
      <c r="L36" s="41">
        <v>1</v>
      </c>
      <c r="M36" s="41" t="s">
        <v>79</v>
      </c>
      <c r="N36" s="41" t="str">
        <f>VLOOKUP(M:M,Unit!B:C,2,0)</f>
        <v>kg</v>
      </c>
      <c r="O36" s="41" t="s">
        <v>67</v>
      </c>
      <c r="P36" s="41">
        <v>1</v>
      </c>
      <c r="Q36" s="41" t="s">
        <v>179</v>
      </c>
      <c r="R36" s="41" t="str">
        <f>VLOOKUP(Q:Q,Unit!B:D,2,0)</f>
        <v>pack</v>
      </c>
      <c r="S36" s="41" t="s">
        <v>196</v>
      </c>
      <c r="T36" s="41" t="str">
        <f>VLOOKUP(S:S,Promo!B:D,2,0)</f>
        <v>buy 4 get 1</v>
      </c>
      <c r="W36" s="41">
        <v>69</v>
      </c>
      <c r="X36" s="41">
        <v>55</v>
      </c>
      <c r="AB36" s="41" t="s">
        <v>2056</v>
      </c>
      <c r="AF36" s="41" t="s">
        <v>3373</v>
      </c>
      <c r="AG36" s="41" t="s">
        <v>71</v>
      </c>
      <c r="AH36" s="41" t="s">
        <v>71</v>
      </c>
      <c r="AI36" s="41" t="s">
        <v>71</v>
      </c>
      <c r="AJ36" s="41" t="s">
        <v>71</v>
      </c>
      <c r="AK36" s="41" t="s">
        <v>71</v>
      </c>
      <c r="AL36" s="41" t="s">
        <v>71</v>
      </c>
      <c r="AQ36" s="41" t="s">
        <v>3564</v>
      </c>
      <c r="AR36" s="41" t="s">
        <v>2181</v>
      </c>
      <c r="AS36" s="41" t="s">
        <v>3567</v>
      </c>
      <c r="AT36" s="41" t="s">
        <v>3568</v>
      </c>
      <c r="BS36" s="41" t="s">
        <v>2058</v>
      </c>
      <c r="BT36" s="41" t="s">
        <v>72</v>
      </c>
      <c r="BW36" s="41" t="s">
        <v>72</v>
      </c>
      <c r="BX36" s="41">
        <f>VLOOKUP(B:B,Brand!B:D,3,0)</f>
        <v>971</v>
      </c>
      <c r="BY36" s="41">
        <f>VLOOKUP(M:M,Unit!B:D,3,0)</f>
        <v>2</v>
      </c>
      <c r="BZ36" s="41">
        <f>VLOOKUP(S:S,Promo!B:D,3,0)</f>
        <v>4</v>
      </c>
    </row>
    <row r="37" spans="1:78" s="41" customFormat="1" ht="15.75" customHeight="1">
      <c r="A37" s="41">
        <v>819252</v>
      </c>
      <c r="D37" s="63">
        <f>VLOOKUP(E:E,'Product Category'!J:O,6,FALSE)</f>
        <v>51</v>
      </c>
      <c r="E37" s="41" t="s">
        <v>2138</v>
      </c>
      <c r="F37" s="63" t="str">
        <f>VLOOKUP(E:E,'Product Category'!J:K,2,FALSE)</f>
        <v>8-Washing &amp; Cleaning</v>
      </c>
      <c r="G37" s="63" t="str">
        <f>VLOOKUP(F:F,'Product Category'!K:L,2,FALSE)</f>
        <v>1-Households</v>
      </c>
      <c r="H37" s="41" t="s">
        <v>4279</v>
      </c>
      <c r="I37" s="41" t="s">
        <v>4280</v>
      </c>
      <c r="J37" s="65" t="str">
        <f>TRIM(CONCATENATE(B37," ",H37," ",L37," ",M37," ",O37,P37," ",Q37))</f>
        <v>ถังเหลี่ยม เจาะรู+ฝา #413 สีส้ม 20 ใบ x1 ชุด</v>
      </c>
      <c r="K37" s="80" t="str">
        <f>TRIM(CONCATENATE(C37," ",I37," ",L37," ",N37," ",O37,P37," ",R37))</f>
        <v>BUCKET SQUARE #413 ORANGE 20 pc x1 set</v>
      </c>
      <c r="L37" s="41">
        <v>20</v>
      </c>
      <c r="M37" s="41" t="s">
        <v>100</v>
      </c>
      <c r="N37" s="41" t="str">
        <f>VLOOKUP(M:M,Unit!B:C,2,0)</f>
        <v>pc</v>
      </c>
      <c r="O37" s="41" t="s">
        <v>67</v>
      </c>
      <c r="P37" s="41">
        <v>1</v>
      </c>
      <c r="Q37" s="41" t="s">
        <v>183</v>
      </c>
      <c r="R37" s="41" t="str">
        <f>VLOOKUP(Q:Q,Unit!B:D,2,0)</f>
        <v>set</v>
      </c>
      <c r="S37" s="41" t="s">
        <v>186</v>
      </c>
      <c r="T37" s="41" t="str">
        <f>VLOOKUP(S:S,Promo!B:D,2,0)</f>
        <v>buy 2 get 1</v>
      </c>
      <c r="X37" s="41">
        <v>159</v>
      </c>
      <c r="AB37" s="41" t="s">
        <v>2056</v>
      </c>
      <c r="AG37" s="41" t="s">
        <v>71</v>
      </c>
      <c r="AH37" s="41" t="s">
        <v>71</v>
      </c>
      <c r="AI37" s="41" t="s">
        <v>71</v>
      </c>
      <c r="AJ37" s="41" t="s">
        <v>71</v>
      </c>
      <c r="AK37" s="41" t="s">
        <v>71</v>
      </c>
      <c r="AL37" s="41" t="s">
        <v>71</v>
      </c>
      <c r="AQ37" s="41" t="s">
        <v>3672</v>
      </c>
      <c r="AR37" s="41" t="s">
        <v>2167</v>
      </c>
      <c r="BS37" s="41" t="s">
        <v>2058</v>
      </c>
      <c r="BT37" s="41" t="s">
        <v>72</v>
      </c>
      <c r="BW37" s="41" t="s">
        <v>72</v>
      </c>
      <c r="BY37" s="41">
        <f>VLOOKUP(M:M,Unit!B:D,3,0)</f>
        <v>10</v>
      </c>
      <c r="BZ37" s="41">
        <f>VLOOKUP(S:S,Promo!B:D,3,0)</f>
        <v>2</v>
      </c>
    </row>
    <row r="38" spans="1:78" s="41" customFormat="1" ht="15.75" customHeight="1">
      <c r="A38" s="41">
        <v>802691</v>
      </c>
      <c r="B38" s="41" t="s">
        <v>184</v>
      </c>
      <c r="C38" s="65" t="str">
        <f>VLOOKUP(B:B,Brand!B:C,2,0)</f>
        <v>Savepak</v>
      </c>
      <c r="D38" s="63">
        <f>VLOOKUP(E:E,'Product Category'!J:O,6,FALSE)</f>
        <v>51</v>
      </c>
      <c r="E38" s="41" t="s">
        <v>2138</v>
      </c>
      <c r="F38" s="63" t="str">
        <f>VLOOKUP(E:E,'Product Category'!J:K,2,FALSE)</f>
        <v>8-Washing &amp; Cleaning</v>
      </c>
      <c r="G38" s="63" t="str">
        <f>VLOOKUP(F:F,'Product Category'!K:L,2,FALSE)</f>
        <v>1-Households</v>
      </c>
      <c r="H38" s="41" t="s">
        <v>4288</v>
      </c>
      <c r="I38" s="41" t="s">
        <v>4289</v>
      </c>
      <c r="J38" s="41" t="s">
        <v>5107</v>
      </c>
      <c r="K38" s="41" t="s">
        <v>5108</v>
      </c>
      <c r="L38" s="41">
        <v>1</v>
      </c>
      <c r="M38" s="41" t="s">
        <v>100</v>
      </c>
      <c r="N38" s="41" t="str">
        <f>VLOOKUP(M:M,Unit!B:C,2,0)</f>
        <v>pc</v>
      </c>
      <c r="O38" s="41" t="s">
        <v>67</v>
      </c>
      <c r="P38" s="41">
        <v>1</v>
      </c>
      <c r="Q38" s="41" t="s">
        <v>68</v>
      </c>
      <c r="R38" s="41" t="str">
        <f>VLOOKUP(Q:Q,Unit!B:D,2,0)</f>
        <v>pc</v>
      </c>
      <c r="S38" s="41" t="s">
        <v>75</v>
      </c>
      <c r="T38" s="41" t="str">
        <f>VLOOKUP(S:S,Promo!B:D,2,0)</f>
        <v>Promo EN</v>
      </c>
      <c r="W38" s="41">
        <v>299</v>
      </c>
      <c r="X38" s="41">
        <v>199</v>
      </c>
      <c r="AB38" s="41" t="s">
        <v>91</v>
      </c>
      <c r="AF38" s="41" t="s">
        <v>3373</v>
      </c>
      <c r="AG38" s="41" t="s">
        <v>71</v>
      </c>
      <c r="AH38" s="41" t="s">
        <v>71</v>
      </c>
      <c r="AI38" s="41" t="s">
        <v>71</v>
      </c>
      <c r="AJ38" s="41" t="s">
        <v>71</v>
      </c>
      <c r="AK38" s="41" t="s">
        <v>71</v>
      </c>
      <c r="AL38" s="41" t="s">
        <v>71</v>
      </c>
      <c r="AQ38" s="41" t="s">
        <v>3564</v>
      </c>
      <c r="AR38" s="41" t="s">
        <v>2181</v>
      </c>
      <c r="AS38" s="41" t="s">
        <v>4290</v>
      </c>
      <c r="AT38" s="41" t="s">
        <v>4291</v>
      </c>
      <c r="BS38" s="41" t="s">
        <v>2058</v>
      </c>
      <c r="BT38" s="41" t="s">
        <v>72</v>
      </c>
      <c r="BW38" s="41" t="s">
        <v>72</v>
      </c>
      <c r="BX38" s="41">
        <f>VLOOKUP(B:B,Brand!B:D,3,0)</f>
        <v>187</v>
      </c>
      <c r="BY38" s="41">
        <f>VLOOKUP(M:M,Unit!B:D,3,0)</f>
        <v>10</v>
      </c>
      <c r="BZ38" s="41">
        <f>VLOOKUP(S:S,Promo!B:D,3,0)</f>
        <v>0</v>
      </c>
    </row>
    <row r="39" spans="1:78" s="41" customFormat="1" ht="15.75" customHeight="1">
      <c r="A39" s="41">
        <v>718614</v>
      </c>
      <c r="D39" s="63">
        <f>VLOOKUP(E:E,'Product Category'!J:O,6,FALSE)</f>
        <v>51</v>
      </c>
      <c r="E39" s="41" t="s">
        <v>2138</v>
      </c>
      <c r="F39" s="63" t="str">
        <f>VLOOKUP(E:E,'Product Category'!J:K,2,FALSE)</f>
        <v>8-Washing &amp; Cleaning</v>
      </c>
      <c r="G39" s="63" t="str">
        <f>VLOOKUP(F:F,'Product Category'!K:L,2,FALSE)</f>
        <v>1-Households</v>
      </c>
      <c r="H39" s="41" t="s">
        <v>4446</v>
      </c>
      <c r="I39" s="41" t="s">
        <v>4447</v>
      </c>
      <c r="J39" s="65" t="str">
        <f>TRIM(CONCATENATE(B39," ",H39," ",L39," ",M39," ",O39,P39," ",Q39))</f>
        <v>ตะกร้าผ้า ทรงสูง #5948 1 ใบ x1 ชิ้น</v>
      </c>
      <c r="K39" s="80" t="str">
        <f>TRIM(CONCATENATE(C39," ",I39," ",L39," ",N39," ",O39,P39," ",R39))</f>
        <v>PLASTIC OVAL BASKET #5948 1 pc x1 pc</v>
      </c>
      <c r="L39" s="41">
        <v>1</v>
      </c>
      <c r="M39" s="41" t="s">
        <v>100</v>
      </c>
      <c r="N39" s="41" t="str">
        <f>VLOOKUP(M:M,Unit!B:C,2,0)</f>
        <v>pc</v>
      </c>
      <c r="O39" s="41" t="s">
        <v>67</v>
      </c>
      <c r="P39" s="41">
        <v>1</v>
      </c>
      <c r="Q39" s="41" t="s">
        <v>68</v>
      </c>
      <c r="R39" s="41" t="str">
        <f>VLOOKUP(Q:Q,Unit!B:D,2,0)</f>
        <v>pc</v>
      </c>
      <c r="S39" s="41" t="s">
        <v>75</v>
      </c>
      <c r="T39" s="41" t="str">
        <f>VLOOKUP(S:S,Promo!B:D,2,0)</f>
        <v>Promo EN</v>
      </c>
      <c r="W39" s="41">
        <v>179</v>
      </c>
      <c r="X39" s="41">
        <v>99</v>
      </c>
      <c r="AB39" s="41" t="s">
        <v>91</v>
      </c>
      <c r="AF39" s="41" t="s">
        <v>3373</v>
      </c>
      <c r="AG39" s="41" t="s">
        <v>71</v>
      </c>
      <c r="AH39" s="41" t="s">
        <v>71</v>
      </c>
      <c r="AI39" s="41" t="s">
        <v>71</v>
      </c>
      <c r="AJ39" s="41" t="s">
        <v>71</v>
      </c>
      <c r="AK39" s="41" t="s">
        <v>71</v>
      </c>
      <c r="AL39" s="41" t="s">
        <v>71</v>
      </c>
      <c r="BS39" s="41" t="s">
        <v>2058</v>
      </c>
      <c r="BT39" s="41" t="s">
        <v>72</v>
      </c>
      <c r="BW39" s="41" t="s">
        <v>72</v>
      </c>
      <c r="BY39" s="41">
        <f>VLOOKUP(M:M,Unit!B:D,3,0)</f>
        <v>10</v>
      </c>
      <c r="BZ39" s="41">
        <f>VLOOKUP(S:S,Promo!B:D,3,0)</f>
        <v>0</v>
      </c>
    </row>
    <row r="40" spans="1:78" s="41" customFormat="1" ht="15.75" customHeight="1">
      <c r="A40" s="41">
        <v>803217</v>
      </c>
      <c r="D40" s="63">
        <f>VLOOKUP(E:E,'Product Category'!J:O,6,FALSE)</f>
        <v>51</v>
      </c>
      <c r="E40" s="41" t="s">
        <v>2138</v>
      </c>
      <c r="F40" s="63" t="str">
        <f>VLOOKUP(E:E,'Product Category'!J:K,2,FALSE)</f>
        <v>8-Washing &amp; Cleaning</v>
      </c>
      <c r="G40" s="63" t="str">
        <f>VLOOKUP(F:F,'Product Category'!K:L,2,FALSE)</f>
        <v>1-Households</v>
      </c>
      <c r="H40" s="41" t="s">
        <v>4448</v>
      </c>
      <c r="I40" s="41" t="s">
        <v>4449</v>
      </c>
      <c r="J40" s="65" t="str">
        <f>TRIM(CONCATENATE(B40," ",H40," ",L40," ",M40," ",O40,P40," ",Q40))</f>
        <v>ตะกร้าผ้า ทรงกลม #5909 1 ใบ x1 ชิ้น</v>
      </c>
      <c r="K40" s="80" t="str">
        <f>TRIM(CONCATENATE(C40," ",I40," ",L40," ",N40," ",O40,P40," ",R40))</f>
        <v>ROUND BASKET #5909 1 pc x1 pc</v>
      </c>
      <c r="L40" s="41">
        <v>1</v>
      </c>
      <c r="M40" s="41" t="s">
        <v>100</v>
      </c>
      <c r="N40" s="41" t="str">
        <f>VLOOKUP(M:M,Unit!B:C,2,0)</f>
        <v>pc</v>
      </c>
      <c r="O40" s="41" t="s">
        <v>67</v>
      </c>
      <c r="P40" s="41">
        <v>1</v>
      </c>
      <c r="Q40" s="41" t="s">
        <v>68</v>
      </c>
      <c r="R40" s="41" t="str">
        <f>VLOOKUP(Q:Q,Unit!B:D,2,0)</f>
        <v>pc</v>
      </c>
      <c r="S40" s="41" t="s">
        <v>75</v>
      </c>
      <c r="T40" s="41" t="str">
        <f>VLOOKUP(S:S,Promo!B:D,2,0)</f>
        <v>Promo EN</v>
      </c>
      <c r="W40" s="41">
        <v>179</v>
      </c>
      <c r="X40" s="41">
        <v>99</v>
      </c>
      <c r="AB40" s="41" t="s">
        <v>91</v>
      </c>
      <c r="AF40" s="41" t="s">
        <v>3373</v>
      </c>
      <c r="AG40" s="41" t="s">
        <v>71</v>
      </c>
      <c r="AH40" s="41" t="s">
        <v>71</v>
      </c>
      <c r="AI40" s="41" t="s">
        <v>71</v>
      </c>
      <c r="AJ40" s="41" t="s">
        <v>71</v>
      </c>
      <c r="AK40" s="41" t="s">
        <v>71</v>
      </c>
      <c r="AL40" s="41" t="s">
        <v>71</v>
      </c>
      <c r="BS40" s="41" t="s">
        <v>2058</v>
      </c>
      <c r="BT40" s="41" t="s">
        <v>72</v>
      </c>
      <c r="BW40" s="41" t="s">
        <v>72</v>
      </c>
      <c r="BY40" s="41">
        <f>VLOOKUP(M:M,Unit!B:D,3,0)</f>
        <v>10</v>
      </c>
      <c r="BZ40" s="41">
        <f>VLOOKUP(S:S,Promo!B:D,3,0)</f>
        <v>0</v>
      </c>
    </row>
    <row r="41" spans="1:78" s="41" customFormat="1" ht="15.75" customHeight="1">
      <c r="A41" s="41">
        <v>193560</v>
      </c>
      <c r="B41" s="41" t="s">
        <v>1937</v>
      </c>
      <c r="C41" s="65" t="str">
        <f>VLOOKUP(B:B,Brand!B:C,2,0)</f>
        <v>JCJ</v>
      </c>
      <c r="D41" s="63">
        <f>VLOOKUP(E:E,'Product Category'!J:O,6,FALSE)</f>
        <v>51</v>
      </c>
      <c r="E41" s="41" t="s">
        <v>2138</v>
      </c>
      <c r="F41" s="63" t="str">
        <f>VLOOKUP(E:E,'Product Category'!J:K,2,FALSE)</f>
        <v>8-Washing &amp; Cleaning</v>
      </c>
      <c r="G41" s="63" t="str">
        <f>VLOOKUP(F:F,'Product Category'!K:L,2,FALSE)</f>
        <v>1-Households</v>
      </c>
      <c r="H41" s="41" t="s">
        <v>4492</v>
      </c>
      <c r="I41" s="41" t="s">
        <v>4493</v>
      </c>
      <c r="J41" s="41" t="s">
        <v>5236</v>
      </c>
      <c r="K41" s="41" t="s">
        <v>5237</v>
      </c>
      <c r="L41" s="41">
        <v>1</v>
      </c>
      <c r="M41" s="41" t="s">
        <v>100</v>
      </c>
      <c r="N41" s="41" t="str">
        <f>VLOOKUP(M:M,Unit!B:C,2,0)</f>
        <v>pc</v>
      </c>
      <c r="O41" s="41" t="s">
        <v>67</v>
      </c>
      <c r="P41" s="41">
        <v>1</v>
      </c>
      <c r="Q41" s="41" t="s">
        <v>68</v>
      </c>
      <c r="R41" s="41" t="str">
        <f>VLOOKUP(Q:Q,Unit!B:D,2,0)</f>
        <v>pc</v>
      </c>
      <c r="S41" s="41" t="s">
        <v>74</v>
      </c>
      <c r="T41" s="41" t="str">
        <f>VLOOKUP(S:S,Promo!B:D,2,0)</f>
        <v>buy 1 get 1</v>
      </c>
      <c r="X41" s="41">
        <v>179</v>
      </c>
      <c r="AB41" s="41" t="s">
        <v>91</v>
      </c>
      <c r="AE41" s="41" t="s">
        <v>2183</v>
      </c>
      <c r="AG41" s="41" t="s">
        <v>71</v>
      </c>
      <c r="AH41" s="41" t="s">
        <v>71</v>
      </c>
      <c r="AI41" s="41" t="s">
        <v>71</v>
      </c>
      <c r="AJ41" s="41" t="s">
        <v>71</v>
      </c>
      <c r="AK41" s="41" t="s">
        <v>71</v>
      </c>
      <c r="AL41" s="41" t="s">
        <v>71</v>
      </c>
      <c r="BS41" s="41" t="s">
        <v>2058</v>
      </c>
      <c r="BT41" s="41" t="s">
        <v>72</v>
      </c>
      <c r="BW41" s="41" t="s">
        <v>72</v>
      </c>
      <c r="BX41" s="41">
        <f>VLOOKUP(B:B,Brand!B:D,3,0)</f>
        <v>924</v>
      </c>
      <c r="BY41" s="41">
        <f>VLOOKUP(M:M,Unit!B:D,3,0)</f>
        <v>10</v>
      </c>
      <c r="BZ41" s="41">
        <f>VLOOKUP(S:S,Promo!B:D,3,0)</f>
        <v>1</v>
      </c>
    </row>
    <row r="42" spans="1:78" s="41" customFormat="1" ht="15.75" customHeight="1">
      <c r="A42" s="41">
        <v>193561</v>
      </c>
      <c r="B42" s="41" t="s">
        <v>1937</v>
      </c>
      <c r="C42" s="65" t="str">
        <f>VLOOKUP(B:B,Brand!B:C,2,0)</f>
        <v>JCJ</v>
      </c>
      <c r="D42" s="63">
        <f>VLOOKUP(E:E,'Product Category'!J:O,6,FALSE)</f>
        <v>51</v>
      </c>
      <c r="E42" s="41" t="s">
        <v>2138</v>
      </c>
      <c r="F42" s="63" t="str">
        <f>VLOOKUP(E:E,'Product Category'!J:K,2,FALSE)</f>
        <v>8-Washing &amp; Cleaning</v>
      </c>
      <c r="G42" s="63" t="str">
        <f>VLOOKUP(F:F,'Product Category'!K:L,2,FALSE)</f>
        <v>1-Households</v>
      </c>
      <c r="H42" s="41" t="s">
        <v>4494</v>
      </c>
      <c r="I42" s="41" t="s">
        <v>4495</v>
      </c>
      <c r="J42" s="41" t="s">
        <v>5238</v>
      </c>
      <c r="K42" s="41" t="s">
        <v>5239</v>
      </c>
      <c r="L42" s="41">
        <v>1</v>
      </c>
      <c r="M42" s="41" t="s">
        <v>100</v>
      </c>
      <c r="N42" s="41" t="str">
        <f>VLOOKUP(M:M,Unit!B:C,2,0)</f>
        <v>pc</v>
      </c>
      <c r="O42" s="41" t="s">
        <v>67</v>
      </c>
      <c r="P42" s="41">
        <v>1</v>
      </c>
      <c r="Q42" s="41" t="s">
        <v>68</v>
      </c>
      <c r="R42" s="41" t="str">
        <f>VLOOKUP(Q:Q,Unit!B:D,2,0)</f>
        <v>pc</v>
      </c>
      <c r="S42" s="41" t="s">
        <v>74</v>
      </c>
      <c r="T42" s="41" t="str">
        <f>VLOOKUP(S:S,Promo!B:D,2,0)</f>
        <v>buy 1 get 1</v>
      </c>
      <c r="X42" s="41">
        <v>179</v>
      </c>
      <c r="AB42" s="41" t="s">
        <v>91</v>
      </c>
      <c r="AE42" s="41" t="s">
        <v>2183</v>
      </c>
      <c r="AG42" s="41" t="s">
        <v>71</v>
      </c>
      <c r="AH42" s="41" t="s">
        <v>71</v>
      </c>
      <c r="AI42" s="41" t="s">
        <v>71</v>
      </c>
      <c r="AJ42" s="41" t="s">
        <v>71</v>
      </c>
      <c r="AK42" s="41" t="s">
        <v>71</v>
      </c>
      <c r="AL42" s="41" t="s">
        <v>71</v>
      </c>
      <c r="BS42" s="41" t="s">
        <v>2058</v>
      </c>
      <c r="BT42" s="41" t="s">
        <v>72</v>
      </c>
      <c r="BW42" s="41" t="s">
        <v>72</v>
      </c>
      <c r="BX42" s="41">
        <f>VLOOKUP(B:B,Brand!B:D,3,0)</f>
        <v>924</v>
      </c>
      <c r="BY42" s="41">
        <f>VLOOKUP(M:M,Unit!B:D,3,0)</f>
        <v>10</v>
      </c>
      <c r="BZ42" s="41">
        <f>VLOOKUP(S:S,Promo!B:D,3,0)</f>
        <v>1</v>
      </c>
    </row>
    <row r="43" spans="1:78" s="41" customFormat="1" ht="15.75" customHeight="1">
      <c r="A43" s="41">
        <v>808033</v>
      </c>
      <c r="D43" s="63">
        <f>VLOOKUP(E:E,'Product Category'!J:O,6,FALSE)</f>
        <v>53</v>
      </c>
      <c r="E43" s="41" t="s">
        <v>2203</v>
      </c>
      <c r="F43" s="63" t="str">
        <f>VLOOKUP(E:E,'Product Category'!J:K,2,FALSE)</f>
        <v>8-Washing &amp; Cleaning</v>
      </c>
      <c r="G43" s="63" t="str">
        <f>VLOOKUP(F:F,'Product Category'!K:L,2,FALSE)</f>
        <v>1-Households</v>
      </c>
      <c r="H43" s="41" t="s">
        <v>3980</v>
      </c>
      <c r="I43" s="41" t="s">
        <v>3981</v>
      </c>
      <c r="J43" s="65" t="str">
        <f>TRIM(CONCATENATE(B43," ",H43," ",L43," ",M43," ",O43,P43," ",Q43))</f>
        <v>ชุดถังปั่นสแตนเลส พร้อมม๊อบถูพื้น สีดำ 1 ชุด x1 แพ็ค</v>
      </c>
      <c r="K43" s="80" t="str">
        <f>TRIM(CONCATENATE(C43," ",I43," ",L43," ",N43," ",O43,P43," ",R43))</f>
        <v>SPIN Mop with Bucket BLACK 1 set x1 pack</v>
      </c>
      <c r="L43" s="41">
        <v>1</v>
      </c>
      <c r="M43" s="41" t="s">
        <v>183</v>
      </c>
      <c r="N43" s="41" t="str">
        <f>VLOOKUP(M:M,Unit!B:C,2,0)</f>
        <v>set</v>
      </c>
      <c r="O43" s="41" t="s">
        <v>67</v>
      </c>
      <c r="P43" s="41">
        <v>1</v>
      </c>
      <c r="Q43" s="41" t="s">
        <v>179</v>
      </c>
      <c r="R43" s="41" t="str">
        <f>VLOOKUP(Q:Q,Unit!B:D,2,0)</f>
        <v>pack</v>
      </c>
      <c r="S43" s="41" t="s">
        <v>75</v>
      </c>
      <c r="T43" s="41" t="str">
        <f>VLOOKUP(S:S,Promo!B:D,2,0)</f>
        <v>Promo EN</v>
      </c>
      <c r="W43" s="41">
        <v>990</v>
      </c>
      <c r="X43" s="41">
        <v>345</v>
      </c>
      <c r="AB43" s="41" t="s">
        <v>91</v>
      </c>
      <c r="AF43" s="41" t="s">
        <v>3373</v>
      </c>
      <c r="AG43" s="41" t="s">
        <v>71</v>
      </c>
      <c r="AH43" s="41" t="s">
        <v>71</v>
      </c>
      <c r="AI43" s="41" t="s">
        <v>71</v>
      </c>
      <c r="AJ43" s="41" t="s">
        <v>71</v>
      </c>
      <c r="AK43" s="41" t="s">
        <v>71</v>
      </c>
      <c r="AL43" s="41" t="s">
        <v>71</v>
      </c>
      <c r="AQ43" s="41" t="s">
        <v>3982</v>
      </c>
      <c r="AR43" s="41" t="s">
        <v>2181</v>
      </c>
      <c r="BS43" s="41" t="s">
        <v>2058</v>
      </c>
      <c r="BT43" s="41" t="s">
        <v>72</v>
      </c>
      <c r="BW43" s="41" t="s">
        <v>72</v>
      </c>
      <c r="BY43" s="41">
        <f>VLOOKUP(M:M,Unit!B:D,3,0)</f>
        <v>20</v>
      </c>
      <c r="BZ43" s="41">
        <f>VLOOKUP(S:S,Promo!B:D,3,0)</f>
        <v>0</v>
      </c>
    </row>
    <row r="44" spans="1:78" s="41" customFormat="1" ht="15.75" customHeight="1">
      <c r="A44" s="41">
        <v>808034</v>
      </c>
      <c r="D44" s="63">
        <f>VLOOKUP(E:E,'Product Category'!J:O,6,FALSE)</f>
        <v>53</v>
      </c>
      <c r="E44" s="41" t="s">
        <v>2203</v>
      </c>
      <c r="F44" s="63" t="str">
        <f>VLOOKUP(E:E,'Product Category'!J:K,2,FALSE)</f>
        <v>8-Washing &amp; Cleaning</v>
      </c>
      <c r="G44" s="63" t="str">
        <f>VLOOKUP(F:F,'Product Category'!K:L,2,FALSE)</f>
        <v>1-Households</v>
      </c>
      <c r="H44" s="41" t="s">
        <v>3983</v>
      </c>
      <c r="I44" s="41" t="s">
        <v>3984</v>
      </c>
      <c r="J44" s="65" t="str">
        <f>TRIM(CONCATENATE(B44," ",H44," ",L44," ",M44," ",O44,P44," ",Q44))</f>
        <v>ชุดถังปั่นสแตนเลส พร้อมม๊อบถูพื้น สีม่วง 1 ชุด x1 แพ็ค</v>
      </c>
      <c r="K44" s="80" t="str">
        <f>TRIM(CONCATENATE(C44," ",I44," ",L44," ",N44," ",O44,P44," ",R44))</f>
        <v>Floor Mop with Bucket PURPLE 1 set x1 pack</v>
      </c>
      <c r="L44" s="41">
        <v>1</v>
      </c>
      <c r="M44" s="41" t="s">
        <v>183</v>
      </c>
      <c r="N44" s="41" t="str">
        <f>VLOOKUP(M:M,Unit!B:C,2,0)</f>
        <v>set</v>
      </c>
      <c r="O44" s="41" t="s">
        <v>67</v>
      </c>
      <c r="P44" s="41">
        <v>1</v>
      </c>
      <c r="Q44" s="41" t="s">
        <v>179</v>
      </c>
      <c r="R44" s="41" t="str">
        <f>VLOOKUP(Q:Q,Unit!B:D,2,0)</f>
        <v>pack</v>
      </c>
      <c r="S44" s="41" t="s">
        <v>75</v>
      </c>
      <c r="T44" s="41" t="str">
        <f>VLOOKUP(S:S,Promo!B:D,2,0)</f>
        <v>Promo EN</v>
      </c>
      <c r="W44" s="41">
        <v>990</v>
      </c>
      <c r="X44" s="41">
        <v>345</v>
      </c>
      <c r="AB44" s="41" t="s">
        <v>91</v>
      </c>
      <c r="AF44" s="41" t="s">
        <v>3373</v>
      </c>
      <c r="AG44" s="41" t="s">
        <v>71</v>
      </c>
      <c r="AH44" s="41" t="s">
        <v>71</v>
      </c>
      <c r="AI44" s="41" t="s">
        <v>71</v>
      </c>
      <c r="AJ44" s="41" t="s">
        <v>71</v>
      </c>
      <c r="AK44" s="41" t="s">
        <v>71</v>
      </c>
      <c r="AL44" s="41" t="s">
        <v>71</v>
      </c>
      <c r="AQ44" s="41" t="s">
        <v>2324</v>
      </c>
      <c r="AR44" s="41" t="s">
        <v>3985</v>
      </c>
      <c r="BS44" s="41" t="s">
        <v>2058</v>
      </c>
      <c r="BT44" s="41" t="s">
        <v>72</v>
      </c>
      <c r="BW44" s="41" t="s">
        <v>72</v>
      </c>
      <c r="BY44" s="41">
        <f>VLOOKUP(M:M,Unit!B:D,3,0)</f>
        <v>20</v>
      </c>
      <c r="BZ44" s="41">
        <f>VLOOKUP(S:S,Promo!B:D,3,0)</f>
        <v>0</v>
      </c>
    </row>
    <row r="45" spans="1:78" s="41" customFormat="1" ht="15.75" customHeight="1">
      <c r="A45" s="41">
        <v>226304</v>
      </c>
      <c r="B45" s="41" t="s">
        <v>747</v>
      </c>
      <c r="C45" s="65" t="str">
        <f>VLOOKUP(B:B,Brand!B:C,2,0)</f>
        <v>BeMan</v>
      </c>
      <c r="D45" s="63">
        <f>VLOOKUP(E:E,'Product Category'!J:O,6,FALSE)</f>
        <v>53</v>
      </c>
      <c r="E45" s="41" t="s">
        <v>2203</v>
      </c>
      <c r="F45" s="63" t="str">
        <f>VLOOKUP(E:E,'Product Category'!J:K,2,FALSE)</f>
        <v>8-Washing &amp; Cleaning</v>
      </c>
      <c r="G45" s="63" t="str">
        <f>VLOOKUP(F:F,'Product Category'!K:L,2,FALSE)</f>
        <v>1-Households</v>
      </c>
      <c r="H45" s="41" t="s">
        <v>4474</v>
      </c>
      <c r="I45" s="41" t="s">
        <v>4475</v>
      </c>
      <c r="J45" s="41" t="s">
        <v>5228</v>
      </c>
      <c r="K45" s="41" t="s">
        <v>5229</v>
      </c>
      <c r="L45" s="41">
        <v>2</v>
      </c>
      <c r="M45" s="41" t="s">
        <v>1805</v>
      </c>
      <c r="N45" s="41" t="str">
        <f>VLOOKUP(M:M,Unit!B:C,2,0)</f>
        <v>pc</v>
      </c>
      <c r="O45" s="41" t="s">
        <v>67</v>
      </c>
      <c r="P45" s="41">
        <v>1</v>
      </c>
      <c r="Q45" s="41" t="s">
        <v>179</v>
      </c>
      <c r="R45" s="41" t="str">
        <f>VLOOKUP(Q:Q,Unit!B:D,2,0)</f>
        <v>pack</v>
      </c>
      <c r="S45" s="41" t="s">
        <v>75</v>
      </c>
      <c r="T45" s="41" t="str">
        <f>VLOOKUP(S:S,Promo!B:D,2,0)</f>
        <v>Promo EN</v>
      </c>
      <c r="W45" s="41">
        <v>239</v>
      </c>
      <c r="X45" s="41">
        <v>199</v>
      </c>
      <c r="AB45" s="41" t="s">
        <v>2056</v>
      </c>
      <c r="AG45" s="41" t="s">
        <v>71</v>
      </c>
      <c r="AH45" s="41" t="s">
        <v>71</v>
      </c>
      <c r="AI45" s="41" t="s">
        <v>71</v>
      </c>
      <c r="AJ45" s="41" t="s">
        <v>71</v>
      </c>
      <c r="AK45" s="41" t="s">
        <v>71</v>
      </c>
      <c r="AL45" s="41" t="s">
        <v>71</v>
      </c>
      <c r="AS45" s="41" t="s">
        <v>4476</v>
      </c>
      <c r="AT45" s="41" t="s">
        <v>2282</v>
      </c>
      <c r="BS45" s="41" t="s">
        <v>2058</v>
      </c>
      <c r="BT45" s="41" t="s">
        <v>72</v>
      </c>
      <c r="BW45" s="41" t="s">
        <v>72</v>
      </c>
      <c r="BX45" s="41">
        <f>VLOOKUP(B:B,Brand!B:D,3,0)</f>
        <v>1194</v>
      </c>
      <c r="BY45" s="41">
        <f>VLOOKUP(M:M,Unit!B:D,3,0)</f>
        <v>26</v>
      </c>
      <c r="BZ45" s="41">
        <f>VLOOKUP(S:S,Promo!B:D,3,0)</f>
        <v>0</v>
      </c>
    </row>
    <row r="46" spans="1:78" s="41" customFormat="1" ht="15.75" customHeight="1">
      <c r="A46" s="41">
        <v>150345</v>
      </c>
      <c r="D46" s="63">
        <f>VLOOKUP(E:E,'Product Category'!J:O,6,FALSE)</f>
        <v>54</v>
      </c>
      <c r="E46" s="41" t="s">
        <v>2149</v>
      </c>
      <c r="F46" s="63" t="str">
        <f>VLOOKUP(E:E,'Product Category'!J:K,2,FALSE)</f>
        <v>8-Washing &amp; Cleaning</v>
      </c>
      <c r="G46" s="63" t="str">
        <f>VLOOKUP(F:F,'Product Category'!K:L,2,FALSE)</f>
        <v>1-Households</v>
      </c>
      <c r="H46" s="41" t="s">
        <v>2271</v>
      </c>
      <c r="I46" s="41" t="s">
        <v>2272</v>
      </c>
      <c r="J46" s="65" t="str">
        <f>TRIM(CONCATENATE(B46," ",H46," ",L46," ",M46," ",O46,P46," ",Q46))</f>
        <v>ชุดคว่ำจาน 1 ชุด x1 ชุด</v>
      </c>
      <c r="K46" s="80" t="str">
        <f>TRIM(CONCATENATE(C46," ",I46," ",L46," ",N46," ",O46,P46," ",R46))</f>
        <v>Plastic Dish Rack 1 set x1 set</v>
      </c>
      <c r="L46" s="41">
        <v>1</v>
      </c>
      <c r="M46" s="41" t="s">
        <v>183</v>
      </c>
      <c r="N46" s="41" t="str">
        <f>VLOOKUP(M:M,Unit!B:C,2,0)</f>
        <v>set</v>
      </c>
      <c r="O46" s="41" t="s">
        <v>67</v>
      </c>
      <c r="P46" s="41">
        <v>1</v>
      </c>
      <c r="Q46" s="41" t="s">
        <v>183</v>
      </c>
      <c r="R46" s="41" t="str">
        <f>VLOOKUP(Q:Q,Unit!B:D,2,0)</f>
        <v>set</v>
      </c>
      <c r="S46" s="41" t="s">
        <v>75</v>
      </c>
      <c r="T46" s="41" t="str">
        <f>VLOOKUP(S:S,Promo!B:D,2,0)</f>
        <v>Promo EN</v>
      </c>
      <c r="W46" s="41">
        <v>249</v>
      </c>
      <c r="X46" s="41">
        <v>199</v>
      </c>
      <c r="AB46" s="41" t="s">
        <v>91</v>
      </c>
      <c r="AG46" s="41" t="s">
        <v>71</v>
      </c>
      <c r="AH46" s="41" t="s">
        <v>71</v>
      </c>
      <c r="AI46" s="41" t="s">
        <v>71</v>
      </c>
      <c r="AJ46" s="41" t="s">
        <v>71</v>
      </c>
      <c r="AK46" s="41" t="s">
        <v>71</v>
      </c>
      <c r="AL46" s="41" t="s">
        <v>71</v>
      </c>
      <c r="BS46" s="41" t="s">
        <v>2058</v>
      </c>
      <c r="BT46" s="41" t="s">
        <v>72</v>
      </c>
      <c r="BW46" s="41" t="s">
        <v>72</v>
      </c>
      <c r="BY46" s="41">
        <f>VLOOKUP(M:M,Unit!B:D,3,0)</f>
        <v>20</v>
      </c>
      <c r="BZ46" s="41">
        <f>VLOOKUP(S:S,Promo!B:D,3,0)</f>
        <v>0</v>
      </c>
    </row>
    <row r="47" spans="1:78" s="41" customFormat="1" ht="15.75" customHeight="1">
      <c r="A47" s="41">
        <v>162038</v>
      </c>
      <c r="B47" s="41" t="s">
        <v>2498</v>
      </c>
      <c r="C47" s="65" t="str">
        <f>VLOOKUP(B:B,Brand!B:C,2,0)</f>
        <v>Breeze</v>
      </c>
      <c r="D47" s="63">
        <f>VLOOKUP(E:E,'Product Category'!J:O,6,FALSE)</f>
        <v>55</v>
      </c>
      <c r="E47" s="41" t="s">
        <v>2099</v>
      </c>
      <c r="F47" s="63" t="str">
        <f>VLOOKUP(E:E,'Product Category'!J:K,2,FALSE)</f>
        <v>9-Laundry</v>
      </c>
      <c r="G47" s="63" t="str">
        <f>VLOOKUP(F:F,'Product Category'!K:L,2,FALSE)</f>
        <v>1-Households</v>
      </c>
      <c r="H47" s="41" t="s">
        <v>173</v>
      </c>
      <c r="I47" s="41" t="s">
        <v>3414</v>
      </c>
      <c r="J47" s="41" t="s">
        <v>4519</v>
      </c>
      <c r="K47" s="41" t="s">
        <v>4520</v>
      </c>
      <c r="L47" s="41">
        <v>90</v>
      </c>
      <c r="M47" s="41" t="s">
        <v>83</v>
      </c>
      <c r="N47" s="41" t="str">
        <f>VLOOKUP(M:M,Unit!B:C,2,0)</f>
        <v>g</v>
      </c>
      <c r="O47" s="41" t="s">
        <v>67</v>
      </c>
      <c r="P47" s="41">
        <v>12</v>
      </c>
      <c r="Q47" s="41" t="s">
        <v>135</v>
      </c>
      <c r="R47" s="41" t="str">
        <f>VLOOKUP(Q:Q,Unit!B:D,2,0)</f>
        <v>g</v>
      </c>
      <c r="S47" s="41" t="s">
        <v>75</v>
      </c>
      <c r="T47" s="41" t="str">
        <f>VLOOKUP(S:S,Promo!B:D,2,0)</f>
        <v>Promo EN</v>
      </c>
      <c r="W47" s="41">
        <v>90</v>
      </c>
      <c r="X47" s="41">
        <v>83</v>
      </c>
      <c r="AB47" s="41" t="s">
        <v>91</v>
      </c>
      <c r="AF47" s="41" t="s">
        <v>3415</v>
      </c>
      <c r="AG47" s="41" t="s">
        <v>71</v>
      </c>
      <c r="AH47" s="41" t="s">
        <v>1846</v>
      </c>
      <c r="AI47" s="41" t="s">
        <v>71</v>
      </c>
      <c r="AJ47" s="41" t="s">
        <v>71</v>
      </c>
      <c r="AK47" s="41" t="s">
        <v>71</v>
      </c>
      <c r="AL47" s="41" t="s">
        <v>71</v>
      </c>
      <c r="AP47" s="41" t="s">
        <v>3416</v>
      </c>
      <c r="BS47" s="41" t="s">
        <v>2058</v>
      </c>
      <c r="BT47" s="41" t="s">
        <v>72</v>
      </c>
      <c r="BW47" s="41" t="s">
        <v>72</v>
      </c>
      <c r="BX47" s="41">
        <f>VLOOKUP(B:B,Brand!B:D,3,0)</f>
        <v>338</v>
      </c>
      <c r="BY47" s="41">
        <f>VLOOKUP(M:M,Unit!B:D,3,0)</f>
        <v>1</v>
      </c>
      <c r="BZ47" s="41">
        <f>VLOOKUP(S:S,Promo!B:D,3,0)</f>
        <v>0</v>
      </c>
    </row>
    <row r="48" spans="1:78" s="41" customFormat="1" ht="15.75" customHeight="1">
      <c r="A48" s="41">
        <v>110649</v>
      </c>
      <c r="B48" s="41" t="s">
        <v>1293</v>
      </c>
      <c r="C48" s="65" t="str">
        <f>VLOOKUP(B:B,Brand!B:C,2,0)</f>
        <v>Attack Easy</v>
      </c>
      <c r="D48" s="63">
        <f>VLOOKUP(E:E,'Product Category'!J:O,6,FALSE)</f>
        <v>55</v>
      </c>
      <c r="E48" s="41" t="s">
        <v>2099</v>
      </c>
      <c r="F48" s="63" t="str">
        <f>VLOOKUP(E:E,'Product Category'!J:K,2,FALSE)</f>
        <v>9-Laundry</v>
      </c>
      <c r="G48" s="63" t="str">
        <f>VLOOKUP(F:F,'Product Category'!K:L,2,FALSE)</f>
        <v>1-Households</v>
      </c>
      <c r="H48" s="41" t="s">
        <v>3706</v>
      </c>
      <c r="I48" s="41" t="s">
        <v>3707</v>
      </c>
      <c r="J48" s="41" t="s">
        <v>4715</v>
      </c>
      <c r="K48" s="41" t="s">
        <v>4716</v>
      </c>
      <c r="L48" s="41">
        <v>120</v>
      </c>
      <c r="M48" s="41" t="s">
        <v>83</v>
      </c>
      <c r="N48" s="41" t="str">
        <f>VLOOKUP(M:M,Unit!B:C,2,0)</f>
        <v>g</v>
      </c>
      <c r="O48" s="41" t="s">
        <v>67</v>
      </c>
      <c r="P48" s="41">
        <v>12</v>
      </c>
      <c r="Q48" s="41" t="s">
        <v>68</v>
      </c>
      <c r="R48" s="41" t="str">
        <f>VLOOKUP(Q:Q,Unit!B:D,2,0)</f>
        <v>pc</v>
      </c>
      <c r="S48" s="41" t="s">
        <v>75</v>
      </c>
      <c r="T48" s="41" t="str">
        <f>VLOOKUP(S:S,Promo!B:D,2,0)</f>
        <v>Promo EN</v>
      </c>
      <c r="W48" s="41">
        <v>89</v>
      </c>
      <c r="X48" s="41">
        <v>79</v>
      </c>
      <c r="AB48" s="41" t="s">
        <v>91</v>
      </c>
      <c r="AG48" s="41" t="s">
        <v>71</v>
      </c>
      <c r="AH48" s="41" t="s">
        <v>71</v>
      </c>
      <c r="AI48" s="41" t="s">
        <v>71</v>
      </c>
      <c r="AJ48" s="41" t="s">
        <v>71</v>
      </c>
      <c r="AK48" s="41" t="s">
        <v>71</v>
      </c>
      <c r="AL48" s="41" t="s">
        <v>71</v>
      </c>
      <c r="AP48" s="41" t="s">
        <v>3708</v>
      </c>
      <c r="BS48" s="41" t="s">
        <v>2058</v>
      </c>
      <c r="BT48" s="41" t="s">
        <v>72</v>
      </c>
      <c r="BW48" s="41" t="s">
        <v>72</v>
      </c>
      <c r="BX48" s="41">
        <f>VLOOKUP(B:B,Brand!B:D,3,0)</f>
        <v>710</v>
      </c>
      <c r="BY48" s="41">
        <f>VLOOKUP(M:M,Unit!B:D,3,0)</f>
        <v>1</v>
      </c>
      <c r="BZ48" s="41">
        <f>VLOOKUP(S:S,Promo!B:D,3,0)</f>
        <v>0</v>
      </c>
    </row>
    <row r="49" spans="1:78" s="41" customFormat="1" ht="15.75" customHeight="1">
      <c r="A49" s="41">
        <v>808308</v>
      </c>
      <c r="B49" s="41" t="s">
        <v>2498</v>
      </c>
      <c r="C49" s="65" t="str">
        <f>VLOOKUP(B:B,Brand!B:C,2,0)</f>
        <v>Breeze</v>
      </c>
      <c r="D49" s="63">
        <f>VLOOKUP(E:E,'Product Category'!J:O,6,FALSE)</f>
        <v>55</v>
      </c>
      <c r="E49" s="41" t="s">
        <v>2099</v>
      </c>
      <c r="F49" s="63" t="str">
        <f>VLOOKUP(E:E,'Product Category'!J:K,2,FALSE)</f>
        <v>9-Laundry</v>
      </c>
      <c r="G49" s="63" t="str">
        <f>VLOOKUP(F:F,'Product Category'!K:L,2,FALSE)</f>
        <v>1-Households</v>
      </c>
      <c r="H49" s="41" t="s">
        <v>3730</v>
      </c>
      <c r="I49" s="41" t="s">
        <v>3731</v>
      </c>
      <c r="J49" s="41" t="s">
        <v>4729</v>
      </c>
      <c r="K49" s="41" t="s">
        <v>4730</v>
      </c>
      <c r="L49" s="41">
        <v>90</v>
      </c>
      <c r="M49" s="41" t="s">
        <v>83</v>
      </c>
      <c r="N49" s="41" t="str">
        <f>VLOOKUP(M:M,Unit!B:C,2,0)</f>
        <v>g</v>
      </c>
      <c r="O49" s="41" t="s">
        <v>67</v>
      </c>
      <c r="P49" s="41">
        <v>12</v>
      </c>
      <c r="Q49" s="41" t="s">
        <v>68</v>
      </c>
      <c r="R49" s="41" t="str">
        <f>VLOOKUP(Q:Q,Unit!B:D,2,0)</f>
        <v>pc</v>
      </c>
      <c r="S49" s="41" t="s">
        <v>75</v>
      </c>
      <c r="T49" s="41" t="str">
        <f>VLOOKUP(S:S,Promo!B:D,2,0)</f>
        <v>Promo EN</v>
      </c>
      <c r="W49" s="41">
        <v>90</v>
      </c>
      <c r="X49" s="41">
        <v>83</v>
      </c>
      <c r="AB49" s="41" t="s">
        <v>91</v>
      </c>
      <c r="AG49" s="41" t="s">
        <v>71</v>
      </c>
      <c r="AH49" s="41" t="s">
        <v>71</v>
      </c>
      <c r="AI49" s="41" t="s">
        <v>71</v>
      </c>
      <c r="AJ49" s="41" t="s">
        <v>71</v>
      </c>
      <c r="AK49" s="41" t="s">
        <v>71</v>
      </c>
      <c r="AL49" s="41" t="s">
        <v>71</v>
      </c>
      <c r="BS49" s="41" t="s">
        <v>2058</v>
      </c>
      <c r="BT49" s="41" t="s">
        <v>72</v>
      </c>
      <c r="BW49" s="41" t="s">
        <v>72</v>
      </c>
      <c r="BX49" s="41">
        <f>VLOOKUP(B:B,Brand!B:D,3,0)</f>
        <v>338</v>
      </c>
      <c r="BY49" s="41">
        <f>VLOOKUP(M:M,Unit!B:D,3,0)</f>
        <v>1</v>
      </c>
      <c r="BZ49" s="41">
        <f>VLOOKUP(S:S,Promo!B:D,3,0)</f>
        <v>0</v>
      </c>
    </row>
    <row r="50" spans="1:78" s="41" customFormat="1" ht="15.75" customHeight="1">
      <c r="A50" s="41">
        <v>107176</v>
      </c>
      <c r="B50" s="41" t="s">
        <v>717</v>
      </c>
      <c r="C50" s="65" t="str">
        <f>VLOOKUP(B:B,Brand!B:C,2,0)</f>
        <v>Breeze Excel</v>
      </c>
      <c r="D50" s="63">
        <f>VLOOKUP(E:E,'Product Category'!J:O,6,FALSE)</f>
        <v>55</v>
      </c>
      <c r="E50" s="41" t="s">
        <v>2099</v>
      </c>
      <c r="F50" s="63" t="str">
        <f>VLOOKUP(E:E,'Product Category'!J:K,2,FALSE)</f>
        <v>9-Laundry</v>
      </c>
      <c r="G50" s="63" t="str">
        <f>VLOOKUP(F:F,'Product Category'!K:L,2,FALSE)</f>
        <v>1-Households</v>
      </c>
      <c r="H50" s="41" t="s">
        <v>173</v>
      </c>
      <c r="I50" s="41" t="s">
        <v>2100</v>
      </c>
      <c r="J50" s="41" t="s">
        <v>4759</v>
      </c>
      <c r="K50" s="41" t="s">
        <v>4760</v>
      </c>
      <c r="L50" s="41">
        <v>900</v>
      </c>
      <c r="M50" s="41" t="s">
        <v>83</v>
      </c>
      <c r="N50" s="41" t="str">
        <f>VLOOKUP(M:M,Unit!B:C,2,0)</f>
        <v>g</v>
      </c>
      <c r="O50" s="41" t="s">
        <v>67</v>
      </c>
      <c r="P50" s="41">
        <v>1</v>
      </c>
      <c r="Q50" s="41" t="s">
        <v>68</v>
      </c>
      <c r="R50" s="41" t="str">
        <f>VLOOKUP(Q:Q,Unit!B:D,2,0)</f>
        <v>pc</v>
      </c>
      <c r="S50" s="41" t="s">
        <v>75</v>
      </c>
      <c r="T50" s="41" t="str">
        <f>VLOOKUP(S:S,Promo!B:D,2,0)</f>
        <v>Promo EN</v>
      </c>
      <c r="W50" s="41">
        <v>88</v>
      </c>
      <c r="X50" s="41">
        <v>72</v>
      </c>
      <c r="AB50" s="41" t="s">
        <v>91</v>
      </c>
      <c r="AG50" s="41" t="s">
        <v>71</v>
      </c>
      <c r="AH50" s="41" t="s">
        <v>71</v>
      </c>
      <c r="AI50" s="41" t="s">
        <v>71</v>
      </c>
      <c r="AJ50" s="41" t="s">
        <v>71</v>
      </c>
      <c r="AK50" s="41" t="s">
        <v>71</v>
      </c>
      <c r="AL50" s="41" t="s">
        <v>71</v>
      </c>
      <c r="BS50" s="41" t="s">
        <v>2058</v>
      </c>
      <c r="BT50" s="41" t="s">
        <v>72</v>
      </c>
      <c r="BW50" s="41" t="s">
        <v>72</v>
      </c>
      <c r="BX50" s="41">
        <f>VLOOKUP(B:B,Brand!B:D,3,0)</f>
        <v>340</v>
      </c>
      <c r="BY50" s="41">
        <f>VLOOKUP(M:M,Unit!B:D,3,0)</f>
        <v>1</v>
      </c>
      <c r="BZ50" s="41">
        <f>VLOOKUP(S:S,Promo!B:D,3,0)</f>
        <v>0</v>
      </c>
    </row>
    <row r="51" spans="1:78" s="41" customFormat="1" ht="15.75" customHeight="1">
      <c r="A51" s="41">
        <v>211380</v>
      </c>
      <c r="B51" s="41" t="s">
        <v>2211</v>
      </c>
      <c r="C51" s="65" t="str">
        <f>VLOOKUP(B:B,Brand!B:C,2,0)</f>
        <v>Pro</v>
      </c>
      <c r="D51" s="63">
        <f>VLOOKUP(E:E,'Product Category'!J:O,6,FALSE)</f>
        <v>55</v>
      </c>
      <c r="E51" s="41" t="s">
        <v>2099</v>
      </c>
      <c r="F51" s="63" t="str">
        <f>VLOOKUP(E:E,'Product Category'!J:K,2,FALSE)</f>
        <v>9-Laundry</v>
      </c>
      <c r="G51" s="63" t="str">
        <f>VLOOKUP(F:F,'Product Category'!K:L,2,FALSE)</f>
        <v>1-Households</v>
      </c>
      <c r="H51" s="41" t="s">
        <v>173</v>
      </c>
      <c r="I51" s="41" t="s">
        <v>2100</v>
      </c>
      <c r="J51" s="41" t="s">
        <v>4841</v>
      </c>
      <c r="K51" s="41" t="s">
        <v>4842</v>
      </c>
      <c r="L51" s="41">
        <v>3000</v>
      </c>
      <c r="M51" s="41" t="s">
        <v>83</v>
      </c>
      <c r="N51" s="41" t="str">
        <f>VLOOKUP(M:M,Unit!B:C,2,0)</f>
        <v>g</v>
      </c>
      <c r="O51" s="41" t="s">
        <v>67</v>
      </c>
      <c r="P51" s="41">
        <v>1</v>
      </c>
      <c r="Q51" s="41" t="s">
        <v>2153</v>
      </c>
      <c r="R51" s="41" t="str">
        <f>VLOOKUP(Q:Q,Unit!B:D,2,0)</f>
        <v>unit</v>
      </c>
      <c r="S51" s="41" t="s">
        <v>75</v>
      </c>
      <c r="T51" s="41" t="str">
        <f>VLOOKUP(S:S,Promo!B:D,2,0)</f>
        <v>Promo EN</v>
      </c>
      <c r="W51" s="41">
        <v>139</v>
      </c>
      <c r="X51" s="41">
        <v>99</v>
      </c>
      <c r="AB51" s="41" t="s">
        <v>91</v>
      </c>
      <c r="AG51" s="41" t="s">
        <v>71</v>
      </c>
      <c r="AH51" s="41" t="s">
        <v>71</v>
      </c>
      <c r="AI51" s="41" t="s">
        <v>71</v>
      </c>
      <c r="AJ51" s="41" t="s">
        <v>71</v>
      </c>
      <c r="AK51" s="41" t="s">
        <v>71</v>
      </c>
      <c r="AL51" s="41" t="s">
        <v>71</v>
      </c>
      <c r="BS51" s="41" t="s">
        <v>2058</v>
      </c>
      <c r="BT51" s="41" t="s">
        <v>72</v>
      </c>
      <c r="BW51" s="41" t="s">
        <v>72</v>
      </c>
      <c r="BX51" s="41">
        <f>VLOOKUP(B:B,Brand!B:D,3,0)</f>
        <v>1018</v>
      </c>
      <c r="BY51" s="41">
        <f>VLOOKUP(M:M,Unit!B:D,3,0)</f>
        <v>1</v>
      </c>
      <c r="BZ51" s="41">
        <f>VLOOKUP(S:S,Promo!B:D,3,0)</f>
        <v>0</v>
      </c>
    </row>
    <row r="52" spans="1:78" s="41" customFormat="1" ht="15.75" customHeight="1">
      <c r="A52" s="41">
        <v>82069</v>
      </c>
      <c r="B52" s="41" t="s">
        <v>2657</v>
      </c>
      <c r="C52" s="65" t="str">
        <f>VLOOKUP(B:B,Brand!B:C,2,0)</f>
        <v>Pao</v>
      </c>
      <c r="D52" s="63">
        <f>VLOOKUP(E:E,'Product Category'!J:O,6,FALSE)</f>
        <v>55</v>
      </c>
      <c r="E52" s="41" t="s">
        <v>2099</v>
      </c>
      <c r="F52" s="63" t="str">
        <f>VLOOKUP(E:E,'Product Category'!J:K,2,FALSE)</f>
        <v>9-Laundry</v>
      </c>
      <c r="G52" s="63" t="str">
        <f>VLOOKUP(F:F,'Product Category'!K:L,2,FALSE)</f>
        <v>1-Households</v>
      </c>
      <c r="H52" s="41" t="s">
        <v>173</v>
      </c>
      <c r="I52" s="41" t="s">
        <v>4210</v>
      </c>
      <c r="J52" s="41" t="s">
        <v>5033</v>
      </c>
      <c r="K52" s="41" t="s">
        <v>5034</v>
      </c>
      <c r="L52" s="41">
        <v>9</v>
      </c>
      <c r="M52" s="41" t="s">
        <v>79</v>
      </c>
      <c r="N52" s="41" t="str">
        <f>VLOOKUP(M:M,Unit!B:C,2,0)</f>
        <v>kg</v>
      </c>
      <c r="O52" s="41" t="s">
        <v>67</v>
      </c>
      <c r="P52" s="41">
        <v>1</v>
      </c>
      <c r="Q52" s="41" t="s">
        <v>2153</v>
      </c>
      <c r="R52" s="41" t="str">
        <f>VLOOKUP(Q:Q,Unit!B:D,2,0)</f>
        <v>unit</v>
      </c>
      <c r="S52" s="41" t="s">
        <v>75</v>
      </c>
      <c r="T52" s="41" t="str">
        <f>VLOOKUP(S:S,Promo!B:D,2,0)</f>
        <v>Promo EN</v>
      </c>
      <c r="W52" s="41">
        <v>389</v>
      </c>
      <c r="X52" s="41">
        <v>329</v>
      </c>
      <c r="AB52" s="41" t="s">
        <v>91</v>
      </c>
      <c r="AF52" s="41" t="s">
        <v>3373</v>
      </c>
      <c r="AG52" s="41" t="s">
        <v>71</v>
      </c>
      <c r="AH52" s="41" t="s">
        <v>71</v>
      </c>
      <c r="AI52" s="41" t="s">
        <v>71</v>
      </c>
      <c r="AJ52" s="41" t="s">
        <v>71</v>
      </c>
      <c r="AK52" s="41" t="s">
        <v>71</v>
      </c>
      <c r="AL52" s="41" t="s">
        <v>71</v>
      </c>
      <c r="BS52" s="41" t="s">
        <v>2058</v>
      </c>
      <c r="BT52" s="41" t="s">
        <v>72</v>
      </c>
      <c r="BW52" s="41" t="s">
        <v>72</v>
      </c>
      <c r="BX52" s="41">
        <f>VLOOKUP(B:B,Brand!B:D,3,0)</f>
        <v>1092</v>
      </c>
      <c r="BY52" s="41">
        <f>VLOOKUP(M:M,Unit!B:D,3,0)</f>
        <v>2</v>
      </c>
      <c r="BZ52" s="41">
        <f>VLOOKUP(S:S,Promo!B:D,3,0)</f>
        <v>0</v>
      </c>
    </row>
    <row r="53" spans="1:78" s="41" customFormat="1" ht="15.75" customHeight="1">
      <c r="A53" s="41">
        <v>141722</v>
      </c>
      <c r="B53" s="41" t="s">
        <v>2498</v>
      </c>
      <c r="C53" s="65" t="str">
        <f>VLOOKUP(B:B,Brand!B:C,2,0)</f>
        <v>Breeze</v>
      </c>
      <c r="D53" s="63">
        <f>VLOOKUP(E:E,'Product Category'!J:O,6,FALSE)</f>
        <v>56</v>
      </c>
      <c r="E53" s="41" t="s">
        <v>2123</v>
      </c>
      <c r="F53" s="63" t="str">
        <f>VLOOKUP(E:E,'Product Category'!J:K,2,FALSE)</f>
        <v>9-Laundry</v>
      </c>
      <c r="G53" s="63" t="str">
        <f>VLOOKUP(F:F,'Product Category'!K:L,2,FALSE)</f>
        <v>1-Households</v>
      </c>
      <c r="H53" s="41" t="s">
        <v>3417</v>
      </c>
      <c r="I53" s="41" t="s">
        <v>3418</v>
      </c>
      <c r="J53" s="41" t="s">
        <v>4521</v>
      </c>
      <c r="K53" s="41" t="s">
        <v>4522</v>
      </c>
      <c r="L53" s="41">
        <v>30</v>
      </c>
      <c r="M53" s="41" t="s">
        <v>66</v>
      </c>
      <c r="N53" s="41" t="str">
        <f>VLOOKUP(M:M,Unit!B:C,2,0)</f>
        <v>ml</v>
      </c>
      <c r="O53" s="41" t="s">
        <v>67</v>
      </c>
      <c r="P53" s="41">
        <v>12</v>
      </c>
      <c r="Q53" s="41" t="s">
        <v>135</v>
      </c>
      <c r="R53" s="41" t="str">
        <f>VLOOKUP(Q:Q,Unit!B:D,2,0)</f>
        <v>g</v>
      </c>
      <c r="S53" s="41" t="s">
        <v>75</v>
      </c>
      <c r="T53" s="41" t="str">
        <f>VLOOKUP(S:S,Promo!B:D,2,0)</f>
        <v>Promo EN</v>
      </c>
      <c r="W53" s="41">
        <v>45</v>
      </c>
      <c r="X53" s="41">
        <v>42</v>
      </c>
      <c r="AB53" s="41" t="s">
        <v>91</v>
      </c>
      <c r="AF53" s="41" t="s">
        <v>3373</v>
      </c>
      <c r="AG53" s="41" t="s">
        <v>71</v>
      </c>
      <c r="AH53" s="41" t="s">
        <v>71</v>
      </c>
      <c r="AI53" s="41" t="s">
        <v>71</v>
      </c>
      <c r="AJ53" s="41" t="s">
        <v>71</v>
      </c>
      <c r="AK53" s="41" t="s">
        <v>71</v>
      </c>
      <c r="AL53" s="41" t="s">
        <v>71</v>
      </c>
      <c r="AP53" s="41" t="s">
        <v>3416</v>
      </c>
      <c r="BS53" s="41" t="s">
        <v>2058</v>
      </c>
      <c r="BT53" s="41" t="s">
        <v>72</v>
      </c>
      <c r="BW53" s="41" t="s">
        <v>72</v>
      </c>
      <c r="BX53" s="41">
        <f>VLOOKUP(B:B,Brand!B:D,3,0)</f>
        <v>338</v>
      </c>
      <c r="BY53" s="41">
        <f>VLOOKUP(M:M,Unit!B:D,3,0)</f>
        <v>4</v>
      </c>
      <c r="BZ53" s="41">
        <f>VLOOKUP(S:S,Promo!B:D,3,0)</f>
        <v>0</v>
      </c>
    </row>
    <row r="54" spans="1:78" s="41" customFormat="1" ht="15.75" customHeight="1">
      <c r="A54" s="41">
        <v>820070</v>
      </c>
      <c r="B54" s="41" t="s">
        <v>547</v>
      </c>
      <c r="C54" s="65" t="str">
        <f>VLOOKUP(B:B,Brand!B:C,2,0)</f>
        <v>Downy</v>
      </c>
      <c r="D54" s="63">
        <f>VLOOKUP(E:E,'Product Category'!J:O,6,FALSE)</f>
        <v>57</v>
      </c>
      <c r="E54" s="41" t="s">
        <v>2093</v>
      </c>
      <c r="F54" s="63" t="str">
        <f>VLOOKUP(E:E,'Product Category'!J:K,2,FALSE)</f>
        <v>9-Laundry</v>
      </c>
      <c r="G54" s="63" t="str">
        <f>VLOOKUP(F:F,'Product Category'!K:L,2,FALSE)</f>
        <v>1-Households</v>
      </c>
      <c r="H54" s="41" t="s">
        <v>3391</v>
      </c>
      <c r="I54" s="41" t="s">
        <v>3392</v>
      </c>
      <c r="J54" s="41" t="s">
        <v>4511</v>
      </c>
      <c r="K54" s="41" t="s">
        <v>4512</v>
      </c>
      <c r="L54" s="41">
        <v>20</v>
      </c>
      <c r="M54" s="41" t="s">
        <v>66</v>
      </c>
      <c r="N54" s="41" t="str">
        <f>VLOOKUP(M:M,Unit!B:C,2,0)</f>
        <v>ml</v>
      </c>
      <c r="O54" s="41" t="s">
        <v>67</v>
      </c>
      <c r="P54" s="41">
        <v>24</v>
      </c>
      <c r="Q54" s="41" t="s">
        <v>135</v>
      </c>
      <c r="R54" s="41" t="str">
        <f>VLOOKUP(Q:Q,Unit!B:D,2,0)</f>
        <v>g</v>
      </c>
      <c r="S54" s="41" t="s">
        <v>75</v>
      </c>
      <c r="T54" s="41" t="str">
        <f>VLOOKUP(S:S,Promo!B:D,2,0)</f>
        <v>Promo EN</v>
      </c>
      <c r="W54" s="41">
        <v>74</v>
      </c>
      <c r="X54" s="41">
        <v>67</v>
      </c>
      <c r="AB54" s="41" t="s">
        <v>91</v>
      </c>
      <c r="AF54" s="41" t="s">
        <v>3373</v>
      </c>
      <c r="AG54" s="41" t="s">
        <v>71</v>
      </c>
      <c r="AH54" s="41" t="s">
        <v>71</v>
      </c>
      <c r="AI54" s="41" t="s">
        <v>71</v>
      </c>
      <c r="AJ54" s="41" t="s">
        <v>71</v>
      </c>
      <c r="AK54" s="41" t="s">
        <v>71</v>
      </c>
      <c r="AL54" s="41" t="s">
        <v>71</v>
      </c>
      <c r="AP54" s="41" t="s">
        <v>3393</v>
      </c>
      <c r="BS54" s="41" t="s">
        <v>2058</v>
      </c>
      <c r="BT54" s="41" t="s">
        <v>72</v>
      </c>
      <c r="BW54" s="41" t="s">
        <v>72</v>
      </c>
      <c r="BX54" s="41">
        <f>VLOOKUP(B:B,Brand!B:D,3,0)</f>
        <v>222</v>
      </c>
      <c r="BY54" s="41">
        <f>VLOOKUP(M:M,Unit!B:D,3,0)</f>
        <v>4</v>
      </c>
      <c r="BZ54" s="41">
        <f>VLOOKUP(S:S,Promo!B:D,3,0)</f>
        <v>0</v>
      </c>
    </row>
    <row r="55" spans="1:78" s="41" customFormat="1" ht="15.75" customHeight="1">
      <c r="A55" s="41">
        <v>132409</v>
      </c>
      <c r="B55" s="41" t="s">
        <v>1368</v>
      </c>
      <c r="C55" s="65" t="str">
        <f>VLOOKUP(B:B,Brand!B:C,2,0)</f>
        <v>Hiclass</v>
      </c>
      <c r="D55" s="63">
        <f>VLOOKUP(E:E,'Product Category'!J:O,6,FALSE)</f>
        <v>57</v>
      </c>
      <c r="E55" s="41" t="s">
        <v>2093</v>
      </c>
      <c r="F55" s="63" t="str">
        <f>VLOOKUP(E:E,'Product Category'!J:K,2,FALSE)</f>
        <v>9-Laundry</v>
      </c>
      <c r="G55" s="63" t="str">
        <f>VLOOKUP(F:F,'Product Category'!K:L,2,FALSE)</f>
        <v>1-Households</v>
      </c>
      <c r="H55" s="41" t="s">
        <v>3704</v>
      </c>
      <c r="I55" s="41" t="s">
        <v>3705</v>
      </c>
      <c r="J55" s="41" t="s">
        <v>4713</v>
      </c>
      <c r="K55" s="41" t="s">
        <v>4714</v>
      </c>
      <c r="L55" s="41">
        <v>600</v>
      </c>
      <c r="M55" s="41" t="s">
        <v>66</v>
      </c>
      <c r="N55" s="41" t="str">
        <f>VLOOKUP(M:M,Unit!B:C,2,0)</f>
        <v>ml</v>
      </c>
      <c r="O55" s="41" t="s">
        <v>67</v>
      </c>
      <c r="P55" s="41">
        <v>3</v>
      </c>
      <c r="Q55" s="41" t="s">
        <v>68</v>
      </c>
      <c r="R55" s="41" t="str">
        <f>VLOOKUP(Q:Q,Unit!B:D,2,0)</f>
        <v>pc</v>
      </c>
      <c r="S55" s="41" t="s">
        <v>75</v>
      </c>
      <c r="T55" s="41" t="str">
        <f>VLOOKUP(S:S,Promo!B:D,2,0)</f>
        <v>Promo EN</v>
      </c>
      <c r="W55" s="41">
        <v>36</v>
      </c>
      <c r="X55" s="41">
        <v>27</v>
      </c>
      <c r="AB55" s="41" t="s">
        <v>91</v>
      </c>
      <c r="AG55" s="41" t="s">
        <v>71</v>
      </c>
      <c r="AH55" s="41" t="s">
        <v>71</v>
      </c>
      <c r="AI55" s="41" t="s">
        <v>71</v>
      </c>
      <c r="AJ55" s="41" t="s">
        <v>71</v>
      </c>
      <c r="AK55" s="41" t="s">
        <v>71</v>
      </c>
      <c r="AL55" s="41" t="s">
        <v>71</v>
      </c>
      <c r="AQ55" s="41" t="s">
        <v>2087</v>
      </c>
      <c r="AR55" s="41" t="s">
        <v>2162</v>
      </c>
      <c r="BS55" s="41" t="s">
        <v>2058</v>
      </c>
      <c r="BT55" s="41" t="s">
        <v>72</v>
      </c>
      <c r="BW55" s="41" t="s">
        <v>72</v>
      </c>
      <c r="BX55" s="41">
        <f>VLOOKUP(B:B,Brand!B:D,3,0)</f>
        <v>753</v>
      </c>
      <c r="BY55" s="41">
        <f>VLOOKUP(M:M,Unit!B:D,3,0)</f>
        <v>4</v>
      </c>
      <c r="BZ55" s="41">
        <f>VLOOKUP(S:S,Promo!B:D,3,0)</f>
        <v>0</v>
      </c>
    </row>
    <row r="56" spans="1:78" s="41" customFormat="1" ht="15.75" customHeight="1">
      <c r="A56" s="41">
        <v>134114</v>
      </c>
      <c r="B56" s="41" t="s">
        <v>926</v>
      </c>
      <c r="C56" s="65" t="str">
        <f>VLOOKUP(B:B,Brand!B:C,2,0)</f>
        <v>Fineline</v>
      </c>
      <c r="D56" s="63">
        <f>VLOOKUP(E:E,'Product Category'!J:O,6,FALSE)</f>
        <v>57</v>
      </c>
      <c r="E56" s="41" t="s">
        <v>2093</v>
      </c>
      <c r="F56" s="63" t="str">
        <f>VLOOKUP(E:E,'Product Category'!J:K,2,FALSE)</f>
        <v>9-Laundry</v>
      </c>
      <c r="G56" s="63" t="str">
        <f>VLOOKUP(F:F,'Product Category'!K:L,2,FALSE)</f>
        <v>1-Households</v>
      </c>
      <c r="H56" s="41" t="s">
        <v>3932</v>
      </c>
      <c r="I56" s="41" t="s">
        <v>3933</v>
      </c>
      <c r="J56" s="41" t="s">
        <v>4837</v>
      </c>
      <c r="K56" s="41" t="s">
        <v>4838</v>
      </c>
      <c r="L56" s="41">
        <v>600</v>
      </c>
      <c r="M56" s="41" t="s">
        <v>66</v>
      </c>
      <c r="N56" s="41" t="str">
        <f>VLOOKUP(M:M,Unit!B:C,2,0)</f>
        <v>ml</v>
      </c>
      <c r="O56" s="41" t="s">
        <v>67</v>
      </c>
      <c r="P56" s="41">
        <v>3</v>
      </c>
      <c r="Q56" s="41" t="s">
        <v>68</v>
      </c>
      <c r="R56" s="41" t="str">
        <f>VLOOKUP(Q:Q,Unit!B:D,2,0)</f>
        <v>pc</v>
      </c>
      <c r="S56" s="41" t="s">
        <v>75</v>
      </c>
      <c r="T56" s="41" t="str">
        <f>VLOOKUP(S:S,Promo!B:D,2,0)</f>
        <v>Promo EN</v>
      </c>
      <c r="W56" s="41">
        <v>47</v>
      </c>
      <c r="X56" s="41">
        <v>37.5</v>
      </c>
      <c r="AB56" s="41" t="s">
        <v>91</v>
      </c>
      <c r="AF56" s="41" t="s">
        <v>3373</v>
      </c>
      <c r="AG56" s="41" t="s">
        <v>71</v>
      </c>
      <c r="AH56" s="41" t="s">
        <v>71</v>
      </c>
      <c r="AI56" s="41" t="s">
        <v>71</v>
      </c>
      <c r="AJ56" s="41" t="s">
        <v>71</v>
      </c>
      <c r="AK56" s="41" t="s">
        <v>71</v>
      </c>
      <c r="AL56" s="41" t="s">
        <v>71</v>
      </c>
      <c r="AQ56" s="41" t="s">
        <v>2104</v>
      </c>
      <c r="AR56" s="41" t="s">
        <v>2162</v>
      </c>
      <c r="BS56" s="41" t="s">
        <v>2058</v>
      </c>
      <c r="BT56" s="41" t="s">
        <v>72</v>
      </c>
      <c r="BW56" s="41" t="s">
        <v>72</v>
      </c>
      <c r="BX56" s="41">
        <f>VLOOKUP(B:B,Brand!B:D,3,0)</f>
        <v>473</v>
      </c>
      <c r="BY56" s="41">
        <f>VLOOKUP(M:M,Unit!B:D,3,0)</f>
        <v>4</v>
      </c>
      <c r="BZ56" s="41">
        <f>VLOOKUP(S:S,Promo!B:D,3,0)</f>
        <v>0</v>
      </c>
    </row>
    <row r="57" spans="1:78" s="41" customFormat="1" ht="15.75" customHeight="1">
      <c r="A57" s="41">
        <v>119757</v>
      </c>
      <c r="B57" s="41" t="s">
        <v>175</v>
      </c>
      <c r="C57" s="65" t="str">
        <f>VLOOKUP(B:B,Brand!B:C,2,0)</f>
        <v>Haiter</v>
      </c>
      <c r="D57" s="63">
        <f>VLOOKUP(E:E,'Product Category'!J:O,6,FALSE)</f>
        <v>59</v>
      </c>
      <c r="E57" s="41" t="s">
        <v>2107</v>
      </c>
      <c r="F57" s="63" t="str">
        <f>VLOOKUP(E:E,'Product Category'!J:K,2,FALSE)</f>
        <v>9-Laundry</v>
      </c>
      <c r="G57" s="63" t="str">
        <f>VLOOKUP(F:F,'Product Category'!K:L,2,FALSE)</f>
        <v>1-Households</v>
      </c>
      <c r="H57" s="41" t="s">
        <v>4237</v>
      </c>
      <c r="I57" s="41" t="s">
        <v>4238</v>
      </c>
      <c r="J57" s="41" t="s">
        <v>5075</v>
      </c>
      <c r="K57" s="41" t="s">
        <v>5076</v>
      </c>
      <c r="L57" s="41">
        <v>2500</v>
      </c>
      <c r="M57" s="41" t="s">
        <v>66</v>
      </c>
      <c r="N57" s="41" t="str">
        <f>VLOOKUP(M:M,Unit!B:C,2,0)</f>
        <v>ml</v>
      </c>
      <c r="O57" s="41" t="s">
        <v>67</v>
      </c>
      <c r="P57" s="41">
        <v>1</v>
      </c>
      <c r="Q57" s="41" t="s">
        <v>2152</v>
      </c>
      <c r="R57" s="41" t="str">
        <f>VLOOKUP(Q:Q,Unit!B:D,2,0)</f>
        <v>gal</v>
      </c>
      <c r="S57" s="41" t="s">
        <v>75</v>
      </c>
      <c r="T57" s="41" t="str">
        <f>VLOOKUP(S:S,Promo!B:D,2,0)</f>
        <v>Promo EN</v>
      </c>
      <c r="W57" s="41">
        <v>72</v>
      </c>
      <c r="X57" s="41">
        <v>69</v>
      </c>
      <c r="AB57" s="41" t="s">
        <v>2062</v>
      </c>
      <c r="AG57" s="41" t="s">
        <v>71</v>
      </c>
      <c r="AH57" s="41" t="s">
        <v>71</v>
      </c>
      <c r="AI57" s="41" t="s">
        <v>71</v>
      </c>
      <c r="AJ57" s="41" t="s">
        <v>71</v>
      </c>
      <c r="AK57" s="41" t="s">
        <v>71</v>
      </c>
      <c r="AL57" s="41" t="s">
        <v>71</v>
      </c>
      <c r="BS57" s="41" t="s">
        <v>2058</v>
      </c>
      <c r="BT57" s="41" t="s">
        <v>72</v>
      </c>
      <c r="BW57" s="41" t="s">
        <v>72</v>
      </c>
      <c r="BX57" s="41">
        <f>VLOOKUP(B:B,Brand!B:D,3,0)</f>
        <v>756</v>
      </c>
      <c r="BY57" s="41">
        <f>VLOOKUP(M:M,Unit!B:D,3,0)</f>
        <v>4</v>
      </c>
      <c r="BZ57" s="41">
        <f>VLOOKUP(S:S,Promo!B:D,3,0)</f>
        <v>0</v>
      </c>
    </row>
    <row r="58" spans="1:78" s="41" customFormat="1" ht="15.75" customHeight="1">
      <c r="A58" s="41">
        <v>377507</v>
      </c>
      <c r="B58" s="41" t="s">
        <v>1181</v>
      </c>
      <c r="C58" s="65" t="str">
        <f>VLOOKUP(B:B,Brand!B:C,2,0)</f>
        <v>Hanfa</v>
      </c>
      <c r="D58" s="63">
        <f>VLOOKUP(E:E,'Product Category'!J:O,6,FALSE)</f>
        <v>64</v>
      </c>
      <c r="E58" s="41" t="s">
        <v>2204</v>
      </c>
      <c r="F58" s="63" t="str">
        <f>VLOOKUP(E:E,'Product Category'!J:K,2,FALSE)</f>
        <v>10-Home Frangnance</v>
      </c>
      <c r="G58" s="63" t="str">
        <f>VLOOKUP(F:F,'Product Category'!K:L,2,FALSE)</f>
        <v>1-Households</v>
      </c>
      <c r="H58" s="41" t="s">
        <v>4204</v>
      </c>
      <c r="I58" s="41" t="s">
        <v>4205</v>
      </c>
      <c r="J58" s="65" t="str">
        <f>TRIM(CONCATENATE(B58," ",H58," ",L58," ",M58," ",O58,P58," ",Q58))</f>
        <v>ห่านฟ้า ยาจุดกันยุง 10 ขด x6 กล่อง</v>
      </c>
      <c r="K58" s="80" t="str">
        <f>TRIM(CONCATENATE(C58," ",I58," ",L58," ",N58," ",O58,P58," ",R58))</f>
        <v>Hanfa SWAN MOSQUITO-COIL 10 roll x6 box</v>
      </c>
      <c r="L58" s="41">
        <v>10</v>
      </c>
      <c r="M58" s="41" t="s">
        <v>1800</v>
      </c>
      <c r="N58" s="41" t="str">
        <f>VLOOKUP(M:M,Unit!B:C,2,0)</f>
        <v>roll</v>
      </c>
      <c r="O58" s="41" t="s">
        <v>67</v>
      </c>
      <c r="P58" s="41">
        <v>6</v>
      </c>
      <c r="Q58" s="41" t="s">
        <v>104</v>
      </c>
      <c r="R58" s="41" t="str">
        <f>VLOOKUP(Q:Q,Unit!B:D,2,0)</f>
        <v>box</v>
      </c>
      <c r="S58" s="41" t="s">
        <v>75</v>
      </c>
      <c r="T58" s="41" t="str">
        <f>VLOOKUP(S:S,Promo!B:D,2,0)</f>
        <v>Promo EN</v>
      </c>
      <c r="W58" s="41">
        <v>92</v>
      </c>
      <c r="X58" s="41">
        <v>89</v>
      </c>
      <c r="AB58" s="41" t="s">
        <v>91</v>
      </c>
      <c r="AG58" s="41" t="s">
        <v>71</v>
      </c>
      <c r="AH58" s="41" t="s">
        <v>71</v>
      </c>
      <c r="AI58" s="41" t="s">
        <v>71</v>
      </c>
      <c r="AJ58" s="41" t="s">
        <v>71</v>
      </c>
      <c r="AK58" s="41" t="s">
        <v>71</v>
      </c>
      <c r="AL58" s="41" t="s">
        <v>71</v>
      </c>
      <c r="BS58" s="41" t="s">
        <v>2058</v>
      </c>
      <c r="BT58" s="41" t="s">
        <v>72</v>
      </c>
      <c r="BW58" s="41" t="s">
        <v>72</v>
      </c>
      <c r="BX58" s="41">
        <f>VLOOKUP(B:B,Brand!B:D,3,0)</f>
        <v>641</v>
      </c>
      <c r="BY58" s="41">
        <f>VLOOKUP(M:M,Unit!B:D,3,0)</f>
        <v>14</v>
      </c>
      <c r="BZ58" s="41">
        <f>VLOOKUP(S:S,Promo!B:D,3,0)</f>
        <v>0</v>
      </c>
    </row>
    <row r="59" spans="1:78" s="41" customFormat="1" ht="15.75" customHeight="1">
      <c r="A59" s="41">
        <v>237494</v>
      </c>
      <c r="B59" s="41" t="s">
        <v>1129</v>
      </c>
      <c r="C59" s="65" t="str">
        <f>VLOOKUP(B:B,Brand!B:C,2,0)</f>
        <v>Scott</v>
      </c>
      <c r="D59" s="63">
        <f>VLOOKUP(E:E,'Product Category'!J:O,6,FALSE)</f>
        <v>66</v>
      </c>
      <c r="E59" s="41" t="s">
        <v>2076</v>
      </c>
      <c r="F59" s="63" t="str">
        <f>VLOOKUP(E:E,'Product Category'!J:K,2,FALSE)</f>
        <v>11-Tissue &amp; Papers</v>
      </c>
      <c r="G59" s="63" t="str">
        <f>VLOOKUP(F:F,'Product Category'!K:L,2,FALSE)</f>
        <v>1-Households</v>
      </c>
      <c r="H59" s="41" t="s">
        <v>3667</v>
      </c>
      <c r="I59" s="41" t="s">
        <v>3668</v>
      </c>
      <c r="J59" s="65" t="str">
        <f>TRIM(CONCATENATE(B59," ",H59," ",L59," ",M59," ",O59,P59," ",Q59))</f>
        <v>สก๊อตต์ เอ็กซ์ตร้า กระดาษชำระ ความยาวพิเศษ 12 ม้วน x1 แพ็ค</v>
      </c>
      <c r="K59" s="80" t="str">
        <f>TRIM(CONCATENATE(C59," ",I59," ",L59," ",N59," ",O59,P59," ",R59))</f>
        <v>Scott Extra Big Roll Toilet Tissue 12 roll x1 pack</v>
      </c>
      <c r="L59" s="41">
        <v>12</v>
      </c>
      <c r="M59" s="41" t="s">
        <v>177</v>
      </c>
      <c r="N59" s="41" t="str">
        <f>VLOOKUP(M:M,Unit!B:C,2,0)</f>
        <v>roll</v>
      </c>
      <c r="O59" s="41" t="s">
        <v>67</v>
      </c>
      <c r="P59" s="41">
        <v>1</v>
      </c>
      <c r="Q59" s="41" t="s">
        <v>179</v>
      </c>
      <c r="R59" s="41" t="str">
        <f>VLOOKUP(Q:Q,Unit!B:D,2,0)</f>
        <v>pack</v>
      </c>
      <c r="S59" s="41" t="s">
        <v>75</v>
      </c>
      <c r="T59" s="41" t="str">
        <f>VLOOKUP(S:S,Promo!B:D,2,0)</f>
        <v>Promo EN</v>
      </c>
      <c r="W59" s="41">
        <v>119</v>
      </c>
      <c r="X59" s="41">
        <v>109</v>
      </c>
      <c r="AB59" s="41" t="s">
        <v>91</v>
      </c>
      <c r="AG59" s="41" t="s">
        <v>71</v>
      </c>
      <c r="AH59" s="41" t="s">
        <v>71</v>
      </c>
      <c r="AI59" s="41" t="s">
        <v>71</v>
      </c>
      <c r="AJ59" s="41" t="s">
        <v>71</v>
      </c>
      <c r="AK59" s="41" t="s">
        <v>71</v>
      </c>
      <c r="AL59" s="41" t="s">
        <v>71</v>
      </c>
      <c r="AP59" s="41" t="s">
        <v>3669</v>
      </c>
      <c r="BS59" s="41" t="s">
        <v>2058</v>
      </c>
      <c r="BT59" s="41" t="s">
        <v>72</v>
      </c>
      <c r="BW59" s="41" t="s">
        <v>72</v>
      </c>
      <c r="BX59" s="41">
        <f>VLOOKUP(B:B,Brand!B:D,3,0)</f>
        <v>610</v>
      </c>
      <c r="BY59" s="41">
        <f>VLOOKUP(M:M,Unit!B:D,3,0)</f>
        <v>13</v>
      </c>
      <c r="BZ59" s="41">
        <f>VLOOKUP(S:S,Promo!B:D,3,0)</f>
        <v>0</v>
      </c>
    </row>
    <row r="60" spans="1:78" s="41" customFormat="1" ht="15.75" customHeight="1">
      <c r="A60" s="41">
        <v>123287</v>
      </c>
      <c r="B60" s="41" t="s">
        <v>1135</v>
      </c>
      <c r="C60" s="65" t="str">
        <f>VLOOKUP(B:B,Brand!B:C,2,0)</f>
        <v>Scott extra</v>
      </c>
      <c r="D60" s="63">
        <f>VLOOKUP(E:E,'Product Category'!J:O,6,FALSE)</f>
        <v>66</v>
      </c>
      <c r="E60" s="41" t="s">
        <v>2076</v>
      </c>
      <c r="F60" s="63" t="str">
        <f>VLOOKUP(E:E,'Product Category'!J:K,2,FALSE)</f>
        <v>11-Tissue &amp; Papers</v>
      </c>
      <c r="G60" s="63" t="str">
        <f>VLOOKUP(F:F,'Product Category'!K:L,2,FALSE)</f>
        <v>1-Households</v>
      </c>
      <c r="H60" s="41" t="s">
        <v>3687</v>
      </c>
      <c r="I60" s="41" t="s">
        <v>3688</v>
      </c>
      <c r="J60" s="65" t="str">
        <f>TRIM(CONCATENATE(B60," ",H60," ",L60," ",M60," ",O60,P60," ",Q60))</f>
        <v>สก๊อตต์เอ็กซ์ตร้า กระดาษชำระ ความยาว2เท่า 24 ม้วน x1 แพ็ค</v>
      </c>
      <c r="K60" s="80" t="str">
        <f>TRIM(CONCATENATE(C60," ",I60," ",L60," ",N60," ",O60,P60," ",R60))</f>
        <v>Scott extra EXTRA DOUBLE ROLL 24 roll x1 pack</v>
      </c>
      <c r="L60" s="41">
        <v>24</v>
      </c>
      <c r="M60" s="41" t="s">
        <v>177</v>
      </c>
      <c r="N60" s="41" t="str">
        <f>VLOOKUP(M:M,Unit!B:C,2,0)</f>
        <v>roll</v>
      </c>
      <c r="O60" s="41" t="s">
        <v>67</v>
      </c>
      <c r="P60" s="41">
        <v>1</v>
      </c>
      <c r="Q60" s="41" t="s">
        <v>179</v>
      </c>
      <c r="R60" s="41" t="str">
        <f>VLOOKUP(Q:Q,Unit!B:D,2,0)</f>
        <v>pack</v>
      </c>
      <c r="S60" s="41" t="s">
        <v>75</v>
      </c>
      <c r="T60" s="41" t="str">
        <f>VLOOKUP(S:S,Promo!B:D,2,0)</f>
        <v>Promo EN</v>
      </c>
      <c r="W60" s="41">
        <v>264</v>
      </c>
      <c r="X60" s="41">
        <v>229</v>
      </c>
      <c r="AB60" s="41" t="s">
        <v>91</v>
      </c>
      <c r="AF60" s="41" t="s">
        <v>3373</v>
      </c>
      <c r="AG60" s="41" t="s">
        <v>71</v>
      </c>
      <c r="AH60" s="41" t="s">
        <v>71</v>
      </c>
      <c r="AI60" s="41" t="s">
        <v>71</v>
      </c>
      <c r="AJ60" s="41" t="s">
        <v>71</v>
      </c>
      <c r="AK60" s="41" t="s">
        <v>71</v>
      </c>
      <c r="AL60" s="41" t="s">
        <v>71</v>
      </c>
      <c r="BS60" s="41" t="s">
        <v>2058</v>
      </c>
      <c r="BT60" s="41" t="s">
        <v>72</v>
      </c>
      <c r="BW60" s="41" t="s">
        <v>72</v>
      </c>
      <c r="BX60" s="41">
        <f>VLOOKUP(B:B,Brand!B:D,3,0)</f>
        <v>613</v>
      </c>
      <c r="BY60" s="41">
        <f>VLOOKUP(M:M,Unit!B:D,3,0)</f>
        <v>13</v>
      </c>
      <c r="BZ60" s="41">
        <f>VLOOKUP(S:S,Promo!B:D,3,0)</f>
        <v>0</v>
      </c>
    </row>
    <row r="61" spans="1:78" s="41" customFormat="1" ht="15.75" customHeight="1">
      <c r="A61" s="41">
        <v>85358</v>
      </c>
      <c r="B61" s="41" t="s">
        <v>2683</v>
      </c>
      <c r="C61" s="65" t="str">
        <f>VLOOKUP(B:B,Brand!B:C,2,0)</f>
        <v>Zilk</v>
      </c>
      <c r="D61" s="63">
        <f>VLOOKUP(E:E,'Product Category'!J:O,6,FALSE)</f>
        <v>66</v>
      </c>
      <c r="E61" s="41" t="s">
        <v>2076</v>
      </c>
      <c r="F61" s="63" t="str">
        <f>VLOOKUP(E:E,'Product Category'!J:K,2,FALSE)</f>
        <v>11-Tissue &amp; Papers</v>
      </c>
      <c r="G61" s="63" t="str">
        <f>VLOOKUP(F:F,'Product Category'!K:L,2,FALSE)</f>
        <v>1-Households</v>
      </c>
      <c r="H61" s="41" t="s">
        <v>4239</v>
      </c>
      <c r="I61" s="41" t="s">
        <v>2483</v>
      </c>
      <c r="J61" s="41" t="s">
        <v>5077</v>
      </c>
      <c r="K61" s="41" t="s">
        <v>5078</v>
      </c>
      <c r="L61" s="41">
        <v>48</v>
      </c>
      <c r="M61" s="41" t="s">
        <v>177</v>
      </c>
      <c r="N61" s="41" t="str">
        <f>VLOOKUP(M:M,Unit!B:C,2,0)</f>
        <v>roll</v>
      </c>
      <c r="O61" s="41" t="s">
        <v>67</v>
      </c>
      <c r="P61" s="41">
        <v>1</v>
      </c>
      <c r="Q61" s="41" t="s">
        <v>179</v>
      </c>
      <c r="R61" s="41" t="str">
        <f>VLOOKUP(Q:Q,Unit!B:D,2,0)</f>
        <v>pack</v>
      </c>
      <c r="S61" s="41" t="s">
        <v>75</v>
      </c>
      <c r="T61" s="41" t="str">
        <f>VLOOKUP(S:S,Promo!B:D,2,0)</f>
        <v>Promo EN</v>
      </c>
      <c r="W61" s="41">
        <v>269</v>
      </c>
      <c r="X61" s="41">
        <v>239</v>
      </c>
      <c r="AB61" s="41" t="s">
        <v>2062</v>
      </c>
      <c r="AG61" s="41" t="s">
        <v>71</v>
      </c>
      <c r="AH61" s="41" t="s">
        <v>71</v>
      </c>
      <c r="AI61" s="41" t="s">
        <v>71</v>
      </c>
      <c r="AJ61" s="41" t="s">
        <v>71</v>
      </c>
      <c r="AK61" s="41" t="s">
        <v>71</v>
      </c>
      <c r="AL61" s="41" t="s">
        <v>71</v>
      </c>
      <c r="BS61" s="41" t="s">
        <v>2058</v>
      </c>
      <c r="BT61" s="41" t="s">
        <v>72</v>
      </c>
      <c r="BW61" s="41" t="s">
        <v>72</v>
      </c>
      <c r="BX61" s="41">
        <f>VLOOKUP(B:B,Brand!B:D,3,0)</f>
        <v>1106</v>
      </c>
      <c r="BY61" s="41">
        <f>VLOOKUP(M:M,Unit!B:D,3,0)</f>
        <v>13</v>
      </c>
      <c r="BZ61" s="41">
        <f>VLOOKUP(S:S,Promo!B:D,3,0)</f>
        <v>0</v>
      </c>
    </row>
    <row r="62" spans="1:78" s="41" customFormat="1" ht="15.75" customHeight="1">
      <c r="A62" s="41">
        <v>100867</v>
      </c>
      <c r="B62" s="41" t="s">
        <v>171</v>
      </c>
      <c r="C62" s="65" t="str">
        <f>VLOOKUP(B:B,Brand!B:C,2,0)</f>
        <v>Magiclean</v>
      </c>
      <c r="D62" s="63">
        <f>VLOOKUP(E:E,'Product Category'!J:O,6,FALSE)</f>
        <v>69</v>
      </c>
      <c r="E62" s="41" t="s">
        <v>2081</v>
      </c>
      <c r="F62" s="63" t="str">
        <f>VLOOKUP(E:E,'Product Category'!J:K,2,FALSE)</f>
        <v>12-Cleaning</v>
      </c>
      <c r="G62" s="63" t="str">
        <f>VLOOKUP(F:F,'Product Category'!K:L,2,FALSE)</f>
        <v>1-Households</v>
      </c>
      <c r="H62" s="41" t="s">
        <v>3459</v>
      </c>
      <c r="I62" s="41" t="s">
        <v>3460</v>
      </c>
      <c r="J62" s="41" t="s">
        <v>4539</v>
      </c>
      <c r="K62" s="41" t="s">
        <v>4540</v>
      </c>
      <c r="L62" s="41">
        <v>5200</v>
      </c>
      <c r="M62" s="41" t="s">
        <v>66</v>
      </c>
      <c r="N62" s="41" t="str">
        <f>VLOOKUP(M:M,Unit!B:C,2,0)</f>
        <v>ml</v>
      </c>
      <c r="O62" s="41" t="s">
        <v>67</v>
      </c>
      <c r="P62" s="41">
        <v>1</v>
      </c>
      <c r="Q62" s="41" t="s">
        <v>2152</v>
      </c>
      <c r="R62" s="41" t="str">
        <f>VLOOKUP(Q:Q,Unit!B:D,2,0)</f>
        <v>gal</v>
      </c>
      <c r="S62" s="41" t="s">
        <v>75</v>
      </c>
      <c r="T62" s="41" t="str">
        <f>VLOOKUP(S:S,Promo!B:D,2,0)</f>
        <v>Promo EN</v>
      </c>
      <c r="W62" s="41">
        <v>189</v>
      </c>
      <c r="X62" s="41">
        <v>162</v>
      </c>
      <c r="AB62" s="41" t="s">
        <v>2056</v>
      </c>
      <c r="AF62" s="41" t="s">
        <v>3373</v>
      </c>
      <c r="AG62" s="41" t="s">
        <v>71</v>
      </c>
      <c r="AH62" s="41" t="s">
        <v>71</v>
      </c>
      <c r="AI62" s="41" t="s">
        <v>71</v>
      </c>
      <c r="AJ62" s="41" t="s">
        <v>71</v>
      </c>
      <c r="AK62" s="41" t="s">
        <v>71</v>
      </c>
      <c r="AL62" s="41" t="s">
        <v>71</v>
      </c>
      <c r="BS62" s="41" t="s">
        <v>2058</v>
      </c>
      <c r="BT62" s="41" t="s">
        <v>72</v>
      </c>
      <c r="BW62" s="41" t="s">
        <v>72</v>
      </c>
      <c r="BX62" s="41">
        <f>VLOOKUP(B:B,Brand!B:D,3,0)</f>
        <v>491</v>
      </c>
      <c r="BY62" s="41">
        <f>VLOOKUP(M:M,Unit!B:D,3,0)</f>
        <v>4</v>
      </c>
      <c r="BZ62" s="41">
        <f>VLOOKUP(S:S,Promo!B:D,3,0)</f>
        <v>0</v>
      </c>
    </row>
    <row r="63" spans="1:78" s="41" customFormat="1" ht="15.75" customHeight="1">
      <c r="A63" s="41">
        <v>129445</v>
      </c>
      <c r="B63" s="41" t="s">
        <v>171</v>
      </c>
      <c r="C63" s="65" t="str">
        <f>VLOOKUP(B:B,Brand!B:C,2,0)</f>
        <v>Magiclean</v>
      </c>
      <c r="D63" s="63">
        <f>VLOOKUP(E:E,'Product Category'!J:O,6,FALSE)</f>
        <v>69</v>
      </c>
      <c r="E63" s="41" t="s">
        <v>2081</v>
      </c>
      <c r="F63" s="63" t="str">
        <f>VLOOKUP(E:E,'Product Category'!J:K,2,FALSE)</f>
        <v>12-Cleaning</v>
      </c>
      <c r="G63" s="63" t="str">
        <f>VLOOKUP(F:F,'Product Category'!K:L,2,FALSE)</f>
        <v>1-Households</v>
      </c>
      <c r="H63" s="41" t="s">
        <v>3692</v>
      </c>
      <c r="I63" s="41" t="s">
        <v>3460</v>
      </c>
      <c r="J63" s="41" t="s">
        <v>4703</v>
      </c>
      <c r="K63" s="41" t="s">
        <v>4704</v>
      </c>
      <c r="L63" s="41">
        <v>800</v>
      </c>
      <c r="M63" s="41" t="s">
        <v>66</v>
      </c>
      <c r="N63" s="41" t="str">
        <f>VLOOKUP(M:M,Unit!B:C,2,0)</f>
        <v>ml</v>
      </c>
      <c r="O63" s="41" t="s">
        <v>67</v>
      </c>
      <c r="P63" s="41">
        <v>3</v>
      </c>
      <c r="Q63" s="41" t="s">
        <v>68</v>
      </c>
      <c r="R63" s="41" t="str">
        <f>VLOOKUP(Q:Q,Unit!B:D,2,0)</f>
        <v>pc</v>
      </c>
      <c r="S63" s="41" t="s">
        <v>75</v>
      </c>
      <c r="T63" s="41" t="str">
        <f>VLOOKUP(S:S,Promo!B:D,2,0)</f>
        <v>Promo EN</v>
      </c>
      <c r="W63" s="41">
        <v>120</v>
      </c>
      <c r="X63" s="41">
        <v>99</v>
      </c>
      <c r="AB63" s="41" t="s">
        <v>91</v>
      </c>
      <c r="AG63" s="41" t="s">
        <v>71</v>
      </c>
      <c r="AH63" s="41" t="s">
        <v>71</v>
      </c>
      <c r="AI63" s="41" t="s">
        <v>71</v>
      </c>
      <c r="AJ63" s="41" t="s">
        <v>71</v>
      </c>
      <c r="AK63" s="41" t="s">
        <v>71</v>
      </c>
      <c r="AL63" s="41" t="s">
        <v>71</v>
      </c>
      <c r="AQ63" s="41" t="s">
        <v>2087</v>
      </c>
      <c r="AR63" s="41" t="s">
        <v>2162</v>
      </c>
      <c r="BS63" s="41" t="s">
        <v>2058</v>
      </c>
      <c r="BT63" s="41" t="s">
        <v>72</v>
      </c>
      <c r="BW63" s="41" t="s">
        <v>72</v>
      </c>
      <c r="BX63" s="41">
        <f>VLOOKUP(B:B,Brand!B:D,3,0)</f>
        <v>491</v>
      </c>
      <c r="BY63" s="41">
        <f>VLOOKUP(M:M,Unit!B:D,3,0)</f>
        <v>4</v>
      </c>
      <c r="BZ63" s="41">
        <f>VLOOKUP(S:S,Promo!B:D,3,0)</f>
        <v>0</v>
      </c>
    </row>
    <row r="64" spans="1:78" s="41" customFormat="1" ht="15.75" customHeight="1">
      <c r="A64" s="41">
        <v>950794</v>
      </c>
      <c r="B64" s="41" t="s">
        <v>1089</v>
      </c>
      <c r="C64" s="65" t="str">
        <f>VLOOKUP(B:B,Brand!B:C,2,0)</f>
        <v>Lipon F</v>
      </c>
      <c r="D64" s="63">
        <f>VLOOKUP(E:E,'Product Category'!J:O,6,FALSE)</f>
        <v>74</v>
      </c>
      <c r="E64" s="41" t="s">
        <v>2074</v>
      </c>
      <c r="F64" s="63" t="str">
        <f>VLOOKUP(E:E,'Product Category'!J:K,2,FALSE)</f>
        <v>12-Cleaning</v>
      </c>
      <c r="G64" s="63" t="str">
        <f>VLOOKUP(F:F,'Product Category'!K:L,2,FALSE)</f>
        <v>1-Households</v>
      </c>
      <c r="H64" s="41" t="s">
        <v>3702</v>
      </c>
      <c r="I64" s="41" t="s">
        <v>3703</v>
      </c>
      <c r="J64" s="41" t="s">
        <v>4711</v>
      </c>
      <c r="K64" s="41" t="s">
        <v>4712</v>
      </c>
      <c r="L64" s="41">
        <v>550</v>
      </c>
      <c r="M64" s="41" t="s">
        <v>66</v>
      </c>
      <c r="N64" s="41" t="str">
        <f>VLOOKUP(M:M,Unit!B:C,2,0)</f>
        <v>ml</v>
      </c>
      <c r="O64" s="41" t="s">
        <v>67</v>
      </c>
      <c r="P64" s="41">
        <v>3</v>
      </c>
      <c r="Q64" s="41" t="s">
        <v>68</v>
      </c>
      <c r="R64" s="41" t="str">
        <f>VLOOKUP(Q:Q,Unit!B:D,2,0)</f>
        <v>pc</v>
      </c>
      <c r="S64" s="41" t="s">
        <v>186</v>
      </c>
      <c r="T64" s="41" t="str">
        <f>VLOOKUP(S:S,Promo!B:D,2,0)</f>
        <v>buy 2 get 1</v>
      </c>
      <c r="X64" s="41">
        <v>72</v>
      </c>
      <c r="AB64" s="41" t="s">
        <v>91</v>
      </c>
      <c r="AG64" s="41" t="s">
        <v>71</v>
      </c>
      <c r="AH64" s="41" t="s">
        <v>71</v>
      </c>
      <c r="AI64" s="41" t="s">
        <v>71</v>
      </c>
      <c r="AJ64" s="41" t="s">
        <v>71</v>
      </c>
      <c r="AK64" s="41" t="s">
        <v>71</v>
      </c>
      <c r="AL64" s="41" t="s">
        <v>71</v>
      </c>
      <c r="BS64" s="41" t="s">
        <v>2058</v>
      </c>
      <c r="BT64" s="41" t="s">
        <v>72</v>
      </c>
      <c r="BW64" s="41" t="s">
        <v>72</v>
      </c>
      <c r="BX64" s="41">
        <f>VLOOKUP(B:B,Brand!B:D,3,0)</f>
        <v>587</v>
      </c>
      <c r="BY64" s="41">
        <f>VLOOKUP(M:M,Unit!B:D,3,0)</f>
        <v>4</v>
      </c>
      <c r="BZ64" s="41">
        <f>VLOOKUP(S:S,Promo!B:D,3,0)</f>
        <v>2</v>
      </c>
    </row>
    <row r="65" spans="1:78" s="41" customFormat="1" ht="15.75" customHeight="1">
      <c r="A65" s="41">
        <v>263458</v>
      </c>
      <c r="B65" s="41" t="s">
        <v>174</v>
      </c>
      <c r="C65" s="65" t="str">
        <f>VLOOKUP(B:B,Brand!B:C,2,0)</f>
        <v>Sunlight</v>
      </c>
      <c r="D65" s="63">
        <f>VLOOKUP(E:E,'Product Category'!J:O,6,FALSE)</f>
        <v>74</v>
      </c>
      <c r="E65" s="41" t="s">
        <v>2074</v>
      </c>
      <c r="F65" s="63" t="str">
        <f>VLOOKUP(E:E,'Product Category'!J:K,2,FALSE)</f>
        <v>12-Cleaning</v>
      </c>
      <c r="G65" s="63" t="str">
        <f>VLOOKUP(F:F,'Product Category'!K:L,2,FALSE)</f>
        <v>1-Households</v>
      </c>
      <c r="H65" s="41" t="s">
        <v>3769</v>
      </c>
      <c r="I65" s="41" t="s">
        <v>3770</v>
      </c>
      <c r="J65" s="41" t="s">
        <v>4765</v>
      </c>
      <c r="K65" s="41" t="s">
        <v>4766</v>
      </c>
      <c r="L65" s="41">
        <v>20</v>
      </c>
      <c r="M65" s="41" t="s">
        <v>94</v>
      </c>
      <c r="N65" s="41" t="str">
        <f>VLOOKUP(M:M,Unit!B:C,2,0)</f>
        <v>L</v>
      </c>
      <c r="O65" s="41" t="s">
        <v>67</v>
      </c>
      <c r="P65" s="41">
        <v>1</v>
      </c>
      <c r="Q65" s="41" t="s">
        <v>2152</v>
      </c>
      <c r="R65" s="41" t="str">
        <f>VLOOKUP(Q:Q,Unit!B:D,2,0)</f>
        <v>gal</v>
      </c>
      <c r="S65" s="41" t="s">
        <v>75</v>
      </c>
      <c r="T65" s="41" t="str">
        <f>VLOOKUP(S:S,Promo!B:D,2,0)</f>
        <v>Promo EN</v>
      </c>
      <c r="W65" s="41">
        <v>869</v>
      </c>
      <c r="X65" s="41">
        <v>799</v>
      </c>
      <c r="AB65" s="41" t="s">
        <v>91</v>
      </c>
      <c r="AG65" s="41" t="s">
        <v>71</v>
      </c>
      <c r="AH65" s="41" t="s">
        <v>71</v>
      </c>
      <c r="AI65" s="41" t="s">
        <v>71</v>
      </c>
      <c r="AJ65" s="41" t="s">
        <v>71</v>
      </c>
      <c r="AK65" s="41" t="s">
        <v>71</v>
      </c>
      <c r="AL65" s="41" t="s">
        <v>71</v>
      </c>
      <c r="BS65" s="41" t="s">
        <v>2058</v>
      </c>
      <c r="BT65" s="41" t="s">
        <v>72</v>
      </c>
      <c r="BW65" s="41" t="s">
        <v>72</v>
      </c>
      <c r="BX65" s="41">
        <f>VLOOKUP(B:B,Brand!B:D,3,0)</f>
        <v>155</v>
      </c>
      <c r="BY65" s="41">
        <f>VLOOKUP(M:M,Unit!B:D,3,0)</f>
        <v>7</v>
      </c>
      <c r="BZ65" s="41">
        <f>VLOOKUP(S:S,Promo!B:D,3,0)</f>
        <v>0</v>
      </c>
    </row>
    <row r="66" spans="1:78" s="41" customFormat="1" ht="15.75" customHeight="1">
      <c r="A66" s="41">
        <v>327132</v>
      </c>
      <c r="B66" s="41" t="s">
        <v>1087</v>
      </c>
      <c r="C66" s="65" t="str">
        <f>VLOOKUP(B:B,Brand!B:C,2,0)</f>
        <v>Lipon</v>
      </c>
      <c r="D66" s="63">
        <f>VLOOKUP(E:E,'Product Category'!J:O,6,FALSE)</f>
        <v>74</v>
      </c>
      <c r="E66" s="41" t="s">
        <v>2074</v>
      </c>
      <c r="F66" s="63" t="str">
        <f>VLOOKUP(E:E,'Product Category'!J:K,2,FALSE)</f>
        <v>12-Cleaning</v>
      </c>
      <c r="G66" s="63" t="str">
        <f>VLOOKUP(F:F,'Product Category'!K:L,2,FALSE)</f>
        <v>1-Households</v>
      </c>
      <c r="H66" s="41" t="s">
        <v>4208</v>
      </c>
      <c r="I66" s="41" t="s">
        <v>4209</v>
      </c>
      <c r="J66" s="41" t="s">
        <v>5031</v>
      </c>
      <c r="K66" s="41" t="s">
        <v>5032</v>
      </c>
      <c r="L66" s="41">
        <v>3800</v>
      </c>
      <c r="M66" s="41" t="s">
        <v>66</v>
      </c>
      <c r="N66" s="41" t="str">
        <f>VLOOKUP(M:M,Unit!B:C,2,0)</f>
        <v>ml</v>
      </c>
      <c r="O66" s="41" t="s">
        <v>67</v>
      </c>
      <c r="P66" s="41">
        <v>1</v>
      </c>
      <c r="Q66" s="41" t="s">
        <v>2152</v>
      </c>
      <c r="R66" s="41" t="str">
        <f>VLOOKUP(Q:Q,Unit!B:D,2,0)</f>
        <v>gal</v>
      </c>
      <c r="S66" s="41" t="s">
        <v>75</v>
      </c>
      <c r="T66" s="41" t="str">
        <f>VLOOKUP(S:S,Promo!B:D,2,0)</f>
        <v>Promo EN</v>
      </c>
      <c r="W66" s="41">
        <v>133</v>
      </c>
      <c r="X66" s="41">
        <v>99</v>
      </c>
      <c r="AB66" s="41" t="s">
        <v>91</v>
      </c>
      <c r="AF66" s="41" t="s">
        <v>3373</v>
      </c>
      <c r="AG66" s="41" t="s">
        <v>71</v>
      </c>
      <c r="AH66" s="41" t="s">
        <v>71</v>
      </c>
      <c r="AI66" s="41" t="s">
        <v>71</v>
      </c>
      <c r="AJ66" s="41" t="s">
        <v>71</v>
      </c>
      <c r="AK66" s="41" t="s">
        <v>71</v>
      </c>
      <c r="AL66" s="41" t="s">
        <v>71</v>
      </c>
      <c r="BS66" s="41" t="s">
        <v>2058</v>
      </c>
      <c r="BT66" s="41" t="s">
        <v>72</v>
      </c>
      <c r="BW66" s="41" t="s">
        <v>72</v>
      </c>
      <c r="BX66" s="41">
        <f>VLOOKUP(B:B,Brand!B:D,3,0)</f>
        <v>586</v>
      </c>
      <c r="BY66" s="41">
        <f>VLOOKUP(M:M,Unit!B:D,3,0)</f>
        <v>4</v>
      </c>
      <c r="BZ66" s="41">
        <f>VLOOKUP(S:S,Promo!B:D,3,0)</f>
        <v>0</v>
      </c>
    </row>
    <row r="67" spans="1:78" s="41" customFormat="1" ht="15.75" customHeight="1">
      <c r="A67" s="41">
        <v>810871</v>
      </c>
      <c r="B67" s="41" t="s">
        <v>451</v>
      </c>
      <c r="C67" s="65" t="str">
        <f>VLOOKUP(B:B,Brand!B:C,2,0)</f>
        <v>Satin</v>
      </c>
      <c r="D67" s="63">
        <f>VLOOKUP(E:E,'Product Category'!J:O,6,FALSE)</f>
        <v>75</v>
      </c>
      <c r="E67" s="41" t="s">
        <v>2135</v>
      </c>
      <c r="F67" s="63" t="str">
        <f>VLOOKUP(E:E,'Product Category'!J:K,2,FALSE)</f>
        <v>13-Bedding</v>
      </c>
      <c r="G67" s="63" t="str">
        <f>VLOOKUP(F:F,'Product Category'!K:L,2,FALSE)</f>
        <v>1-Households</v>
      </c>
      <c r="H67" s="41" t="s">
        <v>4250</v>
      </c>
      <c r="I67" s="41" t="s">
        <v>4251</v>
      </c>
      <c r="J67" s="41" t="s">
        <v>5085</v>
      </c>
      <c r="K67" s="41" t="s">
        <v>5086</v>
      </c>
      <c r="L67" s="41">
        <v>1</v>
      </c>
      <c r="M67" s="41" t="s">
        <v>182</v>
      </c>
      <c r="N67" s="41" t="str">
        <f>VLOOKUP(M:M,Unit!B:C,2,0)</f>
        <v>pc</v>
      </c>
      <c r="O67" s="41" t="s">
        <v>67</v>
      </c>
      <c r="P67" s="41">
        <v>1</v>
      </c>
      <c r="Q67" s="41" t="s">
        <v>68</v>
      </c>
      <c r="R67" s="41" t="str">
        <f>VLOOKUP(Q:Q,Unit!B:D,2,0)</f>
        <v>pc</v>
      </c>
      <c r="S67" s="41" t="s">
        <v>4252</v>
      </c>
      <c r="T67" s="41" t="str">
        <f>VLOOKUP(S:S,Promo!B:D,2,0)</f>
        <v>Save 45% off</v>
      </c>
      <c r="W67" s="41">
        <v>599</v>
      </c>
      <c r="X67" s="41">
        <v>349</v>
      </c>
      <c r="AB67" s="41" t="s">
        <v>2056</v>
      </c>
      <c r="AG67" s="41" t="s">
        <v>71</v>
      </c>
      <c r="AH67" s="41" t="s">
        <v>71</v>
      </c>
      <c r="AI67" s="41" t="s">
        <v>71</v>
      </c>
      <c r="AJ67" s="41" t="s">
        <v>71</v>
      </c>
      <c r="AK67" s="41" t="s">
        <v>71</v>
      </c>
      <c r="AL67" s="41" t="s">
        <v>71</v>
      </c>
      <c r="BS67" s="41" t="s">
        <v>2058</v>
      </c>
      <c r="BT67" s="41" t="s">
        <v>72</v>
      </c>
      <c r="BW67" s="41" t="s">
        <v>72</v>
      </c>
      <c r="BX67" s="41">
        <f>VLOOKUP(B:B,Brand!B:D,3,0)</f>
        <v>1050</v>
      </c>
      <c r="BY67" s="41">
        <f>VLOOKUP(M:M,Unit!B:D,3,0)</f>
        <v>35</v>
      </c>
      <c r="BZ67" s="41">
        <f>VLOOKUP(S:S,Promo!B:D,3,0)</f>
        <v>38</v>
      </c>
    </row>
    <row r="68" spans="1:78" s="41" customFormat="1" ht="15.75" customHeight="1">
      <c r="A68" s="41">
        <v>818145</v>
      </c>
      <c r="B68" s="41" t="s">
        <v>451</v>
      </c>
      <c r="C68" s="65" t="str">
        <f>VLOOKUP(B:B,Brand!B:C,2,0)</f>
        <v>Satin</v>
      </c>
      <c r="D68" s="63">
        <f>VLOOKUP(E:E,'Product Category'!J:O,6,FALSE)</f>
        <v>75</v>
      </c>
      <c r="E68" s="41" t="s">
        <v>2135</v>
      </c>
      <c r="F68" s="63" t="str">
        <f>VLOOKUP(E:E,'Product Category'!J:K,2,FALSE)</f>
        <v>13-Bedding</v>
      </c>
      <c r="G68" s="63" t="str">
        <f>VLOOKUP(F:F,'Product Category'!K:L,2,FALSE)</f>
        <v>1-Households</v>
      </c>
      <c r="H68" s="41" t="s">
        <v>4298</v>
      </c>
      <c r="I68" s="41" t="s">
        <v>4299</v>
      </c>
      <c r="J68" s="41" t="s">
        <v>5113</v>
      </c>
      <c r="K68" s="41" t="s">
        <v>5114</v>
      </c>
      <c r="L68" s="41">
        <v>1</v>
      </c>
      <c r="M68" s="41" t="s">
        <v>100</v>
      </c>
      <c r="N68" s="41" t="str">
        <f>VLOOKUP(M:M,Unit!B:C,2,0)</f>
        <v>pc</v>
      </c>
      <c r="O68" s="41" t="s">
        <v>67</v>
      </c>
      <c r="P68" s="41">
        <v>1</v>
      </c>
      <c r="Q68" s="41" t="s">
        <v>68</v>
      </c>
      <c r="R68" s="41" t="str">
        <f>VLOOKUP(Q:Q,Unit!B:D,2,0)</f>
        <v>pc</v>
      </c>
      <c r="S68" s="41" t="s">
        <v>5262</v>
      </c>
      <c r="T68" s="41" t="str">
        <f>VLOOKUP(S:S,Promo!B:D,2,0)</f>
        <v>Save up to 45% off</v>
      </c>
      <c r="W68" s="41">
        <v>399</v>
      </c>
      <c r="X68" s="41">
        <v>219</v>
      </c>
      <c r="AB68" s="41" t="s">
        <v>2056</v>
      </c>
      <c r="AF68" s="41" t="s">
        <v>3373</v>
      </c>
      <c r="AG68" s="41" t="s">
        <v>71</v>
      </c>
      <c r="AH68" s="41" t="s">
        <v>71</v>
      </c>
      <c r="AI68" s="41" t="s">
        <v>71</v>
      </c>
      <c r="AJ68" s="41" t="s">
        <v>71</v>
      </c>
      <c r="AK68" s="41" t="s">
        <v>71</v>
      </c>
      <c r="AL68" s="41" t="s">
        <v>71</v>
      </c>
      <c r="BS68" s="41" t="s">
        <v>2058</v>
      </c>
      <c r="BT68" s="41" t="s">
        <v>72</v>
      </c>
      <c r="BW68" s="41" t="s">
        <v>72</v>
      </c>
      <c r="BX68" s="41">
        <f>VLOOKUP(B:B,Brand!B:D,3,0)</f>
        <v>1050</v>
      </c>
      <c r="BY68" s="41">
        <f>VLOOKUP(M:M,Unit!B:D,3,0)</f>
        <v>10</v>
      </c>
      <c r="BZ68" s="41">
        <f>VLOOKUP(S:S,Promo!B:D,3,0)</f>
        <v>37</v>
      </c>
    </row>
    <row r="69" spans="1:78" s="41" customFormat="1" ht="15.75" customHeight="1">
      <c r="A69" s="41">
        <v>103571</v>
      </c>
      <c r="B69" s="41" t="s">
        <v>451</v>
      </c>
      <c r="C69" s="65" t="str">
        <f>VLOOKUP(B:B,Brand!B:C,2,0)</f>
        <v>Satin</v>
      </c>
      <c r="D69" s="63">
        <f>VLOOKUP(E:E,'Product Category'!J:O,6,FALSE)</f>
        <v>75</v>
      </c>
      <c r="E69" s="41" t="s">
        <v>2135</v>
      </c>
      <c r="F69" s="63" t="str">
        <f>VLOOKUP(E:E,'Product Category'!J:K,2,FALSE)</f>
        <v>13-Bedding</v>
      </c>
      <c r="G69" s="63" t="str">
        <f>VLOOKUP(F:F,'Product Category'!K:L,2,FALSE)</f>
        <v>1-Households</v>
      </c>
      <c r="H69" s="41" t="s">
        <v>4355</v>
      </c>
      <c r="I69" s="41" t="s">
        <v>4356</v>
      </c>
      <c r="J69" s="41" t="s">
        <v>5126</v>
      </c>
      <c r="K69" s="41" t="s">
        <v>5127</v>
      </c>
      <c r="L69" s="41">
        <v>1</v>
      </c>
      <c r="M69" s="41" t="s">
        <v>100</v>
      </c>
      <c r="N69" s="41" t="str">
        <f>VLOOKUP(M:M,Unit!B:C,2,0)</f>
        <v>pc</v>
      </c>
      <c r="O69" s="41" t="s">
        <v>67</v>
      </c>
      <c r="P69" s="41">
        <v>1</v>
      </c>
      <c r="Q69" s="41" t="s">
        <v>68</v>
      </c>
      <c r="R69" s="41" t="str">
        <f>VLOOKUP(Q:Q,Unit!B:D,2,0)</f>
        <v>pc</v>
      </c>
      <c r="S69" s="41" t="s">
        <v>5262</v>
      </c>
      <c r="T69" s="41" t="str">
        <f>VLOOKUP(S:S,Promo!B:D,2,0)</f>
        <v>Save up to 45% off</v>
      </c>
      <c r="W69" s="41">
        <v>199</v>
      </c>
      <c r="X69" s="41">
        <v>179</v>
      </c>
      <c r="AB69" s="41" t="s">
        <v>91</v>
      </c>
      <c r="AF69" s="41" t="s">
        <v>3373</v>
      </c>
      <c r="AG69" s="41" t="s">
        <v>71</v>
      </c>
      <c r="AH69" s="41" t="s">
        <v>71</v>
      </c>
      <c r="AI69" s="41" t="s">
        <v>71</v>
      </c>
      <c r="AJ69" s="41" t="s">
        <v>71</v>
      </c>
      <c r="AK69" s="41" t="s">
        <v>71</v>
      </c>
      <c r="AL69" s="41" t="s">
        <v>71</v>
      </c>
      <c r="AS69" s="41" t="s">
        <v>4357</v>
      </c>
      <c r="AT69" s="41" t="s">
        <v>4358</v>
      </c>
      <c r="BS69" s="41" t="s">
        <v>2058</v>
      </c>
      <c r="BT69" s="41" t="s">
        <v>72</v>
      </c>
      <c r="BW69" s="41" t="s">
        <v>72</v>
      </c>
      <c r="BX69" s="41">
        <f>VLOOKUP(B:B,Brand!B:D,3,0)</f>
        <v>1050</v>
      </c>
      <c r="BY69" s="41">
        <f>VLOOKUP(M:M,Unit!B:D,3,0)</f>
        <v>10</v>
      </c>
      <c r="BZ69" s="41">
        <f>VLOOKUP(S:S,Promo!B:D,3,0)</f>
        <v>37</v>
      </c>
    </row>
    <row r="70" spans="1:78" s="41" customFormat="1" ht="15.75" customHeight="1">
      <c r="A70" s="41">
        <v>817679</v>
      </c>
      <c r="D70" s="63">
        <f>VLOOKUP(E:E,'Product Category'!J:O,6,FALSE)</f>
        <v>76</v>
      </c>
      <c r="E70" s="41" t="s">
        <v>2145</v>
      </c>
      <c r="F70" s="63" t="str">
        <f>VLOOKUP(E:E,'Product Category'!J:K,2,FALSE)</f>
        <v>13-Bedding</v>
      </c>
      <c r="G70" s="63" t="str">
        <f>VLOOKUP(F:F,'Product Category'!K:L,2,FALSE)</f>
        <v>1-Households</v>
      </c>
      <c r="H70" s="41" t="s">
        <v>4458</v>
      </c>
      <c r="I70" s="41" t="s">
        <v>4459</v>
      </c>
      <c r="J70" s="65" t="str">
        <f t="shared" ref="J70:J80" si="0">TRIM(CONCATENATE(B70," ",H70," ",L70," ",M70," ",O70,P70," ",Q70))</f>
        <v>ผ้าเช็ดตัวนาโน 12x12 นิ้ว (คละสี) 4 ผืน x1 แพ็ค</v>
      </c>
      <c r="K70" s="80" t="str">
        <f t="shared" ref="K70:K80" si="1">TRIM(CONCATENATE(C70," ",I70," ",L70," ",N70," ",O70,P70," ",R70))</f>
        <v>NANO FACE TOWEL 12X12 MIX COLOURS 4 pc x1 pack</v>
      </c>
      <c r="L70" s="41">
        <v>4</v>
      </c>
      <c r="M70" s="41" t="s">
        <v>182</v>
      </c>
      <c r="N70" s="41" t="str">
        <f>VLOOKUP(M:M,Unit!B:C,2,0)</f>
        <v>pc</v>
      </c>
      <c r="O70" s="41" t="s">
        <v>67</v>
      </c>
      <c r="P70" s="41">
        <v>1</v>
      </c>
      <c r="Q70" s="41" t="s">
        <v>179</v>
      </c>
      <c r="R70" s="41" t="str">
        <f>VLOOKUP(Q:Q,Unit!B:D,2,0)</f>
        <v>pack</v>
      </c>
      <c r="S70" s="41" t="s">
        <v>75</v>
      </c>
      <c r="T70" s="41" t="str">
        <f>VLOOKUP(S:S,Promo!B:D,2,0)</f>
        <v>Promo EN</v>
      </c>
      <c r="W70" s="41">
        <v>149</v>
      </c>
      <c r="X70" s="41">
        <v>99</v>
      </c>
      <c r="AB70" s="41" t="s">
        <v>2056</v>
      </c>
      <c r="AG70" s="41" t="s">
        <v>71</v>
      </c>
      <c r="AH70" s="41" t="s">
        <v>71</v>
      </c>
      <c r="AI70" s="41" t="s">
        <v>71</v>
      </c>
      <c r="AJ70" s="41" t="s">
        <v>71</v>
      </c>
      <c r="AK70" s="41" t="s">
        <v>71</v>
      </c>
      <c r="AL70" s="41" t="s">
        <v>71</v>
      </c>
      <c r="AS70" s="41" t="s">
        <v>4460</v>
      </c>
      <c r="AT70" s="41" t="s">
        <v>2285</v>
      </c>
      <c r="BS70" s="41" t="s">
        <v>2058</v>
      </c>
      <c r="BT70" s="41" t="s">
        <v>72</v>
      </c>
      <c r="BW70" s="41" t="s">
        <v>72</v>
      </c>
      <c r="BY70" s="41">
        <f>VLOOKUP(M:M,Unit!B:D,3,0)</f>
        <v>35</v>
      </c>
      <c r="BZ70" s="41">
        <f>VLOOKUP(S:S,Promo!B:D,3,0)</f>
        <v>0</v>
      </c>
    </row>
    <row r="71" spans="1:78" s="41" customFormat="1" ht="15.75" customHeight="1">
      <c r="A71" s="41">
        <v>817678</v>
      </c>
      <c r="D71" s="63">
        <f>VLOOKUP(E:E,'Product Category'!J:O,6,FALSE)</f>
        <v>76</v>
      </c>
      <c r="E71" s="41" t="s">
        <v>2145</v>
      </c>
      <c r="F71" s="63" t="str">
        <f>VLOOKUP(E:E,'Product Category'!J:K,2,FALSE)</f>
        <v>13-Bedding</v>
      </c>
      <c r="G71" s="63" t="str">
        <f>VLOOKUP(F:F,'Product Category'!K:L,2,FALSE)</f>
        <v>1-Households</v>
      </c>
      <c r="H71" s="41" t="s">
        <v>4461</v>
      </c>
      <c r="I71" s="41" t="s">
        <v>4462</v>
      </c>
      <c r="J71" s="65" t="str">
        <f t="shared" si="0"/>
        <v>ผ้าเช็ดตัวนาโน 15x30 นิ้ว (คละสี) 2 ผืน x1 แพ็ค</v>
      </c>
      <c r="K71" s="80" t="str">
        <f t="shared" si="1"/>
        <v>NANO HAIR TOWEL15X30 MIX COLOURS 2 pc x1 pack</v>
      </c>
      <c r="L71" s="41">
        <v>2</v>
      </c>
      <c r="M71" s="41" t="s">
        <v>182</v>
      </c>
      <c r="N71" s="41" t="str">
        <f>VLOOKUP(M:M,Unit!B:C,2,0)</f>
        <v>pc</v>
      </c>
      <c r="O71" s="41" t="s">
        <v>67</v>
      </c>
      <c r="P71" s="41">
        <v>1</v>
      </c>
      <c r="Q71" s="41" t="s">
        <v>179</v>
      </c>
      <c r="R71" s="41" t="str">
        <f>VLOOKUP(Q:Q,Unit!B:D,2,0)</f>
        <v>pack</v>
      </c>
      <c r="S71" s="41" t="s">
        <v>75</v>
      </c>
      <c r="T71" s="41" t="str">
        <f>VLOOKUP(S:S,Promo!B:D,2,0)</f>
        <v>Promo EN</v>
      </c>
      <c r="W71" s="41">
        <v>149</v>
      </c>
      <c r="X71" s="41">
        <v>99</v>
      </c>
      <c r="AB71" s="41" t="s">
        <v>2056</v>
      </c>
      <c r="AG71" s="41" t="s">
        <v>71</v>
      </c>
      <c r="AH71" s="41" t="s">
        <v>71</v>
      </c>
      <c r="AI71" s="41" t="s">
        <v>71</v>
      </c>
      <c r="AJ71" s="41" t="s">
        <v>71</v>
      </c>
      <c r="AK71" s="41" t="s">
        <v>71</v>
      </c>
      <c r="AL71" s="41" t="s">
        <v>71</v>
      </c>
      <c r="AS71" s="41" t="s">
        <v>4463</v>
      </c>
      <c r="AT71" s="41" t="s">
        <v>2189</v>
      </c>
      <c r="BS71" s="41" t="s">
        <v>2058</v>
      </c>
      <c r="BT71" s="41" t="s">
        <v>72</v>
      </c>
      <c r="BW71" s="41" t="s">
        <v>72</v>
      </c>
      <c r="BY71" s="41">
        <f>VLOOKUP(M:M,Unit!B:D,3,0)</f>
        <v>35</v>
      </c>
      <c r="BZ71" s="41">
        <f>VLOOKUP(S:S,Promo!B:D,3,0)</f>
        <v>0</v>
      </c>
    </row>
    <row r="72" spans="1:78" s="41" customFormat="1" ht="15.75" customHeight="1">
      <c r="A72" s="41">
        <v>817675</v>
      </c>
      <c r="D72" s="63">
        <f>VLOOKUP(E:E,'Product Category'!J:O,6,FALSE)</f>
        <v>76</v>
      </c>
      <c r="E72" s="41" t="s">
        <v>2145</v>
      </c>
      <c r="F72" s="63" t="str">
        <f>VLOOKUP(E:E,'Product Category'!J:K,2,FALSE)</f>
        <v>13-Bedding</v>
      </c>
      <c r="G72" s="63" t="str">
        <f>VLOOKUP(F:F,'Product Category'!K:L,2,FALSE)</f>
        <v>1-Households</v>
      </c>
      <c r="H72" s="41" t="s">
        <v>4464</v>
      </c>
      <c r="I72" s="41" t="s">
        <v>4465</v>
      </c>
      <c r="J72" s="65" t="str">
        <f t="shared" si="0"/>
        <v>ผ้าขนหนูเช็ดผม SUMMER 15x30 นิ้ว 2 ผืน x1 แพ็ค</v>
      </c>
      <c r="K72" s="80" t="str">
        <f t="shared" si="1"/>
        <v>SUMMER HAND TOWEL 15X30 IN. 2 pc x1 pack</v>
      </c>
      <c r="L72" s="41">
        <v>2</v>
      </c>
      <c r="M72" s="41" t="s">
        <v>182</v>
      </c>
      <c r="N72" s="41" t="str">
        <f>VLOOKUP(M:M,Unit!B:C,2,0)</f>
        <v>pc</v>
      </c>
      <c r="O72" s="41" t="s">
        <v>67</v>
      </c>
      <c r="P72" s="41">
        <v>1</v>
      </c>
      <c r="Q72" s="41" t="s">
        <v>179</v>
      </c>
      <c r="R72" s="41" t="str">
        <f>VLOOKUP(Q:Q,Unit!B:D,2,0)</f>
        <v>pack</v>
      </c>
      <c r="S72" s="41" t="s">
        <v>75</v>
      </c>
      <c r="T72" s="41" t="str">
        <f>VLOOKUP(S:S,Promo!B:D,2,0)</f>
        <v>Promo EN</v>
      </c>
      <c r="W72" s="41">
        <v>149</v>
      </c>
      <c r="X72" s="41">
        <v>99</v>
      </c>
      <c r="AB72" s="41" t="s">
        <v>2056</v>
      </c>
      <c r="AG72" s="41" t="s">
        <v>71</v>
      </c>
      <c r="AH72" s="41" t="s">
        <v>71</v>
      </c>
      <c r="AI72" s="41" t="s">
        <v>71</v>
      </c>
      <c r="AJ72" s="41" t="s">
        <v>71</v>
      </c>
      <c r="AK72" s="41" t="s">
        <v>71</v>
      </c>
      <c r="AL72" s="41" t="s">
        <v>71</v>
      </c>
      <c r="AS72" s="41" t="s">
        <v>4463</v>
      </c>
      <c r="AT72" s="41" t="s">
        <v>2189</v>
      </c>
      <c r="BS72" s="41" t="s">
        <v>2058</v>
      </c>
      <c r="BT72" s="41" t="s">
        <v>72</v>
      </c>
      <c r="BW72" s="41" t="s">
        <v>72</v>
      </c>
      <c r="BY72" s="41">
        <f>VLOOKUP(M:M,Unit!B:D,3,0)</f>
        <v>35</v>
      </c>
      <c r="BZ72" s="41">
        <f>VLOOKUP(S:S,Promo!B:D,3,0)</f>
        <v>0</v>
      </c>
    </row>
    <row r="73" spans="1:78" s="41" customFormat="1" ht="15.75" customHeight="1">
      <c r="A73" s="41">
        <v>817677</v>
      </c>
      <c r="D73" s="63">
        <f>VLOOKUP(E:E,'Product Category'!J:O,6,FALSE)</f>
        <v>76</v>
      </c>
      <c r="E73" s="41" t="s">
        <v>2145</v>
      </c>
      <c r="F73" s="63" t="str">
        <f>VLOOKUP(E:E,'Product Category'!J:K,2,FALSE)</f>
        <v>13-Bedding</v>
      </c>
      <c r="G73" s="63" t="str">
        <f>VLOOKUP(F:F,'Product Category'!K:L,2,FALSE)</f>
        <v>1-Households</v>
      </c>
      <c r="H73" s="41" t="s">
        <v>4466</v>
      </c>
      <c r="I73" s="41" t="s">
        <v>4467</v>
      </c>
      <c r="J73" s="65" t="str">
        <f t="shared" si="0"/>
        <v>ผ้าเช็ดตัวนาโน 27x54 นิ้ว (คละสี) 1 ผืน x1 แพ็ค</v>
      </c>
      <c r="K73" s="80" t="str">
        <f t="shared" si="1"/>
        <v>NANO BODY TOWEL 27X54 MIX COLOURS 1 pc x1 pack</v>
      </c>
      <c r="L73" s="41">
        <v>1</v>
      </c>
      <c r="M73" s="41" t="s">
        <v>182</v>
      </c>
      <c r="N73" s="41" t="str">
        <f>VLOOKUP(M:M,Unit!B:C,2,0)</f>
        <v>pc</v>
      </c>
      <c r="O73" s="41" t="s">
        <v>67</v>
      </c>
      <c r="P73" s="41">
        <v>1</v>
      </c>
      <c r="Q73" s="41" t="s">
        <v>179</v>
      </c>
      <c r="R73" s="41" t="str">
        <f>VLOOKUP(Q:Q,Unit!B:D,2,0)</f>
        <v>pack</v>
      </c>
      <c r="S73" s="41" t="s">
        <v>75</v>
      </c>
      <c r="T73" s="41" t="str">
        <f>VLOOKUP(S:S,Promo!B:D,2,0)</f>
        <v>Promo EN</v>
      </c>
      <c r="W73" s="41">
        <v>149</v>
      </c>
      <c r="X73" s="41">
        <v>99</v>
      </c>
      <c r="AB73" s="41" t="s">
        <v>2056</v>
      </c>
      <c r="AG73" s="41" t="s">
        <v>71</v>
      </c>
      <c r="AH73" s="41" t="s">
        <v>71</v>
      </c>
      <c r="AI73" s="41" t="s">
        <v>71</v>
      </c>
      <c r="AJ73" s="41" t="s">
        <v>71</v>
      </c>
      <c r="AK73" s="41" t="s">
        <v>71</v>
      </c>
      <c r="AL73" s="41" t="s">
        <v>71</v>
      </c>
      <c r="AS73" s="41" t="s">
        <v>4468</v>
      </c>
      <c r="AT73" s="41" t="s">
        <v>2290</v>
      </c>
      <c r="BS73" s="41" t="s">
        <v>2058</v>
      </c>
      <c r="BT73" s="41" t="s">
        <v>72</v>
      </c>
      <c r="BW73" s="41" t="s">
        <v>72</v>
      </c>
      <c r="BY73" s="41">
        <f>VLOOKUP(M:M,Unit!B:D,3,0)</f>
        <v>35</v>
      </c>
      <c r="BZ73" s="41">
        <f>VLOOKUP(S:S,Promo!B:D,3,0)</f>
        <v>0</v>
      </c>
    </row>
    <row r="74" spans="1:78" s="41" customFormat="1" ht="15.75" customHeight="1">
      <c r="A74" s="41">
        <v>817674</v>
      </c>
      <c r="D74" s="63">
        <f>VLOOKUP(E:E,'Product Category'!J:O,6,FALSE)</f>
        <v>76</v>
      </c>
      <c r="E74" s="41" t="s">
        <v>2145</v>
      </c>
      <c r="F74" s="63" t="str">
        <f>VLOOKUP(E:E,'Product Category'!J:K,2,FALSE)</f>
        <v>13-Bedding</v>
      </c>
      <c r="G74" s="63" t="str">
        <f>VLOOKUP(F:F,'Product Category'!K:L,2,FALSE)</f>
        <v>1-Households</v>
      </c>
      <c r="H74" s="41" t="s">
        <v>4469</v>
      </c>
      <c r="I74" s="41" t="s">
        <v>4470</v>
      </c>
      <c r="J74" s="65" t="str">
        <f t="shared" si="0"/>
        <v>ผ้าขนหนูเช็ดตัว SUMMER 27x54 นิ้ว 1 ผืน x1 แพ็ค</v>
      </c>
      <c r="K74" s="80" t="str">
        <f t="shared" si="1"/>
        <v>SUMMER BATH TOWEL 27X54 IN. 1 pc x1 pack</v>
      </c>
      <c r="L74" s="41">
        <v>1</v>
      </c>
      <c r="M74" s="41" t="s">
        <v>182</v>
      </c>
      <c r="N74" s="41" t="str">
        <f>VLOOKUP(M:M,Unit!B:C,2,0)</f>
        <v>pc</v>
      </c>
      <c r="O74" s="41" t="s">
        <v>67</v>
      </c>
      <c r="P74" s="41">
        <v>1</v>
      </c>
      <c r="Q74" s="41" t="s">
        <v>179</v>
      </c>
      <c r="R74" s="41" t="str">
        <f>VLOOKUP(Q:Q,Unit!B:D,2,0)</f>
        <v>pack</v>
      </c>
      <c r="S74" s="41" t="s">
        <v>75</v>
      </c>
      <c r="T74" s="41" t="str">
        <f>VLOOKUP(S:S,Promo!B:D,2,0)</f>
        <v>Promo EN</v>
      </c>
      <c r="W74" s="41">
        <v>149</v>
      </c>
      <c r="X74" s="41">
        <v>99</v>
      </c>
      <c r="AB74" s="41" t="s">
        <v>2056</v>
      </c>
      <c r="AG74" s="41" t="s">
        <v>71</v>
      </c>
      <c r="AH74" s="41" t="s">
        <v>71</v>
      </c>
      <c r="AI74" s="41" t="s">
        <v>71</v>
      </c>
      <c r="AJ74" s="41" t="s">
        <v>71</v>
      </c>
      <c r="AK74" s="41" t="s">
        <v>71</v>
      </c>
      <c r="AL74" s="41" t="s">
        <v>71</v>
      </c>
      <c r="AS74" s="41" t="s">
        <v>4468</v>
      </c>
      <c r="AT74" s="41" t="s">
        <v>2290</v>
      </c>
      <c r="BS74" s="41" t="s">
        <v>2058</v>
      </c>
      <c r="BT74" s="41" t="s">
        <v>72</v>
      </c>
      <c r="BW74" s="41" t="s">
        <v>72</v>
      </c>
      <c r="BY74" s="41">
        <f>VLOOKUP(M:M,Unit!B:D,3,0)</f>
        <v>35</v>
      </c>
      <c r="BZ74" s="41">
        <f>VLOOKUP(S:S,Promo!B:D,3,0)</f>
        <v>0</v>
      </c>
    </row>
    <row r="75" spans="1:78" s="41" customFormat="1" ht="15.75" customHeight="1">
      <c r="A75" s="41">
        <v>820861</v>
      </c>
      <c r="D75" s="63">
        <f>VLOOKUP(E:E,'Product Category'!J:O,6,FALSE)</f>
        <v>76</v>
      </c>
      <c r="E75" s="41" t="s">
        <v>2145</v>
      </c>
      <c r="F75" s="63" t="str">
        <f>VLOOKUP(E:E,'Product Category'!J:K,2,FALSE)</f>
        <v>13-Bedding</v>
      </c>
      <c r="G75" s="63" t="str">
        <f>VLOOKUP(F:F,'Product Category'!K:L,2,FALSE)</f>
        <v>1-Households</v>
      </c>
      <c r="H75" s="41" t="s">
        <v>4471</v>
      </c>
      <c r="I75" s="41" t="s">
        <v>4472</v>
      </c>
      <c r="J75" s="65" t="str">
        <f t="shared" si="0"/>
        <v>ผ้าขนหนูเช็ดตัว คอตตอน 100% 30x60 นิ้ว (คละสี) 1 ผืน x1 ชิ้น</v>
      </c>
      <c r="K75" s="80" t="str">
        <f t="shared" si="1"/>
        <v>BATH TOWEL 30X60 IN. MIX 1 pc x1 pc</v>
      </c>
      <c r="L75" s="41">
        <v>1</v>
      </c>
      <c r="M75" s="41" t="s">
        <v>182</v>
      </c>
      <c r="N75" s="41" t="str">
        <f>VLOOKUP(M:M,Unit!B:C,2,0)</f>
        <v>pc</v>
      </c>
      <c r="O75" s="41" t="s">
        <v>67</v>
      </c>
      <c r="P75" s="41">
        <v>1</v>
      </c>
      <c r="Q75" s="41" t="s">
        <v>68</v>
      </c>
      <c r="R75" s="41" t="str">
        <f>VLOOKUP(Q:Q,Unit!B:D,2,0)</f>
        <v>pc</v>
      </c>
      <c r="S75" s="41" t="s">
        <v>75</v>
      </c>
      <c r="T75" s="41" t="str">
        <f>VLOOKUP(S:S,Promo!B:D,2,0)</f>
        <v>Promo EN</v>
      </c>
      <c r="W75" s="41">
        <v>299</v>
      </c>
      <c r="X75" s="41">
        <v>199</v>
      </c>
      <c r="AB75" s="41" t="s">
        <v>2056</v>
      </c>
      <c r="AG75" s="41" t="s">
        <v>71</v>
      </c>
      <c r="AH75" s="41" t="s">
        <v>71</v>
      </c>
      <c r="AI75" s="41" t="s">
        <v>71</v>
      </c>
      <c r="AJ75" s="41" t="s">
        <v>71</v>
      </c>
      <c r="AK75" s="41" t="s">
        <v>71</v>
      </c>
      <c r="AL75" s="41" t="s">
        <v>71</v>
      </c>
      <c r="AS75" s="41" t="s">
        <v>4473</v>
      </c>
      <c r="AT75" s="41" t="s">
        <v>2283</v>
      </c>
      <c r="BS75" s="41" t="s">
        <v>2058</v>
      </c>
      <c r="BT75" s="41" t="s">
        <v>72</v>
      </c>
      <c r="BW75" s="41" t="s">
        <v>72</v>
      </c>
      <c r="BY75" s="41">
        <f>VLOOKUP(M:M,Unit!B:D,3,0)</f>
        <v>35</v>
      </c>
      <c r="BZ75" s="41">
        <f>VLOOKUP(S:S,Promo!B:D,3,0)</f>
        <v>0</v>
      </c>
    </row>
    <row r="76" spans="1:78" s="41" customFormat="1" ht="15.75" customHeight="1">
      <c r="A76" s="41">
        <v>200606</v>
      </c>
      <c r="D76" s="63">
        <f>VLOOKUP(E:E,'Product Category'!J:O,6,FALSE)</f>
        <v>77</v>
      </c>
      <c r="E76" s="41" t="s">
        <v>2082</v>
      </c>
      <c r="F76" s="63" t="str">
        <f>VLOOKUP(E:E,'Product Category'!J:K,2,FALSE)</f>
        <v>14-Furniture / Storage</v>
      </c>
      <c r="G76" s="63" t="str">
        <f>VLOOKUP(F:F,'Product Category'!K:L,2,FALSE)</f>
        <v>1-Households</v>
      </c>
      <c r="H76" s="41" t="s">
        <v>4292</v>
      </c>
      <c r="I76" s="41" t="s">
        <v>4293</v>
      </c>
      <c r="J76" s="65" t="str">
        <f t="shared" si="0"/>
        <v>เก้าอี้โมเดิร์น 1 ตัว x1 ชิ้น</v>
      </c>
      <c r="K76" s="80" t="str">
        <f t="shared" si="1"/>
        <v>CHAIR MODERN 1 pc x1 pc</v>
      </c>
      <c r="L76" s="41">
        <v>1</v>
      </c>
      <c r="M76" s="41" t="s">
        <v>198</v>
      </c>
      <c r="N76" s="41" t="str">
        <f>VLOOKUP(M:M,Unit!B:C,2,0)</f>
        <v>pc</v>
      </c>
      <c r="O76" s="41" t="s">
        <v>67</v>
      </c>
      <c r="P76" s="41">
        <v>1</v>
      </c>
      <c r="Q76" s="41" t="s">
        <v>68</v>
      </c>
      <c r="R76" s="41" t="str">
        <f>VLOOKUP(Q:Q,Unit!B:D,2,0)</f>
        <v>pc</v>
      </c>
      <c r="S76" s="41" t="s">
        <v>75</v>
      </c>
      <c r="T76" s="41" t="str">
        <f>VLOOKUP(S:S,Promo!B:D,2,0)</f>
        <v>Promo EN</v>
      </c>
      <c r="W76" s="41">
        <v>289</v>
      </c>
      <c r="X76" s="41">
        <v>199</v>
      </c>
      <c r="AB76" s="41" t="s">
        <v>2056</v>
      </c>
      <c r="AE76" s="41" t="s">
        <v>2183</v>
      </c>
      <c r="AF76" s="41" t="s">
        <v>3373</v>
      </c>
      <c r="AG76" s="41" t="s">
        <v>71</v>
      </c>
      <c r="AH76" s="41" t="s">
        <v>71</v>
      </c>
      <c r="AI76" s="41" t="s">
        <v>71</v>
      </c>
      <c r="AJ76" s="41" t="s">
        <v>71</v>
      </c>
      <c r="AK76" s="41" t="s">
        <v>71</v>
      </c>
      <c r="AL76" s="41" t="s">
        <v>71</v>
      </c>
      <c r="BS76" s="41" t="s">
        <v>2058</v>
      </c>
      <c r="BT76" s="41" t="s">
        <v>72</v>
      </c>
      <c r="BW76" s="41" t="s">
        <v>72</v>
      </c>
      <c r="BY76" s="41">
        <f>VLOOKUP(M:M,Unit!B:D,3,0)</f>
        <v>5</v>
      </c>
      <c r="BZ76" s="41">
        <f>VLOOKUP(S:S,Promo!B:D,3,0)</f>
        <v>0</v>
      </c>
    </row>
    <row r="77" spans="1:78" s="41" customFormat="1" ht="15.75" customHeight="1">
      <c r="A77" s="41">
        <v>777580</v>
      </c>
      <c r="D77" s="63">
        <f>VLOOKUP(E:E,'Product Category'!J:O,6,FALSE)</f>
        <v>77</v>
      </c>
      <c r="E77" s="41" t="s">
        <v>2082</v>
      </c>
      <c r="F77" s="63" t="str">
        <f>VLOOKUP(E:E,'Product Category'!J:K,2,FALSE)</f>
        <v>14-Furniture / Storage</v>
      </c>
      <c r="G77" s="63" t="str">
        <f>VLOOKUP(F:F,'Product Category'!K:L,2,FALSE)</f>
        <v>1-Households</v>
      </c>
      <c r="H77" s="41" t="s">
        <v>4340</v>
      </c>
      <c r="I77" s="41" t="s">
        <v>4341</v>
      </c>
      <c r="J77" s="65" t="str">
        <f t="shared" si="0"/>
        <v>โต๊ะญี่ปุ่นหน้าเมลามีน ขาว 40x60 ซม. 1 ตัว x1 ชิ้น</v>
      </c>
      <c r="K77" s="80" t="str">
        <f t="shared" si="1"/>
        <v>FOLDABLE TABLE 40X60 CM. 1 pc x1 pc</v>
      </c>
      <c r="L77" s="41">
        <v>1</v>
      </c>
      <c r="M77" s="41" t="s">
        <v>198</v>
      </c>
      <c r="N77" s="41" t="str">
        <f>VLOOKUP(M:M,Unit!B:C,2,0)</f>
        <v>pc</v>
      </c>
      <c r="O77" s="41" t="s">
        <v>67</v>
      </c>
      <c r="P77" s="41">
        <v>1</v>
      </c>
      <c r="Q77" s="41" t="s">
        <v>68</v>
      </c>
      <c r="R77" s="41" t="str">
        <f>VLOOKUP(Q:Q,Unit!B:D,2,0)</f>
        <v>pc</v>
      </c>
      <c r="S77" s="41" t="s">
        <v>75</v>
      </c>
      <c r="T77" s="41" t="str">
        <f>VLOOKUP(S:S,Promo!B:D,2,0)</f>
        <v>Promo EN</v>
      </c>
      <c r="W77" s="41">
        <v>215</v>
      </c>
      <c r="X77" s="41">
        <v>185</v>
      </c>
      <c r="AB77" s="41" t="s">
        <v>2054</v>
      </c>
      <c r="AF77" s="41" t="s">
        <v>3373</v>
      </c>
      <c r="AG77" s="41" t="s">
        <v>71</v>
      </c>
      <c r="AH77" s="41" t="s">
        <v>71</v>
      </c>
      <c r="AI77" s="41" t="s">
        <v>71</v>
      </c>
      <c r="AJ77" s="41" t="s">
        <v>71</v>
      </c>
      <c r="AK77" s="41" t="s">
        <v>71</v>
      </c>
      <c r="AL77" s="41" t="s">
        <v>71</v>
      </c>
      <c r="AQ77" s="41" t="s">
        <v>4342</v>
      </c>
      <c r="AR77" s="41" t="s">
        <v>2164</v>
      </c>
      <c r="AS77" s="41" t="s">
        <v>4343</v>
      </c>
      <c r="AT77" s="41" t="s">
        <v>4344</v>
      </c>
      <c r="BS77" s="41" t="s">
        <v>2058</v>
      </c>
      <c r="BT77" s="41" t="s">
        <v>72</v>
      </c>
      <c r="BW77" s="41" t="s">
        <v>72</v>
      </c>
      <c r="BY77" s="41">
        <f>VLOOKUP(M:M,Unit!B:D,3,0)</f>
        <v>5</v>
      </c>
      <c r="BZ77" s="41">
        <f>VLOOKUP(S:S,Promo!B:D,3,0)</f>
        <v>0</v>
      </c>
    </row>
    <row r="78" spans="1:78" s="41" customFormat="1" ht="15.75" customHeight="1">
      <c r="A78" s="41">
        <v>816945</v>
      </c>
      <c r="D78" s="63">
        <f>VLOOKUP(E:E,'Product Category'!J:O,6,FALSE)</f>
        <v>78</v>
      </c>
      <c r="E78" s="41" t="s">
        <v>2137</v>
      </c>
      <c r="F78" s="63" t="str">
        <f>VLOOKUP(E:E,'Product Category'!J:K,2,FALSE)</f>
        <v>14-Furniture / Storage</v>
      </c>
      <c r="G78" s="63" t="str">
        <f>VLOOKUP(F:F,'Product Category'!K:L,2,FALSE)</f>
        <v>1-Households</v>
      </c>
      <c r="H78" s="41" t="s">
        <v>3891</v>
      </c>
      <c r="I78" s="41" t="s">
        <v>3892</v>
      </c>
      <c r="J78" s="65" t="str">
        <f t="shared" si="0"/>
        <v>ชั้นเหล็ก 120x45x160 ซม. #120BK สีดำ 1 ตัว x1 ชิ้น</v>
      </c>
      <c r="K78" s="80" t="str">
        <f t="shared" si="1"/>
        <v>SHELF 120X45X160 CM #120BK BLACK 1 pc x1 pc</v>
      </c>
      <c r="L78" s="41">
        <v>1</v>
      </c>
      <c r="M78" s="41" t="s">
        <v>198</v>
      </c>
      <c r="N78" s="41" t="str">
        <f>VLOOKUP(M:M,Unit!B:C,2,0)</f>
        <v>pc</v>
      </c>
      <c r="O78" s="41" t="s">
        <v>67</v>
      </c>
      <c r="P78" s="41">
        <v>1</v>
      </c>
      <c r="Q78" s="41" t="s">
        <v>68</v>
      </c>
      <c r="R78" s="41" t="str">
        <f>VLOOKUP(Q:Q,Unit!B:D,2,0)</f>
        <v>pc</v>
      </c>
      <c r="S78" s="41" t="s">
        <v>75</v>
      </c>
      <c r="T78" s="41" t="str">
        <f>VLOOKUP(S:S,Promo!B:D,2,0)</f>
        <v>Promo EN</v>
      </c>
      <c r="W78" s="41">
        <v>2490</v>
      </c>
      <c r="X78" s="41">
        <v>1790</v>
      </c>
      <c r="AB78" s="41" t="s">
        <v>91</v>
      </c>
      <c r="AG78" s="41" t="s">
        <v>71</v>
      </c>
      <c r="AH78" s="41" t="s">
        <v>71</v>
      </c>
      <c r="AI78" s="41" t="s">
        <v>71</v>
      </c>
      <c r="AJ78" s="41" t="s">
        <v>71</v>
      </c>
      <c r="AK78" s="41" t="s">
        <v>71</v>
      </c>
      <c r="AL78" s="41" t="s">
        <v>71</v>
      </c>
      <c r="AQ78" s="41" t="s">
        <v>3564</v>
      </c>
      <c r="AR78" s="41" t="s">
        <v>2181</v>
      </c>
      <c r="AS78" s="41" t="s">
        <v>3893</v>
      </c>
      <c r="AT78" s="41" t="s">
        <v>3894</v>
      </c>
      <c r="BS78" s="41" t="s">
        <v>2058</v>
      </c>
      <c r="BT78" s="41" t="s">
        <v>72</v>
      </c>
      <c r="BW78" s="41" t="s">
        <v>72</v>
      </c>
      <c r="BY78" s="41">
        <f>VLOOKUP(M:M,Unit!B:D,3,0)</f>
        <v>5</v>
      </c>
      <c r="BZ78" s="41">
        <f>VLOOKUP(S:S,Promo!B:D,3,0)</f>
        <v>0</v>
      </c>
    </row>
    <row r="79" spans="1:78" s="41" customFormat="1" ht="15.75" customHeight="1">
      <c r="A79" s="41">
        <v>816946</v>
      </c>
      <c r="D79" s="63">
        <f>VLOOKUP(E:E,'Product Category'!J:O,6,FALSE)</f>
        <v>78</v>
      </c>
      <c r="E79" s="41" t="s">
        <v>2137</v>
      </c>
      <c r="F79" s="63" t="str">
        <f>VLOOKUP(E:E,'Product Category'!J:K,2,FALSE)</f>
        <v>14-Furniture / Storage</v>
      </c>
      <c r="G79" s="63" t="str">
        <f>VLOOKUP(F:F,'Product Category'!K:L,2,FALSE)</f>
        <v>1-Households</v>
      </c>
      <c r="H79" s="41" t="s">
        <v>3895</v>
      </c>
      <c r="I79" s="41" t="s">
        <v>3896</v>
      </c>
      <c r="J79" s="65" t="str">
        <f t="shared" si="0"/>
        <v>ชั้นเหล็ก 120x45x160 ซม. #120BK สีขาว 1 ตัว x1 ชิ้น</v>
      </c>
      <c r="K79" s="80" t="str">
        <f t="shared" si="1"/>
        <v>SHELF 120X45X160 CM #120BK WHITE 1 pc x1 pc</v>
      </c>
      <c r="L79" s="41">
        <v>1</v>
      </c>
      <c r="M79" s="41" t="s">
        <v>198</v>
      </c>
      <c r="N79" s="41" t="str">
        <f>VLOOKUP(M:M,Unit!B:C,2,0)</f>
        <v>pc</v>
      </c>
      <c r="O79" s="41" t="s">
        <v>67</v>
      </c>
      <c r="P79" s="41">
        <v>1</v>
      </c>
      <c r="Q79" s="41" t="s">
        <v>68</v>
      </c>
      <c r="R79" s="41" t="str">
        <f>VLOOKUP(Q:Q,Unit!B:D,2,0)</f>
        <v>pc</v>
      </c>
      <c r="S79" s="41" t="s">
        <v>75</v>
      </c>
      <c r="T79" s="41" t="str">
        <f>VLOOKUP(S:S,Promo!B:D,2,0)</f>
        <v>Promo EN</v>
      </c>
      <c r="W79" s="41">
        <v>2490</v>
      </c>
      <c r="X79" s="41">
        <v>1790</v>
      </c>
      <c r="AB79" s="41" t="s">
        <v>91</v>
      </c>
      <c r="AG79" s="41" t="s">
        <v>71</v>
      </c>
      <c r="AH79" s="41" t="s">
        <v>71</v>
      </c>
      <c r="AI79" s="41" t="s">
        <v>71</v>
      </c>
      <c r="AJ79" s="41" t="s">
        <v>71</v>
      </c>
      <c r="AK79" s="41" t="s">
        <v>71</v>
      </c>
      <c r="AL79" s="41" t="s">
        <v>71</v>
      </c>
      <c r="AQ79" s="41" t="s">
        <v>3897</v>
      </c>
      <c r="AR79" s="41" t="s">
        <v>2164</v>
      </c>
      <c r="AS79" s="41" t="s">
        <v>3893</v>
      </c>
      <c r="AT79" s="41" t="s">
        <v>3894</v>
      </c>
      <c r="BS79" s="41" t="s">
        <v>2058</v>
      </c>
      <c r="BT79" s="41" t="s">
        <v>72</v>
      </c>
      <c r="BW79" s="41" t="s">
        <v>72</v>
      </c>
      <c r="BY79" s="41">
        <f>VLOOKUP(M:M,Unit!B:D,3,0)</f>
        <v>5</v>
      </c>
      <c r="BZ79" s="41">
        <f>VLOOKUP(S:S,Promo!B:D,3,0)</f>
        <v>0</v>
      </c>
    </row>
    <row r="80" spans="1:78" s="41" customFormat="1" ht="15.75" customHeight="1">
      <c r="A80" s="41">
        <v>226869</v>
      </c>
      <c r="D80" s="63">
        <f>VLOOKUP(E:E,'Product Category'!J:O,6,FALSE)</f>
        <v>79</v>
      </c>
      <c r="E80" s="41" t="s">
        <v>2072</v>
      </c>
      <c r="F80" s="63" t="str">
        <f>VLOOKUP(E:E,'Product Category'!J:K,2,FALSE)</f>
        <v>14-Furniture / Storage</v>
      </c>
      <c r="G80" s="63" t="str">
        <f>VLOOKUP(F:F,'Product Category'!K:L,2,FALSE)</f>
        <v>1-Households</v>
      </c>
      <c r="H80" s="41" t="s">
        <v>4275</v>
      </c>
      <c r="I80" s="41" t="s">
        <v>4276</v>
      </c>
      <c r="J80" s="65" t="str">
        <f t="shared" si="0"/>
        <v>กล่องล้อเลื่อน พร้อมฝาล็อค 55 ลิตร สีดำ 1 ใบ x1 ชิ้น</v>
      </c>
      <c r="K80" s="80" t="str">
        <f t="shared" si="1"/>
        <v>CONTAINER 55 L. 1 pc x1 pc</v>
      </c>
      <c r="L80" s="41">
        <v>1</v>
      </c>
      <c r="M80" s="41" t="s">
        <v>100</v>
      </c>
      <c r="N80" s="41" t="str">
        <f>VLOOKUP(M:M,Unit!B:C,2,0)</f>
        <v>pc</v>
      </c>
      <c r="O80" s="41" t="s">
        <v>67</v>
      </c>
      <c r="P80" s="41">
        <v>1</v>
      </c>
      <c r="Q80" s="41" t="s">
        <v>68</v>
      </c>
      <c r="R80" s="41" t="str">
        <f>VLOOKUP(Q:Q,Unit!B:D,2,0)</f>
        <v>pc</v>
      </c>
      <c r="S80" s="41" t="s">
        <v>75</v>
      </c>
      <c r="T80" s="41" t="str">
        <f>VLOOKUP(S:S,Promo!B:D,2,0)</f>
        <v>Promo EN</v>
      </c>
      <c r="W80" s="41">
        <v>129</v>
      </c>
      <c r="X80" s="41">
        <v>79</v>
      </c>
      <c r="AB80" s="41" t="s">
        <v>91</v>
      </c>
      <c r="AG80" s="41" t="s">
        <v>71</v>
      </c>
      <c r="AH80" s="41" t="s">
        <v>71</v>
      </c>
      <c r="AI80" s="41" t="s">
        <v>71</v>
      </c>
      <c r="AJ80" s="41" t="s">
        <v>71</v>
      </c>
      <c r="AK80" s="41" t="s">
        <v>71</v>
      </c>
      <c r="AL80" s="41" t="s">
        <v>71</v>
      </c>
      <c r="AQ80" s="41" t="s">
        <v>3564</v>
      </c>
      <c r="AR80" s="41" t="s">
        <v>2181</v>
      </c>
      <c r="AS80" s="41" t="s">
        <v>4277</v>
      </c>
      <c r="AT80" s="41" t="s">
        <v>4278</v>
      </c>
      <c r="BS80" s="41" t="s">
        <v>2058</v>
      </c>
      <c r="BT80" s="41" t="s">
        <v>72</v>
      </c>
      <c r="BW80" s="41" t="s">
        <v>72</v>
      </c>
      <c r="BY80" s="41">
        <f>VLOOKUP(M:M,Unit!B:D,3,0)</f>
        <v>10</v>
      </c>
      <c r="BZ80" s="41">
        <f>VLOOKUP(S:S,Promo!B:D,3,0)</f>
        <v>0</v>
      </c>
    </row>
    <row r="81" spans="1:78" s="41" customFormat="1" ht="15.75" customHeight="1">
      <c r="A81" s="41">
        <v>149524</v>
      </c>
      <c r="B81" s="41" t="s">
        <v>97</v>
      </c>
      <c r="C81" s="65" t="str">
        <f>VLOOKUP(B:B,Brand!B:C,2,0)</f>
        <v>aro</v>
      </c>
      <c r="D81" s="63">
        <f>VLOOKUP(E:E,'Product Category'!J:O,6,FALSE)</f>
        <v>79</v>
      </c>
      <c r="E81" s="41" t="s">
        <v>2072</v>
      </c>
      <c r="F81" s="63" t="str">
        <f>VLOOKUP(E:E,'Product Category'!J:K,2,FALSE)</f>
        <v>14-Furniture / Storage</v>
      </c>
      <c r="G81" s="63" t="str">
        <f>VLOOKUP(F:F,'Product Category'!K:L,2,FALSE)</f>
        <v>1-Households</v>
      </c>
      <c r="H81" s="41" t="s">
        <v>4314</v>
      </c>
      <c r="I81" s="41" t="s">
        <v>4315</v>
      </c>
      <c r="J81" s="41" t="s">
        <v>5115</v>
      </c>
      <c r="K81" s="41" t="s">
        <v>5116</v>
      </c>
      <c r="L81" s="41">
        <v>1</v>
      </c>
      <c r="M81" s="41" t="s">
        <v>100</v>
      </c>
      <c r="N81" s="41" t="str">
        <f>VLOOKUP(M:M,Unit!B:C,2,0)</f>
        <v>pc</v>
      </c>
      <c r="O81" s="41" t="s">
        <v>67</v>
      </c>
      <c r="P81" s="41">
        <v>1</v>
      </c>
      <c r="Q81" s="41" t="s">
        <v>68</v>
      </c>
      <c r="R81" s="41" t="str">
        <f>VLOOKUP(Q:Q,Unit!B:D,2,0)</f>
        <v>pc</v>
      </c>
      <c r="S81" s="41" t="s">
        <v>75</v>
      </c>
      <c r="T81" s="41" t="str">
        <f>VLOOKUP(S:S,Promo!B:D,2,0)</f>
        <v>Promo EN</v>
      </c>
      <c r="W81" s="41">
        <v>279</v>
      </c>
      <c r="X81" s="41">
        <v>239</v>
      </c>
      <c r="AB81" s="41" t="s">
        <v>2056</v>
      </c>
      <c r="AD81" s="41" t="s">
        <v>2183</v>
      </c>
      <c r="AE81" s="41" t="s">
        <v>4316</v>
      </c>
      <c r="AG81" s="41" t="s">
        <v>71</v>
      </c>
      <c r="AH81" s="41" t="s">
        <v>71</v>
      </c>
      <c r="AI81" s="41" t="s">
        <v>71</v>
      </c>
      <c r="AJ81" s="41" t="s">
        <v>71</v>
      </c>
      <c r="AK81" s="41" t="s">
        <v>71</v>
      </c>
      <c r="AL81" s="41" t="s">
        <v>71</v>
      </c>
      <c r="AS81" s="41" t="s">
        <v>4317</v>
      </c>
      <c r="AT81" s="41" t="s">
        <v>4318</v>
      </c>
      <c r="BS81" s="41" t="s">
        <v>2058</v>
      </c>
      <c r="BT81" s="41" t="s">
        <v>72</v>
      </c>
      <c r="BW81" s="41" t="s">
        <v>72</v>
      </c>
      <c r="BX81" s="41">
        <f>VLOOKUP(B:B,Brand!B:D,3,0)</f>
        <v>692</v>
      </c>
      <c r="BY81" s="41">
        <f>VLOOKUP(M:M,Unit!B:D,3,0)</f>
        <v>10</v>
      </c>
      <c r="BZ81" s="41">
        <f>VLOOKUP(S:S,Promo!B:D,3,0)</f>
        <v>0</v>
      </c>
    </row>
    <row r="82" spans="1:78" s="41" customFormat="1" ht="15.75" customHeight="1">
      <c r="A82" s="41">
        <v>220247</v>
      </c>
      <c r="B82" s="41" t="s">
        <v>536</v>
      </c>
      <c r="C82" s="65" t="str">
        <f>VLOOKUP(B:B,Brand!B:C,2,0)</f>
        <v>Data</v>
      </c>
      <c r="D82" s="63">
        <f>VLOOKUP(E:E,'Product Category'!J:O,6,FALSE)</f>
        <v>81</v>
      </c>
      <c r="E82" s="41" t="s">
        <v>2134</v>
      </c>
      <c r="F82" s="63" t="str">
        <f>VLOOKUP(E:E,'Product Category'!J:K,2,FALSE)</f>
        <v>15-Home Improvements</v>
      </c>
      <c r="G82" s="63" t="str">
        <f>VLOOKUP(F:F,'Product Category'!K:L,2,FALSE)</f>
        <v>1-Households</v>
      </c>
      <c r="H82" s="41" t="s">
        <v>3921</v>
      </c>
      <c r="I82" s="41" t="s">
        <v>3922</v>
      </c>
      <c r="J82" s="41" t="s">
        <v>4831</v>
      </c>
      <c r="K82" s="41" t="s">
        <v>4832</v>
      </c>
      <c r="L82" s="41">
        <v>1</v>
      </c>
      <c r="M82" s="41" t="s">
        <v>179</v>
      </c>
      <c r="N82" s="41" t="str">
        <f>VLOOKUP(M:M,Unit!B:C,2,0)</f>
        <v>pack</v>
      </c>
      <c r="O82" s="41" t="s">
        <v>67</v>
      </c>
      <c r="P82" s="41">
        <v>1</v>
      </c>
      <c r="Q82" s="41" t="s">
        <v>68</v>
      </c>
      <c r="R82" s="41" t="str">
        <f>VLOOKUP(Q:Q,Unit!B:D,2,0)</f>
        <v>pc</v>
      </c>
      <c r="S82" s="41" t="s">
        <v>74</v>
      </c>
      <c r="T82" s="41" t="str">
        <f>VLOOKUP(S:S,Promo!B:D,2,0)</f>
        <v>buy 1 get 1</v>
      </c>
      <c r="X82" s="41">
        <v>129</v>
      </c>
      <c r="AB82" s="41" t="s">
        <v>91</v>
      </c>
      <c r="AE82" s="41" t="s">
        <v>3923</v>
      </c>
      <c r="AG82" s="41" t="s">
        <v>71</v>
      </c>
      <c r="AH82" s="41" t="s">
        <v>71</v>
      </c>
      <c r="AI82" s="41" t="s">
        <v>71</v>
      </c>
      <c r="AJ82" s="41" t="s">
        <v>71</v>
      </c>
      <c r="AK82" s="41" t="s">
        <v>71</v>
      </c>
      <c r="AL82" s="41" t="s">
        <v>71</v>
      </c>
      <c r="AS82" s="41" t="s">
        <v>3924</v>
      </c>
      <c r="AT82" s="41" t="s">
        <v>3925</v>
      </c>
      <c r="BS82" s="41" t="s">
        <v>2058</v>
      </c>
      <c r="BT82" s="41" t="s">
        <v>72</v>
      </c>
      <c r="BW82" s="41" t="s">
        <v>72</v>
      </c>
      <c r="BX82" s="41">
        <f>VLOOKUP(B:B,Brand!B:D,3,0)</f>
        <v>215</v>
      </c>
      <c r="BY82" s="41">
        <f>VLOOKUP(M:M,Unit!B:D,3,0)</f>
        <v>22</v>
      </c>
      <c r="BZ82" s="41">
        <f>VLOOKUP(S:S,Promo!B:D,3,0)</f>
        <v>1</v>
      </c>
    </row>
    <row r="83" spans="1:78" s="41" customFormat="1" ht="15.75" customHeight="1">
      <c r="A83" s="41">
        <v>156414</v>
      </c>
      <c r="D83" s="63">
        <f>VLOOKUP(E:E,'Product Category'!J:O,6,FALSE)</f>
        <v>85</v>
      </c>
      <c r="E83" s="41" t="s">
        <v>2117</v>
      </c>
      <c r="F83" s="63" t="str">
        <f>VLOOKUP(E:E,'Product Category'!J:K,2,FALSE)</f>
        <v>16-Major Appliance</v>
      </c>
      <c r="G83" s="63" t="str">
        <f>VLOOKUP(F:F,'Product Category'!K:L,2,FALSE)</f>
        <v>2-Home Appliances / Electronic</v>
      </c>
      <c r="H83" s="41" t="s">
        <v>3793</v>
      </c>
      <c r="I83" s="41" t="s">
        <v>3792</v>
      </c>
      <c r="J83" s="65" t="str">
        <f>TRIM(CONCATENATE(B83," ",H83," ",L83," ",M83," ",O83,P83," ",Q83))</f>
        <v>ตู้แช่แข็ง ฝาทึบ #NFT-4208 1 เครื่อง x1 ชิ้น</v>
      </c>
      <c r="K83" s="80" t="str">
        <f>TRIM(CONCATENATE(C83," ",I83," ",L83," ",N83," ",O83,P83," ",R83))</f>
        <v>NATURAL FREEZER #NFT-4208 1 unit x1 pc</v>
      </c>
      <c r="L83" s="41">
        <v>1</v>
      </c>
      <c r="M83" s="41" t="s">
        <v>93</v>
      </c>
      <c r="N83" s="41" t="str">
        <f>VLOOKUP(M:M,Unit!B:C,2,0)</f>
        <v>unit</v>
      </c>
      <c r="O83" s="41" t="s">
        <v>67</v>
      </c>
      <c r="P83" s="41">
        <v>1</v>
      </c>
      <c r="Q83" s="41" t="s">
        <v>68</v>
      </c>
      <c r="R83" s="41" t="str">
        <f>VLOOKUP(Q:Q,Unit!B:D,2,0)</f>
        <v>pc</v>
      </c>
      <c r="S83" s="41" t="s">
        <v>204</v>
      </c>
      <c r="T83" s="41" t="str">
        <f>VLOOKUP(S:S,Promo!B:D,2,0)</f>
        <v>Pre-Order</v>
      </c>
      <c r="W83" s="41">
        <v>6990</v>
      </c>
      <c r="X83" s="41">
        <v>5990</v>
      </c>
      <c r="AB83" s="41" t="s">
        <v>91</v>
      </c>
      <c r="AG83" s="41" t="s">
        <v>71</v>
      </c>
      <c r="AH83" s="41" t="s">
        <v>71</v>
      </c>
      <c r="AI83" s="41" t="s">
        <v>71</v>
      </c>
      <c r="AJ83" s="41" t="s">
        <v>71</v>
      </c>
      <c r="AK83" s="41" t="s">
        <v>71</v>
      </c>
      <c r="AL83" s="41" t="s">
        <v>71</v>
      </c>
      <c r="AS83" s="41" t="s">
        <v>3794</v>
      </c>
      <c r="AT83" s="41" t="s">
        <v>3795</v>
      </c>
      <c r="BS83" s="41" t="s">
        <v>2058</v>
      </c>
      <c r="BT83" s="41" t="s">
        <v>72</v>
      </c>
      <c r="BW83" s="41" t="s">
        <v>72</v>
      </c>
      <c r="BY83" s="41">
        <f>VLOOKUP(M:M,Unit!B:D,3,0)</f>
        <v>6</v>
      </c>
      <c r="BZ83" s="41">
        <f>VLOOKUP(S:S,Promo!B:D,3,0)</f>
        <v>33</v>
      </c>
    </row>
    <row r="84" spans="1:78" s="41" customFormat="1" ht="15.75" customHeight="1">
      <c r="A84" s="41">
        <v>220635</v>
      </c>
      <c r="B84" s="41" t="s">
        <v>440</v>
      </c>
      <c r="C84" s="65" t="str">
        <f>VLOOKUP(B:B,Brand!B:C,2,0)</f>
        <v>Sanden Intercool</v>
      </c>
      <c r="D84" s="63">
        <f>VLOOKUP(E:E,'Product Category'!J:O,6,FALSE)</f>
        <v>85</v>
      </c>
      <c r="E84" s="41" t="s">
        <v>2117</v>
      </c>
      <c r="F84" s="63" t="str">
        <f>VLOOKUP(E:E,'Product Category'!J:K,2,FALSE)</f>
        <v>16-Major Appliance</v>
      </c>
      <c r="G84" s="63" t="str">
        <f>VLOOKUP(F:F,'Product Category'!K:L,2,FALSE)</f>
        <v>2-Home Appliances / Electronic</v>
      </c>
      <c r="H84" s="41" t="s">
        <v>3818</v>
      </c>
      <c r="I84" s="41" t="s">
        <v>3819</v>
      </c>
      <c r="J84" s="41" t="s">
        <v>4783</v>
      </c>
      <c r="K84" s="41" t="s">
        <v>4784</v>
      </c>
      <c r="L84" s="41">
        <v>1</v>
      </c>
      <c r="M84" s="41" t="s">
        <v>93</v>
      </c>
      <c r="N84" s="41" t="str">
        <f>VLOOKUP(M:M,Unit!B:C,2,0)</f>
        <v>unit</v>
      </c>
      <c r="O84" s="41" t="s">
        <v>67</v>
      </c>
      <c r="P84" s="41">
        <v>1</v>
      </c>
      <c r="Q84" s="41" t="s">
        <v>68</v>
      </c>
      <c r="R84" s="41" t="str">
        <f>VLOOKUP(Q:Q,Unit!B:D,2,0)</f>
        <v>pc</v>
      </c>
      <c r="S84" s="41" t="s">
        <v>204</v>
      </c>
      <c r="T84" s="41" t="str">
        <f>VLOOKUP(S:S,Promo!B:D,2,0)</f>
        <v>Pre-Order</v>
      </c>
      <c r="W84" s="41">
        <v>14200</v>
      </c>
      <c r="X84" s="41">
        <v>13500</v>
      </c>
      <c r="AB84" s="41" t="s">
        <v>2056</v>
      </c>
      <c r="AE84" s="41" t="s">
        <v>3820</v>
      </c>
      <c r="AG84" s="41" t="s">
        <v>71</v>
      </c>
      <c r="AH84" s="41" t="s">
        <v>71</v>
      </c>
      <c r="AI84" s="41" t="s">
        <v>71</v>
      </c>
      <c r="AJ84" s="41" t="s">
        <v>71</v>
      </c>
      <c r="AK84" s="41" t="s">
        <v>71</v>
      </c>
      <c r="AL84" s="41" t="s">
        <v>71</v>
      </c>
      <c r="AS84" s="41" t="s">
        <v>3821</v>
      </c>
      <c r="AT84" s="41" t="s">
        <v>3820</v>
      </c>
      <c r="BS84" s="41" t="s">
        <v>2058</v>
      </c>
      <c r="BT84" s="41" t="s">
        <v>72</v>
      </c>
      <c r="BW84" s="41" t="s">
        <v>72</v>
      </c>
      <c r="BX84" s="41">
        <f>VLOOKUP(B:B,Brand!B:D,3,0)</f>
        <v>152</v>
      </c>
      <c r="BY84" s="41">
        <f>VLOOKUP(M:M,Unit!B:D,3,0)</f>
        <v>6</v>
      </c>
      <c r="BZ84" s="41">
        <f>VLOOKUP(S:S,Promo!B:D,3,0)</f>
        <v>33</v>
      </c>
    </row>
    <row r="85" spans="1:78" s="41" customFormat="1" ht="15.75" customHeight="1">
      <c r="A85" s="41">
        <v>133007</v>
      </c>
      <c r="B85" s="41" t="s">
        <v>203</v>
      </c>
      <c r="C85" s="65" t="str">
        <f>VLOOKUP(B:B,Brand!B:C,2,0)</f>
        <v>Panasonic</v>
      </c>
      <c r="D85" s="63">
        <f>VLOOKUP(E:E,'Product Category'!J:O,6,FALSE)</f>
        <v>85</v>
      </c>
      <c r="E85" s="41" t="s">
        <v>2117</v>
      </c>
      <c r="F85" s="63" t="str">
        <f>VLOOKUP(E:E,'Product Category'!J:K,2,FALSE)</f>
        <v>16-Major Appliance</v>
      </c>
      <c r="G85" s="63" t="str">
        <f>VLOOKUP(F:F,'Product Category'!K:L,2,FALSE)</f>
        <v>2-Home Appliances / Electronic</v>
      </c>
      <c r="H85" s="41" t="s">
        <v>2268</v>
      </c>
      <c r="I85" s="41" t="s">
        <v>2396</v>
      </c>
      <c r="J85" s="41" t="s">
        <v>4785</v>
      </c>
      <c r="K85" s="41" t="s">
        <v>4786</v>
      </c>
      <c r="L85" s="41">
        <v>1</v>
      </c>
      <c r="M85" s="41" t="s">
        <v>93</v>
      </c>
      <c r="N85" s="41" t="str">
        <f>VLOOKUP(M:M,Unit!B:C,2,0)</f>
        <v>unit</v>
      </c>
      <c r="O85" s="41" t="s">
        <v>67</v>
      </c>
      <c r="P85" s="41">
        <v>1</v>
      </c>
      <c r="Q85" s="41" t="s">
        <v>68</v>
      </c>
      <c r="R85" s="41" t="str">
        <f>VLOOKUP(Q:Q,Unit!B:D,2,0)</f>
        <v>pc</v>
      </c>
      <c r="S85" s="41" t="s">
        <v>204</v>
      </c>
      <c r="T85" s="41" t="str">
        <f>VLOOKUP(S:S,Promo!B:D,2,0)</f>
        <v>Pre-Order</v>
      </c>
      <c r="W85" s="41">
        <v>14500</v>
      </c>
      <c r="X85" s="41">
        <v>12400</v>
      </c>
      <c r="AB85" s="41" t="s">
        <v>2056</v>
      </c>
      <c r="AE85" s="41" t="s">
        <v>2269</v>
      </c>
      <c r="AG85" s="41" t="s">
        <v>71</v>
      </c>
      <c r="AH85" s="41" t="s">
        <v>71</v>
      </c>
      <c r="AI85" s="41" t="s">
        <v>71</v>
      </c>
      <c r="AJ85" s="41" t="s">
        <v>71</v>
      </c>
      <c r="AK85" s="41" t="s">
        <v>71</v>
      </c>
      <c r="AL85" s="41" t="s">
        <v>71</v>
      </c>
      <c r="AS85" s="41" t="s">
        <v>3822</v>
      </c>
      <c r="AT85" s="41" t="s">
        <v>2269</v>
      </c>
      <c r="BS85" s="41" t="s">
        <v>2058</v>
      </c>
      <c r="BT85" s="41" t="s">
        <v>72</v>
      </c>
      <c r="BW85" s="41" t="s">
        <v>72</v>
      </c>
      <c r="BX85" s="41">
        <f>VLOOKUP(B:B,Brand!B:D,3,0)</f>
        <v>427</v>
      </c>
      <c r="BY85" s="41">
        <f>VLOOKUP(M:M,Unit!B:D,3,0)</f>
        <v>6</v>
      </c>
      <c r="BZ85" s="41">
        <f>VLOOKUP(S:S,Promo!B:D,3,0)</f>
        <v>33</v>
      </c>
    </row>
    <row r="86" spans="1:78" s="41" customFormat="1" ht="15.75" customHeight="1">
      <c r="A86" s="41">
        <v>151931</v>
      </c>
      <c r="B86" s="41" t="s">
        <v>80</v>
      </c>
      <c r="C86" s="65" t="str">
        <f>VLOOKUP(B:B,Brand!B:C,2,0)</f>
        <v>Samsung</v>
      </c>
      <c r="D86" s="63">
        <f>VLOOKUP(E:E,'Product Category'!J:O,6,FALSE)</f>
        <v>86</v>
      </c>
      <c r="E86" s="41" t="s">
        <v>2122</v>
      </c>
      <c r="F86" s="63" t="str">
        <f>VLOOKUP(E:E,'Product Category'!J:K,2,FALSE)</f>
        <v>16-Major Appliance</v>
      </c>
      <c r="G86" s="63" t="str">
        <f>VLOOKUP(F:F,'Product Category'!K:L,2,FALSE)</f>
        <v>2-Home Appliances / Electronic</v>
      </c>
      <c r="H86" s="41" t="s">
        <v>3441</v>
      </c>
      <c r="I86" s="41" t="s">
        <v>3442</v>
      </c>
      <c r="J86" s="41" t="s">
        <v>4529</v>
      </c>
      <c r="K86" s="41" t="s">
        <v>4530</v>
      </c>
      <c r="L86" s="41">
        <v>1</v>
      </c>
      <c r="M86" s="41" t="s">
        <v>93</v>
      </c>
      <c r="N86" s="41" t="str">
        <f>VLOOKUP(M:M,Unit!B:C,2,0)</f>
        <v>unit</v>
      </c>
      <c r="O86" s="41" t="s">
        <v>67</v>
      </c>
      <c r="P86" s="41">
        <v>1</v>
      </c>
      <c r="Q86" s="41" t="s">
        <v>68</v>
      </c>
      <c r="R86" s="41" t="str">
        <f>VLOOKUP(Q:Q,Unit!B:D,2,0)</f>
        <v>pc</v>
      </c>
      <c r="S86" s="41" t="s">
        <v>75</v>
      </c>
      <c r="T86" s="41" t="str">
        <f>VLOOKUP(S:S,Promo!B:D,2,0)</f>
        <v>Promo EN</v>
      </c>
      <c r="W86" s="41">
        <v>8650</v>
      </c>
      <c r="X86" s="41">
        <v>7650</v>
      </c>
      <c r="AB86" s="41" t="s">
        <v>91</v>
      </c>
      <c r="AE86" s="41" t="s">
        <v>3443</v>
      </c>
      <c r="AF86" s="41" t="s">
        <v>3373</v>
      </c>
      <c r="AG86" s="41" t="s">
        <v>71</v>
      </c>
      <c r="AH86" s="41" t="s">
        <v>71</v>
      </c>
      <c r="AI86" s="41" t="s">
        <v>71</v>
      </c>
      <c r="AJ86" s="41" t="s">
        <v>71</v>
      </c>
      <c r="AK86" s="41" t="s">
        <v>71</v>
      </c>
      <c r="AL86" s="41" t="s">
        <v>71</v>
      </c>
      <c r="AS86" s="41" t="s">
        <v>3444</v>
      </c>
      <c r="AT86" s="41" t="s">
        <v>3445</v>
      </c>
      <c r="BS86" s="41" t="s">
        <v>2058</v>
      </c>
      <c r="BT86" s="41" t="s">
        <v>72</v>
      </c>
      <c r="BU86" s="41" t="s">
        <v>72</v>
      </c>
      <c r="BW86" s="41" t="s">
        <v>72</v>
      </c>
      <c r="BX86" s="41">
        <f>VLOOKUP(B:B,Brand!B:D,3,0)</f>
        <v>160</v>
      </c>
      <c r="BY86" s="41">
        <f>VLOOKUP(M:M,Unit!B:D,3,0)</f>
        <v>6</v>
      </c>
      <c r="BZ86" s="41">
        <f>VLOOKUP(S:S,Promo!B:D,3,0)</f>
        <v>0</v>
      </c>
    </row>
    <row r="87" spans="1:78" s="41" customFormat="1" ht="15.75" customHeight="1">
      <c r="A87" s="41">
        <v>222436</v>
      </c>
      <c r="B87" s="41" t="s">
        <v>92</v>
      </c>
      <c r="C87" s="65" t="str">
        <f>VLOOKUP(B:B,Brand!B:C,2,0)</f>
        <v>LG</v>
      </c>
      <c r="D87" s="63">
        <f>VLOOKUP(E:E,'Product Category'!J:O,6,FALSE)</f>
        <v>86</v>
      </c>
      <c r="E87" s="41" t="s">
        <v>2122</v>
      </c>
      <c r="F87" s="63" t="str">
        <f>VLOOKUP(E:E,'Product Category'!J:K,2,FALSE)</f>
        <v>16-Major Appliance</v>
      </c>
      <c r="G87" s="63" t="str">
        <f>VLOOKUP(F:F,'Product Category'!K:L,2,FALSE)</f>
        <v>2-Home Appliances / Electronic</v>
      </c>
      <c r="H87" s="41" t="s">
        <v>3478</v>
      </c>
      <c r="I87" s="41" t="s">
        <v>3479</v>
      </c>
      <c r="J87" s="41" t="s">
        <v>4551</v>
      </c>
      <c r="K87" s="41" t="s">
        <v>4552</v>
      </c>
      <c r="L87" s="41">
        <v>1</v>
      </c>
      <c r="M87" s="41" t="s">
        <v>93</v>
      </c>
      <c r="N87" s="41" t="str">
        <f>VLOOKUP(M:M,Unit!B:C,2,0)</f>
        <v>unit</v>
      </c>
      <c r="O87" s="41" t="s">
        <v>67</v>
      </c>
      <c r="P87" s="41">
        <v>1</v>
      </c>
      <c r="Q87" s="41" t="s">
        <v>68</v>
      </c>
      <c r="R87" s="41" t="str">
        <f>VLOOKUP(Q:Q,Unit!B:D,2,0)</f>
        <v>pc</v>
      </c>
      <c r="S87" s="41" t="s">
        <v>75</v>
      </c>
      <c r="T87" s="41" t="str">
        <f>VLOOKUP(S:S,Promo!B:D,2,0)</f>
        <v>Promo EN</v>
      </c>
      <c r="W87" s="41">
        <v>14990</v>
      </c>
      <c r="X87" s="41">
        <v>8990</v>
      </c>
      <c r="AB87" s="41" t="s">
        <v>91</v>
      </c>
      <c r="AE87" s="41" t="s">
        <v>3480</v>
      </c>
      <c r="AF87" s="41" t="s">
        <v>3373</v>
      </c>
      <c r="AG87" s="41" t="s">
        <v>71</v>
      </c>
      <c r="AH87" s="41" t="s">
        <v>71</v>
      </c>
      <c r="AI87" s="41" t="s">
        <v>71</v>
      </c>
      <c r="AJ87" s="41" t="s">
        <v>71</v>
      </c>
      <c r="AK87" s="41" t="s">
        <v>71</v>
      </c>
      <c r="AL87" s="41" t="s">
        <v>71</v>
      </c>
      <c r="AS87" s="41" t="s">
        <v>3481</v>
      </c>
      <c r="AT87" s="41" t="s">
        <v>3482</v>
      </c>
      <c r="BS87" s="41" t="s">
        <v>2058</v>
      </c>
      <c r="BT87" s="41" t="s">
        <v>72</v>
      </c>
      <c r="BW87" s="41" t="s">
        <v>72</v>
      </c>
      <c r="BX87" s="41">
        <f>VLOOKUP(B:B,Brand!B:D,3,0)</f>
        <v>716</v>
      </c>
      <c r="BY87" s="41">
        <f>VLOOKUP(M:M,Unit!B:D,3,0)</f>
        <v>6</v>
      </c>
      <c r="BZ87" s="41">
        <f>VLOOKUP(S:S,Promo!B:D,3,0)</f>
        <v>0</v>
      </c>
    </row>
    <row r="88" spans="1:78" s="41" customFormat="1" ht="15.75" customHeight="1">
      <c r="A88" s="41">
        <v>167430</v>
      </c>
      <c r="B88" s="41" t="s">
        <v>202</v>
      </c>
      <c r="C88" s="65" t="str">
        <f>VLOOKUP(B:B,Brand!B:C,2,0)</f>
        <v>Hitachi</v>
      </c>
      <c r="D88" s="63">
        <f>VLOOKUP(E:E,'Product Category'!J:O,6,FALSE)</f>
        <v>86</v>
      </c>
      <c r="E88" s="41" t="s">
        <v>2122</v>
      </c>
      <c r="F88" s="63" t="str">
        <f>VLOOKUP(E:E,'Product Category'!J:K,2,FALSE)</f>
        <v>16-Major Appliance</v>
      </c>
      <c r="G88" s="63" t="str">
        <f>VLOOKUP(F:F,'Product Category'!K:L,2,FALSE)</f>
        <v>2-Home Appliances / Electronic</v>
      </c>
      <c r="H88" s="41" t="s">
        <v>3545</v>
      </c>
      <c r="I88" s="41" t="s">
        <v>3546</v>
      </c>
      <c r="J88" s="65" t="str">
        <f>TRIM(CONCATENATE(B88," ",H88," ",L88," ",M88," ",O88,P88," ",Q88))</f>
        <v>ฮิตาชิ เครื่องซักผ้า #SF160XTV 1 เครื่อง x1 ชิ้น</v>
      </c>
      <c r="K88" s="80" t="str">
        <f>TRIM(CONCATENATE(C88," ",I88," ",L88," ",N88," ",O88,P88," ",R88))</f>
        <v>Hitachi Washing Machine #SF160XTV 1 unit x1 pc</v>
      </c>
      <c r="L88" s="41">
        <v>1</v>
      </c>
      <c r="M88" s="41" t="s">
        <v>93</v>
      </c>
      <c r="N88" s="41" t="str">
        <f>VLOOKUP(M:M,Unit!B:C,2,0)</f>
        <v>unit</v>
      </c>
      <c r="O88" s="41" t="s">
        <v>67</v>
      </c>
      <c r="P88" s="41">
        <v>1</v>
      </c>
      <c r="Q88" s="41" t="s">
        <v>68</v>
      </c>
      <c r="R88" s="41" t="str">
        <f>VLOOKUP(Q:Q,Unit!B:D,2,0)</f>
        <v>pc</v>
      </c>
      <c r="S88" s="41" t="s">
        <v>75</v>
      </c>
      <c r="T88" s="41" t="str">
        <f>VLOOKUP(S:S,Promo!B:D,2,0)</f>
        <v>Promo EN</v>
      </c>
      <c r="W88" s="41">
        <v>20990</v>
      </c>
      <c r="X88" s="41">
        <v>19990</v>
      </c>
      <c r="AB88" s="41" t="s">
        <v>91</v>
      </c>
      <c r="AE88" s="41" t="s">
        <v>3547</v>
      </c>
      <c r="AF88" s="41" t="s">
        <v>3373</v>
      </c>
      <c r="AG88" s="41" t="s">
        <v>71</v>
      </c>
      <c r="AH88" s="41" t="s">
        <v>71</v>
      </c>
      <c r="AI88" s="41" t="s">
        <v>71</v>
      </c>
      <c r="AJ88" s="41" t="s">
        <v>71</v>
      </c>
      <c r="AK88" s="41" t="s">
        <v>71</v>
      </c>
      <c r="AL88" s="41" t="s">
        <v>71</v>
      </c>
      <c r="AP88" s="41" t="s">
        <v>3532</v>
      </c>
      <c r="AS88" s="41" t="s">
        <v>3548</v>
      </c>
      <c r="AT88" s="41" t="s">
        <v>3549</v>
      </c>
      <c r="BS88" s="41" t="s">
        <v>2058</v>
      </c>
      <c r="BT88" s="41" t="s">
        <v>72</v>
      </c>
      <c r="BW88" s="41" t="s">
        <v>72</v>
      </c>
      <c r="BX88" s="41">
        <f>VLOOKUP(B:B,Brand!B:D,3,0)</f>
        <v>744</v>
      </c>
      <c r="BY88" s="41">
        <f>VLOOKUP(M:M,Unit!B:D,3,0)</f>
        <v>6</v>
      </c>
      <c r="BZ88" s="41">
        <f>VLOOKUP(S:S,Promo!B:D,3,0)</f>
        <v>0</v>
      </c>
    </row>
    <row r="89" spans="1:78" s="41" customFormat="1" ht="15.75" customHeight="1">
      <c r="A89" s="41">
        <v>173978</v>
      </c>
      <c r="B89" s="41" t="s">
        <v>92</v>
      </c>
      <c r="C89" s="65" t="str">
        <f>VLOOKUP(B:B,Brand!B:C,2,0)</f>
        <v>LG</v>
      </c>
      <c r="D89" s="63">
        <f>VLOOKUP(E:E,'Product Category'!J:O,6,FALSE)</f>
        <v>86</v>
      </c>
      <c r="E89" s="41" t="s">
        <v>2122</v>
      </c>
      <c r="F89" s="63" t="str">
        <f>VLOOKUP(E:E,'Product Category'!J:K,2,FALSE)</f>
        <v>16-Major Appliance</v>
      </c>
      <c r="G89" s="63" t="str">
        <f>VLOOKUP(F:F,'Product Category'!K:L,2,FALSE)</f>
        <v>2-Home Appliances / Electronic</v>
      </c>
      <c r="H89" s="41" t="s">
        <v>3550</v>
      </c>
      <c r="I89" s="41" t="s">
        <v>3551</v>
      </c>
      <c r="J89" s="41" t="s">
        <v>4591</v>
      </c>
      <c r="K89" s="41" t="s">
        <v>4592</v>
      </c>
      <c r="L89" s="41">
        <v>1</v>
      </c>
      <c r="M89" s="41" t="s">
        <v>93</v>
      </c>
      <c r="N89" s="41" t="str">
        <f>VLOOKUP(M:M,Unit!B:C,2,0)</f>
        <v>unit</v>
      </c>
      <c r="O89" s="41" t="s">
        <v>67</v>
      </c>
      <c r="P89" s="41">
        <v>1</v>
      </c>
      <c r="Q89" s="41" t="s">
        <v>68</v>
      </c>
      <c r="R89" s="41" t="str">
        <f>VLOOKUP(Q:Q,Unit!B:D,2,0)</f>
        <v>pc</v>
      </c>
      <c r="S89" s="41" t="s">
        <v>75</v>
      </c>
      <c r="T89" s="41" t="str">
        <f>VLOOKUP(S:S,Promo!B:D,2,0)</f>
        <v>Promo EN</v>
      </c>
      <c r="W89" s="41">
        <v>7590</v>
      </c>
      <c r="X89" s="41">
        <v>6590</v>
      </c>
      <c r="AB89" s="41" t="s">
        <v>91</v>
      </c>
      <c r="AE89" s="41" t="s">
        <v>3552</v>
      </c>
      <c r="AF89" s="41" t="s">
        <v>3373</v>
      </c>
      <c r="AG89" s="41" t="s">
        <v>71</v>
      </c>
      <c r="AH89" s="41" t="s">
        <v>71</v>
      </c>
      <c r="AI89" s="41" t="s">
        <v>71</v>
      </c>
      <c r="AJ89" s="41" t="s">
        <v>71</v>
      </c>
      <c r="AK89" s="41" t="s">
        <v>71</v>
      </c>
      <c r="AL89" s="41" t="s">
        <v>71</v>
      </c>
      <c r="AP89" s="41" t="s">
        <v>3532</v>
      </c>
      <c r="AS89" s="41" t="s">
        <v>3553</v>
      </c>
      <c r="AT89" s="41" t="s">
        <v>3554</v>
      </c>
      <c r="BS89" s="41" t="s">
        <v>2058</v>
      </c>
      <c r="BT89" s="41" t="s">
        <v>72</v>
      </c>
      <c r="BU89" s="41" t="s">
        <v>72</v>
      </c>
      <c r="BW89" s="41" t="s">
        <v>72</v>
      </c>
      <c r="BX89" s="41">
        <f>VLOOKUP(B:B,Brand!B:D,3,0)</f>
        <v>716</v>
      </c>
      <c r="BY89" s="41">
        <f>VLOOKUP(M:M,Unit!B:D,3,0)</f>
        <v>6</v>
      </c>
      <c r="BZ89" s="41">
        <f>VLOOKUP(S:S,Promo!B:D,3,0)</f>
        <v>0</v>
      </c>
    </row>
    <row r="90" spans="1:78" s="41" customFormat="1" ht="15.75" customHeight="1">
      <c r="A90" s="41">
        <v>333715</v>
      </c>
      <c r="B90" s="41" t="s">
        <v>201</v>
      </c>
      <c r="C90" s="65" t="str">
        <f>VLOOKUP(B:B,Brand!B:C,2,0)</f>
        <v>Toshiba</v>
      </c>
      <c r="D90" s="63">
        <f>VLOOKUP(E:E,'Product Category'!J:O,6,FALSE)</f>
        <v>86</v>
      </c>
      <c r="E90" s="41" t="s">
        <v>2122</v>
      </c>
      <c r="F90" s="63" t="str">
        <f>VLOOKUP(E:E,'Product Category'!J:K,2,FALSE)</f>
        <v>16-Major Appliance</v>
      </c>
      <c r="G90" s="63" t="str">
        <f>VLOOKUP(F:F,'Product Category'!K:L,2,FALSE)</f>
        <v>2-Home Appliances / Electronic</v>
      </c>
      <c r="H90" s="41" t="s">
        <v>3850</v>
      </c>
      <c r="I90" s="41" t="s">
        <v>3851</v>
      </c>
      <c r="J90" s="41" t="s">
        <v>4799</v>
      </c>
      <c r="K90" s="41" t="s">
        <v>4800</v>
      </c>
      <c r="L90" s="41">
        <v>1</v>
      </c>
      <c r="M90" s="41" t="s">
        <v>93</v>
      </c>
      <c r="N90" s="41" t="str">
        <f>VLOOKUP(M:M,Unit!B:C,2,0)</f>
        <v>unit</v>
      </c>
      <c r="O90" s="41" t="s">
        <v>67</v>
      </c>
      <c r="P90" s="41">
        <v>1</v>
      </c>
      <c r="Q90" s="41" t="s">
        <v>68</v>
      </c>
      <c r="R90" s="41" t="str">
        <f>VLOOKUP(Q:Q,Unit!B:D,2,0)</f>
        <v>pc</v>
      </c>
      <c r="S90" s="41" t="s">
        <v>75</v>
      </c>
      <c r="T90" s="41" t="str">
        <f>VLOOKUP(S:S,Promo!B:D,2,0)</f>
        <v>Promo EN</v>
      </c>
      <c r="W90" s="41">
        <v>6990</v>
      </c>
      <c r="X90" s="41">
        <v>5990</v>
      </c>
      <c r="AB90" s="41" t="s">
        <v>91</v>
      </c>
      <c r="AE90" s="41" t="s">
        <v>3852</v>
      </c>
      <c r="AG90" s="41" t="s">
        <v>71</v>
      </c>
      <c r="AH90" s="41" t="s">
        <v>71</v>
      </c>
      <c r="AI90" s="41" t="s">
        <v>71</v>
      </c>
      <c r="AJ90" s="41" t="s">
        <v>71</v>
      </c>
      <c r="AK90" s="41" t="s">
        <v>71</v>
      </c>
      <c r="AL90" s="41" t="s">
        <v>71</v>
      </c>
      <c r="AS90" s="41" t="s">
        <v>3853</v>
      </c>
      <c r="AT90" s="41" t="s">
        <v>3854</v>
      </c>
      <c r="BS90" s="41" t="s">
        <v>2058</v>
      </c>
      <c r="BT90" s="41" t="s">
        <v>72</v>
      </c>
      <c r="BW90" s="41" t="s">
        <v>72</v>
      </c>
      <c r="BX90" s="41">
        <f>VLOOKUP(B:B,Brand!B:D,3,0)</f>
        <v>260</v>
      </c>
      <c r="BY90" s="41">
        <f>VLOOKUP(M:M,Unit!B:D,3,0)</f>
        <v>6</v>
      </c>
      <c r="BZ90" s="41">
        <f>VLOOKUP(S:S,Promo!B:D,3,0)</f>
        <v>0</v>
      </c>
    </row>
    <row r="91" spans="1:78" s="41" customFormat="1" ht="15.75" customHeight="1">
      <c r="A91" s="41">
        <v>817722</v>
      </c>
      <c r="B91" s="41" t="s">
        <v>202</v>
      </c>
      <c r="C91" s="65" t="str">
        <f>VLOOKUP(B:B,Brand!B:C,2,0)</f>
        <v>Hitachi</v>
      </c>
      <c r="D91" s="63">
        <f>VLOOKUP(E:E,'Product Category'!J:O,6,FALSE)</f>
        <v>86</v>
      </c>
      <c r="E91" s="41" t="s">
        <v>2122</v>
      </c>
      <c r="F91" s="63" t="str">
        <f>VLOOKUP(E:E,'Product Category'!J:K,2,FALSE)</f>
        <v>16-Major Appliance</v>
      </c>
      <c r="G91" s="63" t="str">
        <f>VLOOKUP(F:F,'Product Category'!K:L,2,FALSE)</f>
        <v>2-Home Appliances / Electronic</v>
      </c>
      <c r="H91" s="41" t="s">
        <v>3859</v>
      </c>
      <c r="I91" s="41" t="s">
        <v>3860</v>
      </c>
      <c r="J91" s="65" t="str">
        <f>TRIM(CONCATENATE(B91," ",H91," ",L91," ",M91," ",O91,P91," ",Q91))</f>
        <v>ฮิตาชิ เครื่องซักผ้า12 กก. #SP-120XA 1 เครื่อง x1 ชิ้น</v>
      </c>
      <c r="K91" s="80" t="str">
        <f>TRIM(CONCATENATE(C91," ",I91," ",L91," ",N91," ",O91,P91," ",R91))</f>
        <v>Hitachi WASHING MACHINE 12 KG. #SF-120XA 1 unit x1 pc</v>
      </c>
      <c r="L91" s="41">
        <v>1</v>
      </c>
      <c r="M91" s="41" t="s">
        <v>93</v>
      </c>
      <c r="N91" s="41" t="str">
        <f>VLOOKUP(M:M,Unit!B:C,2,0)</f>
        <v>unit</v>
      </c>
      <c r="O91" s="41" t="s">
        <v>67</v>
      </c>
      <c r="P91" s="41">
        <v>1</v>
      </c>
      <c r="Q91" s="41" t="s">
        <v>68</v>
      </c>
      <c r="R91" s="41" t="str">
        <f>VLOOKUP(Q:Q,Unit!B:D,2,0)</f>
        <v>pc</v>
      </c>
      <c r="S91" s="41" t="s">
        <v>75</v>
      </c>
      <c r="T91" s="41" t="str">
        <f>VLOOKUP(S:S,Promo!B:D,2,0)</f>
        <v>Promo EN</v>
      </c>
      <c r="W91" s="41">
        <v>13990</v>
      </c>
      <c r="X91" s="41">
        <v>12990</v>
      </c>
      <c r="AB91" s="41" t="s">
        <v>91</v>
      </c>
      <c r="AE91" s="41" t="s">
        <v>3861</v>
      </c>
      <c r="AG91" s="41" t="s">
        <v>71</v>
      </c>
      <c r="AH91" s="41" t="s">
        <v>71</v>
      </c>
      <c r="AI91" s="41" t="s">
        <v>71</v>
      </c>
      <c r="AJ91" s="41" t="s">
        <v>71</v>
      </c>
      <c r="AK91" s="41" t="s">
        <v>71</v>
      </c>
      <c r="AL91" s="41" t="s">
        <v>71</v>
      </c>
      <c r="AS91" s="41" t="s">
        <v>3862</v>
      </c>
      <c r="AT91" s="41" t="s">
        <v>3480</v>
      </c>
      <c r="BS91" s="41" t="s">
        <v>2058</v>
      </c>
      <c r="BT91" s="41" t="s">
        <v>72</v>
      </c>
      <c r="BW91" s="41" t="s">
        <v>72</v>
      </c>
      <c r="BX91" s="41">
        <f>VLOOKUP(B:B,Brand!B:D,3,0)</f>
        <v>744</v>
      </c>
      <c r="BY91" s="41">
        <f>VLOOKUP(M:M,Unit!B:D,3,0)</f>
        <v>6</v>
      </c>
      <c r="BZ91" s="41">
        <f>VLOOKUP(S:S,Promo!B:D,3,0)</f>
        <v>0</v>
      </c>
    </row>
    <row r="92" spans="1:78" s="41" customFormat="1" ht="15.75" customHeight="1">
      <c r="A92" s="41">
        <v>149949</v>
      </c>
      <c r="B92" s="41" t="s">
        <v>92</v>
      </c>
      <c r="C92" s="65" t="str">
        <f>VLOOKUP(B:B,Brand!B:C,2,0)</f>
        <v>LG</v>
      </c>
      <c r="D92" s="63">
        <f>VLOOKUP(E:E,'Product Category'!J:O,6,FALSE)</f>
        <v>86</v>
      </c>
      <c r="E92" s="41" t="s">
        <v>2122</v>
      </c>
      <c r="F92" s="63" t="str">
        <f>VLOOKUP(E:E,'Product Category'!J:K,2,FALSE)</f>
        <v>16-Major Appliance</v>
      </c>
      <c r="G92" s="63" t="str">
        <f>VLOOKUP(F:F,'Product Category'!K:L,2,FALSE)</f>
        <v>2-Home Appliances / Electronic</v>
      </c>
      <c r="H92" s="41" t="s">
        <v>4440</v>
      </c>
      <c r="I92" s="41" t="s">
        <v>4441</v>
      </c>
      <c r="J92" s="41" t="s">
        <v>5224</v>
      </c>
      <c r="K92" s="41" t="s">
        <v>5225</v>
      </c>
      <c r="L92" s="41">
        <v>1</v>
      </c>
      <c r="M92" s="41" t="s">
        <v>93</v>
      </c>
      <c r="N92" s="41" t="str">
        <f>VLOOKUP(M:M,Unit!B:C,2,0)</f>
        <v>unit</v>
      </c>
      <c r="O92" s="41" t="s">
        <v>67</v>
      </c>
      <c r="P92" s="41">
        <v>1</v>
      </c>
      <c r="Q92" s="41" t="s">
        <v>68</v>
      </c>
      <c r="R92" s="41" t="str">
        <f>VLOOKUP(Q:Q,Unit!B:D,2,0)</f>
        <v>pc</v>
      </c>
      <c r="S92" s="41" t="s">
        <v>75</v>
      </c>
      <c r="T92" s="41" t="str">
        <f>VLOOKUP(S:S,Promo!B:D,2,0)</f>
        <v>Promo EN</v>
      </c>
      <c r="W92" s="41">
        <v>9690</v>
      </c>
      <c r="X92" s="41">
        <v>8690</v>
      </c>
      <c r="AB92" s="41" t="s">
        <v>91</v>
      </c>
      <c r="AE92" s="41" t="s">
        <v>4442</v>
      </c>
      <c r="AG92" s="41" t="s">
        <v>71</v>
      </c>
      <c r="AH92" s="41" t="s">
        <v>71</v>
      </c>
      <c r="AI92" s="41" t="s">
        <v>71</v>
      </c>
      <c r="AJ92" s="41" t="s">
        <v>71</v>
      </c>
      <c r="AK92" s="41" t="s">
        <v>71</v>
      </c>
      <c r="AL92" s="41" t="s">
        <v>71</v>
      </c>
      <c r="AS92" s="41" t="s">
        <v>3444</v>
      </c>
      <c r="AT92" s="41" t="s">
        <v>3445</v>
      </c>
      <c r="BS92" s="41" t="s">
        <v>2058</v>
      </c>
      <c r="BT92" s="41" t="s">
        <v>72</v>
      </c>
      <c r="BW92" s="41" t="s">
        <v>72</v>
      </c>
      <c r="BX92" s="41">
        <f>VLOOKUP(B:B,Brand!B:D,3,0)</f>
        <v>716</v>
      </c>
      <c r="BY92" s="41">
        <f>VLOOKUP(M:M,Unit!B:D,3,0)</f>
        <v>6</v>
      </c>
      <c r="BZ92" s="41">
        <f>VLOOKUP(S:S,Promo!B:D,3,0)</f>
        <v>0</v>
      </c>
    </row>
    <row r="93" spans="1:78" s="41" customFormat="1" ht="15.75" customHeight="1">
      <c r="A93" s="41">
        <v>802119</v>
      </c>
      <c r="B93" s="41" t="s">
        <v>971</v>
      </c>
      <c r="C93" s="65" t="str">
        <f>VLOOKUP(B:B,Brand!B:C,2,0)</f>
        <v>Mitsubishi</v>
      </c>
      <c r="D93" s="63">
        <f>VLOOKUP(E:E,'Product Category'!J:O,6,FALSE)</f>
        <v>87</v>
      </c>
      <c r="E93" s="41" t="s">
        <v>2075</v>
      </c>
      <c r="F93" s="63" t="str">
        <f>VLOOKUP(E:E,'Product Category'!J:K,2,FALSE)</f>
        <v>16-Major Appliance</v>
      </c>
      <c r="G93" s="63" t="str">
        <f>VLOOKUP(F:F,'Product Category'!K:L,2,FALSE)</f>
        <v>2-Home Appliances / Electronic</v>
      </c>
      <c r="H93" s="41" t="s">
        <v>3796</v>
      </c>
      <c r="I93" s="41" t="s">
        <v>3797</v>
      </c>
      <c r="J93" s="41" t="s">
        <v>4779</v>
      </c>
      <c r="K93" s="41" t="s">
        <v>4780</v>
      </c>
      <c r="L93" s="41">
        <v>1</v>
      </c>
      <c r="M93" s="41" t="s">
        <v>93</v>
      </c>
      <c r="N93" s="41" t="str">
        <f>VLOOKUP(M:M,Unit!B:C,2,0)</f>
        <v>unit</v>
      </c>
      <c r="O93" s="41" t="s">
        <v>67</v>
      </c>
      <c r="P93" s="41">
        <v>1</v>
      </c>
      <c r="Q93" s="41" t="s">
        <v>68</v>
      </c>
      <c r="R93" s="41" t="str">
        <f>VLOOKUP(Q:Q,Unit!B:D,2,0)</f>
        <v>pc</v>
      </c>
      <c r="S93" s="41" t="s">
        <v>75</v>
      </c>
      <c r="T93" s="41" t="str">
        <f>VLOOKUP(S:S,Promo!B:D,2,0)</f>
        <v>Promo EN</v>
      </c>
      <c r="W93" s="41">
        <v>16790</v>
      </c>
      <c r="X93" s="41">
        <v>15790</v>
      </c>
      <c r="AB93" s="41" t="s">
        <v>91</v>
      </c>
      <c r="AE93" s="41" t="s">
        <v>3798</v>
      </c>
      <c r="AG93" s="41" t="s">
        <v>71</v>
      </c>
      <c r="AH93" s="41" t="s">
        <v>71</v>
      </c>
      <c r="AI93" s="41" t="s">
        <v>71</v>
      </c>
      <c r="AJ93" s="41" t="s">
        <v>71</v>
      </c>
      <c r="AK93" s="41" t="s">
        <v>71</v>
      </c>
      <c r="AL93" s="41" t="s">
        <v>71</v>
      </c>
      <c r="AS93" s="41" t="s">
        <v>3799</v>
      </c>
      <c r="AT93" s="41" t="s">
        <v>3800</v>
      </c>
      <c r="BS93" s="41" t="s">
        <v>2058</v>
      </c>
      <c r="BT93" s="41" t="s">
        <v>72</v>
      </c>
      <c r="BW93" s="41" t="s">
        <v>72</v>
      </c>
      <c r="BX93" s="41">
        <f>VLOOKUP(B:B,Brand!B:D,3,0)</f>
        <v>505</v>
      </c>
      <c r="BY93" s="41">
        <f>VLOOKUP(M:M,Unit!B:D,3,0)</f>
        <v>6</v>
      </c>
      <c r="BZ93" s="41">
        <f>VLOOKUP(S:S,Promo!B:D,3,0)</f>
        <v>0</v>
      </c>
    </row>
    <row r="94" spans="1:78" s="41" customFormat="1" ht="15.75" customHeight="1">
      <c r="A94" s="41">
        <v>193888</v>
      </c>
      <c r="B94" s="41" t="s">
        <v>202</v>
      </c>
      <c r="C94" s="65" t="str">
        <f>VLOOKUP(B:B,Brand!B:C,2,0)</f>
        <v>Hitachi</v>
      </c>
      <c r="D94" s="63">
        <f>VLOOKUP(E:E,'Product Category'!J:O,6,FALSE)</f>
        <v>87</v>
      </c>
      <c r="E94" s="41" t="s">
        <v>2075</v>
      </c>
      <c r="F94" s="63" t="str">
        <f>VLOOKUP(E:E,'Product Category'!J:K,2,FALSE)</f>
        <v>16-Major Appliance</v>
      </c>
      <c r="G94" s="63" t="str">
        <f>VLOOKUP(F:F,'Product Category'!K:L,2,FALSE)</f>
        <v>2-Home Appliances / Electronic</v>
      </c>
      <c r="H94" s="41" t="s">
        <v>3829</v>
      </c>
      <c r="I94" s="41" t="s">
        <v>3830</v>
      </c>
      <c r="J94" s="65" t="str">
        <f>TRIM(CONCATENATE(B94," ",H94," ",L94," ",M94," ",O94,P94," ",Q94))</f>
        <v>ฮิตาชิ ตู้เย็น #R-64V 1 เครื่อง x1 ชิ้น</v>
      </c>
      <c r="K94" s="80" t="str">
        <f>TRIM(CONCATENATE(C94," ",I94," ",L94," ",N94," ",O94,P94," ",R94))</f>
        <v>Hitachi REFRIGERATOR #R-64V 1 unit x1 pc</v>
      </c>
      <c r="L94" s="41">
        <v>1</v>
      </c>
      <c r="M94" s="41" t="s">
        <v>93</v>
      </c>
      <c r="N94" s="41" t="str">
        <f>VLOOKUP(M:M,Unit!B:C,2,0)</f>
        <v>unit</v>
      </c>
      <c r="O94" s="41" t="s">
        <v>67</v>
      </c>
      <c r="P94" s="41">
        <v>1</v>
      </c>
      <c r="Q94" s="41" t="s">
        <v>68</v>
      </c>
      <c r="R94" s="41" t="str">
        <f>VLOOKUP(Q:Q,Unit!B:D,2,0)</f>
        <v>pc</v>
      </c>
      <c r="S94" s="41" t="s">
        <v>75</v>
      </c>
      <c r="T94" s="41" t="str">
        <f>VLOOKUP(S:S,Promo!B:D,2,0)</f>
        <v>Promo EN</v>
      </c>
      <c r="W94" s="41">
        <v>7690</v>
      </c>
      <c r="X94" s="41">
        <v>6690</v>
      </c>
      <c r="AB94" s="41" t="s">
        <v>91</v>
      </c>
      <c r="AE94" s="41" t="s">
        <v>3831</v>
      </c>
      <c r="AG94" s="41" t="s">
        <v>71</v>
      </c>
      <c r="AH94" s="41" t="s">
        <v>71</v>
      </c>
      <c r="AI94" s="41" t="s">
        <v>71</v>
      </c>
      <c r="AJ94" s="41" t="s">
        <v>71</v>
      </c>
      <c r="AK94" s="41" t="s">
        <v>71</v>
      </c>
      <c r="AL94" s="41" t="s">
        <v>71</v>
      </c>
      <c r="AS94" s="41" t="s">
        <v>3832</v>
      </c>
      <c r="AT94" s="41" t="s">
        <v>3833</v>
      </c>
      <c r="BS94" s="41" t="s">
        <v>2058</v>
      </c>
      <c r="BT94" s="41" t="s">
        <v>72</v>
      </c>
      <c r="BW94" s="41" t="s">
        <v>72</v>
      </c>
      <c r="BX94" s="41">
        <f>VLOOKUP(B:B,Brand!B:D,3,0)</f>
        <v>744</v>
      </c>
      <c r="BY94" s="41">
        <f>VLOOKUP(M:M,Unit!B:D,3,0)</f>
        <v>6</v>
      </c>
      <c r="BZ94" s="41">
        <f>VLOOKUP(S:S,Promo!B:D,3,0)</f>
        <v>0</v>
      </c>
    </row>
    <row r="95" spans="1:78" s="41" customFormat="1" ht="15.75" customHeight="1">
      <c r="A95" s="41">
        <v>212649</v>
      </c>
      <c r="B95" s="41" t="s">
        <v>80</v>
      </c>
      <c r="C95" s="65" t="str">
        <f>VLOOKUP(B:B,Brand!B:C,2,0)</f>
        <v>Samsung</v>
      </c>
      <c r="D95" s="63">
        <f>VLOOKUP(E:E,'Product Category'!J:O,6,FALSE)</f>
        <v>87</v>
      </c>
      <c r="E95" s="41" t="s">
        <v>2075</v>
      </c>
      <c r="F95" s="63" t="str">
        <f>VLOOKUP(E:E,'Product Category'!J:K,2,FALSE)</f>
        <v>16-Major Appliance</v>
      </c>
      <c r="G95" s="63" t="str">
        <f>VLOOKUP(F:F,'Product Category'!K:L,2,FALSE)</f>
        <v>2-Home Appliances / Electronic</v>
      </c>
      <c r="H95" s="41" t="s">
        <v>3834</v>
      </c>
      <c r="I95" s="41" t="s">
        <v>3835</v>
      </c>
      <c r="J95" s="41" t="s">
        <v>4791</v>
      </c>
      <c r="K95" s="41" t="s">
        <v>4792</v>
      </c>
      <c r="L95" s="41">
        <v>1</v>
      </c>
      <c r="M95" s="41" t="s">
        <v>93</v>
      </c>
      <c r="N95" s="41" t="str">
        <f>VLOOKUP(M:M,Unit!B:C,2,0)</f>
        <v>unit</v>
      </c>
      <c r="O95" s="41" t="s">
        <v>67</v>
      </c>
      <c r="P95" s="41">
        <v>1</v>
      </c>
      <c r="Q95" s="41" t="s">
        <v>68</v>
      </c>
      <c r="R95" s="41" t="str">
        <f>VLOOKUP(Q:Q,Unit!B:D,2,0)</f>
        <v>pc</v>
      </c>
      <c r="S95" s="41" t="s">
        <v>75</v>
      </c>
      <c r="T95" s="41" t="str">
        <f>VLOOKUP(S:S,Promo!B:D,2,0)</f>
        <v>Promo EN</v>
      </c>
      <c r="W95" s="41">
        <v>10290</v>
      </c>
      <c r="X95" s="41">
        <v>9290</v>
      </c>
      <c r="AB95" s="41" t="s">
        <v>91</v>
      </c>
      <c r="AE95" s="41" t="s">
        <v>3836</v>
      </c>
      <c r="AG95" s="41" t="s">
        <v>71</v>
      </c>
      <c r="AH95" s="41" t="s">
        <v>71</v>
      </c>
      <c r="AI95" s="41" t="s">
        <v>71</v>
      </c>
      <c r="AJ95" s="41" t="s">
        <v>71</v>
      </c>
      <c r="AK95" s="41" t="s">
        <v>71</v>
      </c>
      <c r="AL95" s="41" t="s">
        <v>71</v>
      </c>
      <c r="AS95" s="41" t="s">
        <v>3837</v>
      </c>
      <c r="AT95" s="41" t="s">
        <v>3838</v>
      </c>
      <c r="BS95" s="41" t="s">
        <v>2058</v>
      </c>
      <c r="BT95" s="41" t="s">
        <v>72</v>
      </c>
      <c r="BW95" s="41" t="s">
        <v>72</v>
      </c>
      <c r="BX95" s="41">
        <f>VLOOKUP(B:B,Brand!B:D,3,0)</f>
        <v>160</v>
      </c>
      <c r="BY95" s="41">
        <f>VLOOKUP(M:M,Unit!B:D,3,0)</f>
        <v>6</v>
      </c>
      <c r="BZ95" s="41">
        <f>VLOOKUP(S:S,Promo!B:D,3,0)</f>
        <v>0</v>
      </c>
    </row>
    <row r="96" spans="1:78" s="41" customFormat="1" ht="15.75" customHeight="1">
      <c r="A96" s="41">
        <v>220274</v>
      </c>
      <c r="B96" s="41" t="s">
        <v>202</v>
      </c>
      <c r="C96" s="65" t="str">
        <f>VLOOKUP(B:B,Brand!B:C,2,0)</f>
        <v>Hitachi</v>
      </c>
      <c r="D96" s="63">
        <f>VLOOKUP(E:E,'Product Category'!J:O,6,FALSE)</f>
        <v>87</v>
      </c>
      <c r="E96" s="41" t="s">
        <v>2075</v>
      </c>
      <c r="F96" s="63" t="str">
        <f>VLOOKUP(E:E,'Product Category'!J:K,2,FALSE)</f>
        <v>16-Major Appliance</v>
      </c>
      <c r="G96" s="63" t="str">
        <f>VLOOKUP(F:F,'Product Category'!K:L,2,FALSE)</f>
        <v>2-Home Appliances / Electronic</v>
      </c>
      <c r="H96" s="41" t="s">
        <v>3967</v>
      </c>
      <c r="I96" s="41" t="s">
        <v>3968</v>
      </c>
      <c r="J96" s="65" t="str">
        <f>TRIM(CONCATENATE(B96," ",H96," ",L96," ",M96," ",O96,P96," ",Q96))</f>
        <v>ฮิตาชิ ตู้เย็น 2 ประตู #RH230PA 1 เครื่อง x1 ชิ้น</v>
      </c>
      <c r="K96" s="80" t="str">
        <f>TRIM(CONCATENATE(C96," ",I96," ",L96," ",N96," ",O96,P96," ",R96))</f>
        <v>Hitachi REFRIGERTOR 2 DOOR #RH230PA 1 unit x1 pc</v>
      </c>
      <c r="L96" s="41">
        <v>1</v>
      </c>
      <c r="M96" s="41" t="s">
        <v>93</v>
      </c>
      <c r="N96" s="41" t="str">
        <f>VLOOKUP(M:M,Unit!B:C,2,0)</f>
        <v>unit</v>
      </c>
      <c r="O96" s="41" t="s">
        <v>67</v>
      </c>
      <c r="P96" s="41">
        <v>1</v>
      </c>
      <c r="Q96" s="41" t="s">
        <v>68</v>
      </c>
      <c r="R96" s="41" t="str">
        <f>VLOOKUP(Q:Q,Unit!B:D,2,0)</f>
        <v>pc</v>
      </c>
      <c r="S96" s="41" t="s">
        <v>75</v>
      </c>
      <c r="T96" s="41" t="str">
        <f>VLOOKUP(S:S,Promo!B:D,2,0)</f>
        <v>Promo EN</v>
      </c>
      <c r="W96" s="41">
        <v>10990</v>
      </c>
      <c r="X96" s="41">
        <v>7990</v>
      </c>
      <c r="AB96" s="41" t="s">
        <v>91</v>
      </c>
      <c r="AE96" s="41" t="s">
        <v>3969</v>
      </c>
      <c r="AG96" s="41" t="s">
        <v>71</v>
      </c>
      <c r="AH96" s="41" t="s">
        <v>71</v>
      </c>
      <c r="AI96" s="41" t="s">
        <v>71</v>
      </c>
      <c r="AJ96" s="41" t="s">
        <v>71</v>
      </c>
      <c r="AK96" s="41" t="s">
        <v>71</v>
      </c>
      <c r="AL96" s="41" t="s">
        <v>71</v>
      </c>
      <c r="AS96" s="41" t="s">
        <v>3970</v>
      </c>
      <c r="AT96" s="41" t="s">
        <v>3969</v>
      </c>
      <c r="BS96" s="41" t="s">
        <v>2058</v>
      </c>
      <c r="BT96" s="41" t="s">
        <v>72</v>
      </c>
      <c r="BW96" s="41" t="s">
        <v>72</v>
      </c>
      <c r="BX96" s="41">
        <f>VLOOKUP(B:B,Brand!B:D,3,0)</f>
        <v>744</v>
      </c>
      <c r="BY96" s="41">
        <f>VLOOKUP(M:M,Unit!B:D,3,0)</f>
        <v>6</v>
      </c>
      <c r="BZ96" s="41">
        <f>VLOOKUP(S:S,Promo!B:D,3,0)</f>
        <v>0</v>
      </c>
    </row>
    <row r="97" spans="1:78" s="41" customFormat="1" ht="15.75" customHeight="1">
      <c r="A97" s="41">
        <v>128839</v>
      </c>
      <c r="B97" s="41" t="s">
        <v>2421</v>
      </c>
      <c r="C97" s="65" t="str">
        <f>VLOOKUP(B:B,Brand!B:C,2,0)</f>
        <v>AJ</v>
      </c>
      <c r="D97" s="63">
        <f>VLOOKUP(E:E,'Product Category'!J:O,6,FALSE)</f>
        <v>87</v>
      </c>
      <c r="E97" s="41" t="s">
        <v>2075</v>
      </c>
      <c r="F97" s="63" t="str">
        <f>VLOOKUP(E:E,'Product Category'!J:K,2,FALSE)</f>
        <v>16-Major Appliance</v>
      </c>
      <c r="G97" s="63" t="str">
        <f>VLOOKUP(F:F,'Product Category'!K:L,2,FALSE)</f>
        <v>2-Home Appliances / Electronic</v>
      </c>
      <c r="H97" s="41" t="s">
        <v>4335</v>
      </c>
      <c r="I97" s="41" t="s">
        <v>4336</v>
      </c>
      <c r="J97" s="41" t="s">
        <v>5122</v>
      </c>
      <c r="K97" s="41" t="s">
        <v>5123</v>
      </c>
      <c r="L97" s="41">
        <v>1</v>
      </c>
      <c r="M97" s="41" t="s">
        <v>93</v>
      </c>
      <c r="N97" s="41" t="str">
        <f>VLOOKUP(M:M,Unit!B:C,2,0)</f>
        <v>unit</v>
      </c>
      <c r="O97" s="41" t="s">
        <v>67</v>
      </c>
      <c r="P97" s="41">
        <v>1</v>
      </c>
      <c r="Q97" s="41" t="s">
        <v>68</v>
      </c>
      <c r="R97" s="41" t="str">
        <f>VLOOKUP(Q:Q,Unit!B:D,2,0)</f>
        <v>pc</v>
      </c>
      <c r="S97" s="41" t="s">
        <v>75</v>
      </c>
      <c r="T97" s="41" t="str">
        <f>VLOOKUP(S:S,Promo!B:D,2,0)</f>
        <v>Promo EN</v>
      </c>
      <c r="W97" s="41">
        <v>4790</v>
      </c>
      <c r="X97" s="41">
        <v>3790</v>
      </c>
      <c r="AB97" s="41" t="s">
        <v>2054</v>
      </c>
      <c r="AE97" s="41" t="s">
        <v>4337</v>
      </c>
      <c r="AF97" s="41" t="s">
        <v>3373</v>
      </c>
      <c r="AG97" s="41" t="s">
        <v>71</v>
      </c>
      <c r="AH97" s="41" t="s">
        <v>71</v>
      </c>
      <c r="AI97" s="41" t="s">
        <v>71</v>
      </c>
      <c r="AJ97" s="41" t="s">
        <v>71</v>
      </c>
      <c r="AK97" s="41" t="s">
        <v>71</v>
      </c>
      <c r="AL97" s="41" t="s">
        <v>71</v>
      </c>
      <c r="AS97" s="41" t="s">
        <v>4338</v>
      </c>
      <c r="AT97" s="41" t="s">
        <v>4339</v>
      </c>
      <c r="BS97" s="41" t="s">
        <v>2058</v>
      </c>
      <c r="BT97" s="41" t="s">
        <v>72</v>
      </c>
      <c r="BU97" s="41" t="s">
        <v>72</v>
      </c>
      <c r="BW97" s="41" t="s">
        <v>72</v>
      </c>
      <c r="BX97" s="41">
        <f>VLOOKUP(B:B,Brand!B:D,3,0)</f>
        <v>976</v>
      </c>
      <c r="BY97" s="41">
        <f>VLOOKUP(M:M,Unit!B:D,3,0)</f>
        <v>6</v>
      </c>
      <c r="BZ97" s="41">
        <f>VLOOKUP(S:S,Promo!B:D,3,0)</f>
        <v>0</v>
      </c>
    </row>
    <row r="98" spans="1:78" s="41" customFormat="1" ht="15.75" customHeight="1">
      <c r="A98" s="41">
        <v>167668</v>
      </c>
      <c r="B98" s="41" t="s">
        <v>1232</v>
      </c>
      <c r="C98" s="65" t="str">
        <f>VLOOKUP(B:B,Brand!B:C,2,0)</f>
        <v>Imarflex</v>
      </c>
      <c r="D98" s="63">
        <f>VLOOKUP(E:E,'Product Category'!J:O,6,FALSE)</f>
        <v>92</v>
      </c>
      <c r="E98" s="41" t="s">
        <v>2116</v>
      </c>
      <c r="F98" s="63" t="str">
        <f>VLOOKUP(E:E,'Product Category'!J:K,2,FALSE)</f>
        <v>17-Cooking Appliances</v>
      </c>
      <c r="G98" s="63" t="str">
        <f>VLOOKUP(F:F,'Product Category'!K:L,2,FALSE)</f>
        <v>2-Home Appliances / Electronic</v>
      </c>
      <c r="H98" s="41" t="s">
        <v>3804</v>
      </c>
      <c r="I98" s="41" t="s">
        <v>3805</v>
      </c>
      <c r="J98" s="65" t="str">
        <f>TRIM(CONCATENATE(B98," ",H98," ",L98," ",M98," ",O98,P98," ",Q98))</f>
        <v>อิมาร์เฟล็กซ์ กระทะไฟฟ้า #MP-12Q 1 เครื่อง x1 ชิ้น</v>
      </c>
      <c r="K98" s="80" t="str">
        <f>TRIM(CONCATENATE(C98," ",I98," ",L98," ",N98," ",O98,P98," ",R98))</f>
        <v>Imarflex ELECTRIC PAN #MP-12Q 3L 1 unit x1 pc</v>
      </c>
      <c r="L98" s="41">
        <v>1</v>
      </c>
      <c r="M98" s="41" t="s">
        <v>93</v>
      </c>
      <c r="N98" s="41" t="str">
        <f>VLOOKUP(M:M,Unit!B:C,2,0)</f>
        <v>unit</v>
      </c>
      <c r="O98" s="41" t="s">
        <v>67</v>
      </c>
      <c r="P98" s="41">
        <v>1</v>
      </c>
      <c r="Q98" s="41" t="s">
        <v>68</v>
      </c>
      <c r="R98" s="41" t="str">
        <f>VLOOKUP(Q:Q,Unit!B:D,2,0)</f>
        <v>pc</v>
      </c>
      <c r="S98" s="41" t="s">
        <v>75</v>
      </c>
      <c r="T98" s="41" t="str">
        <f>VLOOKUP(S:S,Promo!B:D,2,0)</f>
        <v>Promo EN</v>
      </c>
      <c r="W98" s="41">
        <v>599</v>
      </c>
      <c r="X98" s="41">
        <v>579</v>
      </c>
      <c r="AB98" s="41" t="s">
        <v>91</v>
      </c>
      <c r="AE98" s="41" t="s">
        <v>3806</v>
      </c>
      <c r="AG98" s="41" t="s">
        <v>71</v>
      </c>
      <c r="AH98" s="41" t="s">
        <v>71</v>
      </c>
      <c r="AI98" s="41" t="s">
        <v>71</v>
      </c>
      <c r="AJ98" s="41" t="s">
        <v>71</v>
      </c>
      <c r="AK98" s="41" t="s">
        <v>71</v>
      </c>
      <c r="AL98" s="41" t="s">
        <v>71</v>
      </c>
      <c r="AS98" s="41" t="s">
        <v>3807</v>
      </c>
      <c r="AT98" s="41" t="s">
        <v>3808</v>
      </c>
      <c r="BS98" s="41" t="s">
        <v>2058</v>
      </c>
      <c r="BT98" s="41" t="s">
        <v>72</v>
      </c>
      <c r="BW98" s="41" t="s">
        <v>72</v>
      </c>
      <c r="BX98" s="41">
        <f>VLOOKUP(B:B,Brand!B:D,3,0)</f>
        <v>676</v>
      </c>
      <c r="BY98" s="41">
        <f>VLOOKUP(M:M,Unit!B:D,3,0)</f>
        <v>6</v>
      </c>
      <c r="BZ98" s="41">
        <f>VLOOKUP(S:S,Promo!B:D,3,0)</f>
        <v>0</v>
      </c>
    </row>
    <row r="99" spans="1:78" s="41" customFormat="1" ht="15.75" customHeight="1">
      <c r="A99" s="41">
        <v>145360</v>
      </c>
      <c r="B99" s="41" t="s">
        <v>80</v>
      </c>
      <c r="C99" s="65" t="str">
        <f>VLOOKUP(B:B,Brand!B:C,2,0)</f>
        <v>Samsung</v>
      </c>
      <c r="D99" s="63">
        <f>VLOOKUP(E:E,'Product Category'!J:O,6,FALSE)</f>
        <v>95</v>
      </c>
      <c r="E99" s="41" t="s">
        <v>2125</v>
      </c>
      <c r="F99" s="63" t="str">
        <f>VLOOKUP(E:E,'Product Category'!J:K,2,FALSE)</f>
        <v>17-Cooking Appliances</v>
      </c>
      <c r="G99" s="63" t="str">
        <f>VLOOKUP(F:F,'Product Category'!K:L,2,FALSE)</f>
        <v>2-Home Appliances / Electronic</v>
      </c>
      <c r="H99" s="41" t="s">
        <v>3996</v>
      </c>
      <c r="I99" s="41" t="s">
        <v>3997</v>
      </c>
      <c r="J99" s="41" t="s">
        <v>4883</v>
      </c>
      <c r="K99" s="41" t="s">
        <v>4884</v>
      </c>
      <c r="L99" s="41">
        <v>1</v>
      </c>
      <c r="M99" s="41" t="s">
        <v>93</v>
      </c>
      <c r="N99" s="41" t="str">
        <f>VLOOKUP(M:M,Unit!B:C,2,0)</f>
        <v>unit</v>
      </c>
      <c r="O99" s="41" t="s">
        <v>67</v>
      </c>
      <c r="P99" s="41">
        <v>1</v>
      </c>
      <c r="Q99" s="41" t="s">
        <v>68</v>
      </c>
      <c r="R99" s="41" t="str">
        <f>VLOOKUP(Q:Q,Unit!B:D,2,0)</f>
        <v>pc</v>
      </c>
      <c r="S99" s="41" t="s">
        <v>75</v>
      </c>
      <c r="T99" s="41" t="str">
        <f>VLOOKUP(S:S,Promo!B:D,2,0)</f>
        <v>Promo EN</v>
      </c>
      <c r="W99" s="41">
        <v>2190</v>
      </c>
      <c r="X99" s="41">
        <v>1550</v>
      </c>
      <c r="AB99" s="41" t="s">
        <v>91</v>
      </c>
      <c r="AE99" s="41" t="s">
        <v>3998</v>
      </c>
      <c r="AG99" s="41" t="s">
        <v>71</v>
      </c>
      <c r="AH99" s="41" t="s">
        <v>71</v>
      </c>
      <c r="AI99" s="41" t="s">
        <v>71</v>
      </c>
      <c r="AJ99" s="41" t="s">
        <v>71</v>
      </c>
      <c r="AK99" s="41" t="s">
        <v>71</v>
      </c>
      <c r="AL99" s="41" t="s">
        <v>71</v>
      </c>
      <c r="AS99" s="41" t="s">
        <v>3999</v>
      </c>
      <c r="AT99" s="41" t="s">
        <v>4000</v>
      </c>
      <c r="BS99" s="41" t="s">
        <v>2058</v>
      </c>
      <c r="BT99" s="41" t="s">
        <v>72</v>
      </c>
      <c r="BW99" s="41" t="s">
        <v>72</v>
      </c>
      <c r="BX99" s="41">
        <f>VLOOKUP(B:B,Brand!B:D,3,0)</f>
        <v>160</v>
      </c>
      <c r="BY99" s="41">
        <f>VLOOKUP(M:M,Unit!B:D,3,0)</f>
        <v>6</v>
      </c>
      <c r="BZ99" s="41">
        <f>VLOOKUP(S:S,Promo!B:D,3,0)</f>
        <v>0</v>
      </c>
    </row>
    <row r="100" spans="1:78" s="41" customFormat="1" ht="15.75" customHeight="1">
      <c r="A100" s="41">
        <v>72943</v>
      </c>
      <c r="B100" s="41" t="s">
        <v>303</v>
      </c>
      <c r="C100" s="65" t="str">
        <f>VLOOKUP(B:B,Brand!B:C,2,0)</f>
        <v>Kashiwa</v>
      </c>
      <c r="D100" s="63">
        <f>VLOOKUP(E:E,'Product Category'!J:O,6,FALSE)</f>
        <v>96</v>
      </c>
      <c r="E100" s="41" t="s">
        <v>2139</v>
      </c>
      <c r="F100" s="63" t="str">
        <f>VLOOKUP(E:E,'Product Category'!J:K,2,FALSE)</f>
        <v>17-Cooking Appliances</v>
      </c>
      <c r="G100" s="63" t="str">
        <f>VLOOKUP(F:F,'Product Category'!K:L,2,FALSE)</f>
        <v>2-Home Appliances / Electronic</v>
      </c>
      <c r="H100" s="41" t="s">
        <v>3823</v>
      </c>
      <c r="I100" s="41" t="s">
        <v>3824</v>
      </c>
      <c r="J100" s="41" t="s">
        <v>4787</v>
      </c>
      <c r="K100" s="41" t="s">
        <v>4788</v>
      </c>
      <c r="L100" s="41">
        <v>1</v>
      </c>
      <c r="M100" s="41" t="s">
        <v>93</v>
      </c>
      <c r="N100" s="41" t="str">
        <f>VLOOKUP(M:M,Unit!B:C,2,0)</f>
        <v>unit</v>
      </c>
      <c r="O100" s="41" t="s">
        <v>67</v>
      </c>
      <c r="P100" s="41">
        <v>1</v>
      </c>
      <c r="Q100" s="41" t="s">
        <v>68</v>
      </c>
      <c r="R100" s="41" t="str">
        <f>VLOOKUP(Q:Q,Unit!B:D,2,0)</f>
        <v>pc</v>
      </c>
      <c r="S100" s="41" t="s">
        <v>75</v>
      </c>
      <c r="T100" s="41" t="str">
        <f>VLOOKUP(S:S,Promo!B:D,2,0)</f>
        <v>Promo EN</v>
      </c>
      <c r="W100" s="41">
        <v>299</v>
      </c>
      <c r="X100" s="41">
        <v>259</v>
      </c>
      <c r="AB100" s="41" t="s">
        <v>91</v>
      </c>
      <c r="AE100" s="41" t="s">
        <v>2198</v>
      </c>
      <c r="AG100" s="41" t="s">
        <v>71</v>
      </c>
      <c r="AH100" s="41" t="s">
        <v>71</v>
      </c>
      <c r="AI100" s="41" t="s">
        <v>71</v>
      </c>
      <c r="AJ100" s="41" t="s">
        <v>71</v>
      </c>
      <c r="AK100" s="41" t="s">
        <v>71</v>
      </c>
      <c r="AL100" s="41" t="s">
        <v>71</v>
      </c>
      <c r="AS100" s="41" t="s">
        <v>2266</v>
      </c>
      <c r="AT100" s="41" t="s">
        <v>2198</v>
      </c>
      <c r="BS100" s="41" t="s">
        <v>2058</v>
      </c>
      <c r="BT100" s="41" t="s">
        <v>72</v>
      </c>
      <c r="BW100" s="41" t="s">
        <v>72</v>
      </c>
      <c r="BX100" s="41">
        <f>VLOOKUP(B:B,Brand!B:D,3,0)</f>
        <v>64</v>
      </c>
      <c r="BY100" s="41">
        <f>VLOOKUP(M:M,Unit!B:D,3,0)</f>
        <v>6</v>
      </c>
      <c r="BZ100" s="41">
        <f>VLOOKUP(S:S,Promo!B:D,3,0)</f>
        <v>0</v>
      </c>
    </row>
    <row r="101" spans="1:78" s="41" customFormat="1" ht="15.75" customHeight="1">
      <c r="A101" s="41">
        <v>199804</v>
      </c>
      <c r="B101" s="41" t="s">
        <v>303</v>
      </c>
      <c r="C101" s="65" t="str">
        <f>VLOOKUP(B:B,Brand!B:C,2,0)</f>
        <v>Kashiwa</v>
      </c>
      <c r="D101" s="63">
        <f>VLOOKUP(E:E,'Product Category'!J:O,6,FALSE)</f>
        <v>96</v>
      </c>
      <c r="E101" s="41" t="s">
        <v>2139</v>
      </c>
      <c r="F101" s="63" t="str">
        <f>VLOOKUP(E:E,'Product Category'!J:K,2,FALSE)</f>
        <v>17-Cooking Appliances</v>
      </c>
      <c r="G101" s="63" t="str">
        <f>VLOOKUP(F:F,'Product Category'!K:L,2,FALSE)</f>
        <v>2-Home Appliances / Electronic</v>
      </c>
      <c r="H101" s="41" t="s">
        <v>3971</v>
      </c>
      <c r="I101" s="41" t="s">
        <v>3972</v>
      </c>
      <c r="J101" s="41" t="s">
        <v>4871</v>
      </c>
      <c r="K101" s="41" t="s">
        <v>4872</v>
      </c>
      <c r="L101" s="41">
        <v>1</v>
      </c>
      <c r="M101" s="41" t="s">
        <v>93</v>
      </c>
      <c r="N101" s="41" t="str">
        <f>VLOOKUP(M:M,Unit!B:C,2,0)</f>
        <v>unit</v>
      </c>
      <c r="O101" s="41" t="s">
        <v>67</v>
      </c>
      <c r="P101" s="41">
        <v>1</v>
      </c>
      <c r="Q101" s="41" t="s">
        <v>68</v>
      </c>
      <c r="R101" s="41" t="str">
        <f>VLOOKUP(Q:Q,Unit!B:D,2,0)</f>
        <v>pc</v>
      </c>
      <c r="S101" s="41" t="s">
        <v>75</v>
      </c>
      <c r="T101" s="41" t="str">
        <f>VLOOKUP(S:S,Promo!B:D,2,0)</f>
        <v>Promo EN</v>
      </c>
      <c r="W101" s="41">
        <v>259</v>
      </c>
      <c r="X101" s="41">
        <v>219</v>
      </c>
      <c r="AB101" s="41" t="s">
        <v>91</v>
      </c>
      <c r="AE101" s="41" t="s">
        <v>2198</v>
      </c>
      <c r="AG101" s="41" t="s">
        <v>71</v>
      </c>
      <c r="AH101" s="41" t="s">
        <v>71</v>
      </c>
      <c r="AI101" s="41" t="s">
        <v>71</v>
      </c>
      <c r="AJ101" s="41" t="s">
        <v>71</v>
      </c>
      <c r="AK101" s="41" t="s">
        <v>71</v>
      </c>
      <c r="AL101" s="41" t="s">
        <v>71</v>
      </c>
      <c r="AS101" s="41" t="s">
        <v>3973</v>
      </c>
      <c r="AT101" s="41" t="s">
        <v>2198</v>
      </c>
      <c r="BS101" s="41" t="s">
        <v>2058</v>
      </c>
      <c r="BT101" s="41" t="s">
        <v>72</v>
      </c>
      <c r="BW101" s="41" t="s">
        <v>72</v>
      </c>
      <c r="BX101" s="41">
        <f>VLOOKUP(B:B,Brand!B:D,3,0)</f>
        <v>64</v>
      </c>
      <c r="BY101" s="41">
        <f>VLOOKUP(M:M,Unit!B:D,3,0)</f>
        <v>6</v>
      </c>
      <c r="BZ101" s="41">
        <f>VLOOKUP(S:S,Promo!B:D,3,0)</f>
        <v>0</v>
      </c>
    </row>
    <row r="102" spans="1:78" s="41" customFormat="1" ht="15.75" customHeight="1">
      <c r="A102" s="41">
        <v>818994</v>
      </c>
      <c r="B102" s="41" t="s">
        <v>199</v>
      </c>
      <c r="C102" s="65" t="str">
        <f>VLOOKUP(B:B,Brand!B:C,2,0)</f>
        <v>Sharp</v>
      </c>
      <c r="D102" s="63">
        <f>VLOOKUP(E:E,'Product Category'!J:O,6,FALSE)</f>
        <v>96</v>
      </c>
      <c r="E102" s="41" t="s">
        <v>2139</v>
      </c>
      <c r="F102" s="63" t="str">
        <f>VLOOKUP(E:E,'Product Category'!J:K,2,FALSE)</f>
        <v>17-Cooking Appliances</v>
      </c>
      <c r="G102" s="63" t="str">
        <f>VLOOKUP(F:F,'Product Category'!K:L,2,FALSE)</f>
        <v>2-Home Appliances / Electronic</v>
      </c>
      <c r="H102" s="41" t="s">
        <v>4349</v>
      </c>
      <c r="I102" s="41" t="s">
        <v>4350</v>
      </c>
      <c r="J102" s="41" t="s">
        <v>5124</v>
      </c>
      <c r="K102" s="41" t="s">
        <v>5125</v>
      </c>
      <c r="L102" s="41">
        <v>1</v>
      </c>
      <c r="M102" s="41" t="s">
        <v>93</v>
      </c>
      <c r="N102" s="41" t="str">
        <f>VLOOKUP(M:M,Unit!B:C,2,0)</f>
        <v>unit</v>
      </c>
      <c r="O102" s="41" t="s">
        <v>67</v>
      </c>
      <c r="P102" s="41">
        <v>1</v>
      </c>
      <c r="Q102" s="41" t="s">
        <v>68</v>
      </c>
      <c r="R102" s="41" t="str">
        <f>VLOOKUP(Q:Q,Unit!B:D,2,0)</f>
        <v>pc</v>
      </c>
      <c r="S102" s="41" t="s">
        <v>75</v>
      </c>
      <c r="T102" s="41" t="str">
        <f>VLOOKUP(S:S,Promo!B:D,2,0)</f>
        <v>Promo EN</v>
      </c>
      <c r="W102" s="41">
        <v>2390</v>
      </c>
      <c r="X102" s="41">
        <v>2290</v>
      </c>
      <c r="AB102" s="41" t="s">
        <v>2056</v>
      </c>
      <c r="AG102" s="41" t="s">
        <v>71</v>
      </c>
      <c r="AH102" s="41" t="s">
        <v>71</v>
      </c>
      <c r="AI102" s="41" t="s">
        <v>71</v>
      </c>
      <c r="AJ102" s="41" t="s">
        <v>71</v>
      </c>
      <c r="AK102" s="41" t="s">
        <v>71</v>
      </c>
      <c r="AL102" s="41" t="s">
        <v>71</v>
      </c>
      <c r="AS102" s="41" t="s">
        <v>4351</v>
      </c>
      <c r="AT102" s="41" t="s">
        <v>2332</v>
      </c>
      <c r="BS102" s="41" t="s">
        <v>2058</v>
      </c>
      <c r="BT102" s="41" t="s">
        <v>72</v>
      </c>
      <c r="BW102" s="41" t="s">
        <v>72</v>
      </c>
      <c r="BX102" s="41">
        <f>VLOOKUP(B:B,Brand!B:D,3,0)</f>
        <v>138</v>
      </c>
      <c r="BY102" s="41">
        <f>VLOOKUP(M:M,Unit!B:D,3,0)</f>
        <v>6</v>
      </c>
      <c r="BZ102" s="41">
        <f>VLOOKUP(S:S,Promo!B:D,3,0)</f>
        <v>0</v>
      </c>
    </row>
    <row r="103" spans="1:78" s="41" customFormat="1" ht="15.75" customHeight="1">
      <c r="A103" s="41">
        <v>110626</v>
      </c>
      <c r="B103" s="41" t="s">
        <v>1347</v>
      </c>
      <c r="C103" s="65" t="str">
        <f>VLOOKUP(B:B,Brand!B:C,2,0)</f>
        <v>Hatari</v>
      </c>
      <c r="D103" s="63">
        <f>VLOOKUP(E:E,'Product Category'!J:O,6,FALSE)</f>
        <v>100</v>
      </c>
      <c r="E103" s="41" t="s">
        <v>2115</v>
      </c>
      <c r="F103" s="63" t="str">
        <f>VLOOKUP(E:E,'Product Category'!J:K,2,FALSE)</f>
        <v>18-Small Appliances</v>
      </c>
      <c r="G103" s="63" t="str">
        <f>VLOOKUP(F:F,'Product Category'!K:L,2,FALSE)</f>
        <v>2-Home Appliances / Electronic</v>
      </c>
      <c r="H103" s="41" t="s">
        <v>3809</v>
      </c>
      <c r="I103" s="41" t="s">
        <v>3810</v>
      </c>
      <c r="J103" s="65" t="str">
        <f>TRIM(CONCATENATE(B103," ",H103," ",L103," ",M103," ",O103,P103," ",Q103))</f>
        <v>ฮาตาริ พัดลมตั้งพื้น #HT-18M2/3 1 เครื่อง x1 ชิ้น</v>
      </c>
      <c r="K103" s="80" t="str">
        <f>TRIM(CONCATENATE(C103," ",I103," ",L103," ",N103," ",O103,P103," ",R103))</f>
        <v>Hatari DESK FAN #HT-T18M/2/3 1 unit x1 pc</v>
      </c>
      <c r="L103" s="41">
        <v>1</v>
      </c>
      <c r="M103" s="41" t="s">
        <v>93</v>
      </c>
      <c r="N103" s="41" t="str">
        <f>VLOOKUP(M:M,Unit!B:C,2,0)</f>
        <v>unit</v>
      </c>
      <c r="O103" s="41" t="s">
        <v>67</v>
      </c>
      <c r="P103" s="41">
        <v>1</v>
      </c>
      <c r="Q103" s="41" t="s">
        <v>68</v>
      </c>
      <c r="R103" s="41" t="str">
        <f>VLOOKUP(Q:Q,Unit!B:D,2,0)</f>
        <v>pc</v>
      </c>
      <c r="S103" s="41" t="s">
        <v>75</v>
      </c>
      <c r="T103" s="41" t="str">
        <f>VLOOKUP(S:S,Promo!B:D,2,0)</f>
        <v>Promo EN</v>
      </c>
      <c r="W103" s="41">
        <v>1098</v>
      </c>
      <c r="X103" s="41">
        <v>998</v>
      </c>
      <c r="AB103" s="41" t="s">
        <v>91</v>
      </c>
      <c r="AE103" s="41" t="s">
        <v>3811</v>
      </c>
      <c r="AG103" s="41" t="s">
        <v>71</v>
      </c>
      <c r="AH103" s="41" t="s">
        <v>71</v>
      </c>
      <c r="AI103" s="41" t="s">
        <v>71</v>
      </c>
      <c r="AJ103" s="41" t="s">
        <v>71</v>
      </c>
      <c r="AK103" s="41" t="s">
        <v>71</v>
      </c>
      <c r="AL103" s="41" t="s">
        <v>71</v>
      </c>
      <c r="AS103" s="41" t="s">
        <v>3812</v>
      </c>
      <c r="AT103" s="41" t="s">
        <v>3473</v>
      </c>
      <c r="BS103" s="41" t="s">
        <v>2058</v>
      </c>
      <c r="BT103" s="41" t="s">
        <v>72</v>
      </c>
      <c r="BW103" s="41" t="s">
        <v>72</v>
      </c>
      <c r="BX103" s="41">
        <f>VLOOKUP(B:B,Brand!B:D,3,0)</f>
        <v>741</v>
      </c>
      <c r="BY103" s="41">
        <f>VLOOKUP(M:M,Unit!B:D,3,0)</f>
        <v>6</v>
      </c>
      <c r="BZ103" s="41">
        <f>VLOOKUP(S:S,Promo!B:D,3,0)</f>
        <v>0</v>
      </c>
    </row>
    <row r="104" spans="1:78" s="41" customFormat="1" ht="15.75" customHeight="1">
      <c r="A104" s="41">
        <v>104878</v>
      </c>
      <c r="B104" s="41" t="s">
        <v>199</v>
      </c>
      <c r="C104" s="65" t="str">
        <f>VLOOKUP(B:B,Brand!B:C,2,0)</f>
        <v>Sharp</v>
      </c>
      <c r="D104" s="63">
        <f>VLOOKUP(E:E,'Product Category'!J:O,6,FALSE)</f>
        <v>100</v>
      </c>
      <c r="E104" s="41" t="s">
        <v>2115</v>
      </c>
      <c r="F104" s="63" t="str">
        <f>VLOOKUP(E:E,'Product Category'!J:K,2,FALSE)</f>
        <v>18-Small Appliances</v>
      </c>
      <c r="G104" s="63" t="str">
        <f>VLOOKUP(F:F,'Product Category'!K:L,2,FALSE)</f>
        <v>2-Home Appliances / Electronic</v>
      </c>
      <c r="H104" s="41" t="s">
        <v>3825</v>
      </c>
      <c r="I104" s="41" t="s">
        <v>3826</v>
      </c>
      <c r="J104" s="41" t="s">
        <v>4789</v>
      </c>
      <c r="K104" s="41" t="s">
        <v>4790</v>
      </c>
      <c r="L104" s="41">
        <v>1</v>
      </c>
      <c r="M104" s="41" t="s">
        <v>93</v>
      </c>
      <c r="N104" s="41" t="str">
        <f>VLOOKUP(M:M,Unit!B:C,2,0)</f>
        <v>unit</v>
      </c>
      <c r="O104" s="41" t="s">
        <v>67</v>
      </c>
      <c r="P104" s="41">
        <v>1</v>
      </c>
      <c r="Q104" s="41" t="s">
        <v>68</v>
      </c>
      <c r="R104" s="41" t="str">
        <f>VLOOKUP(Q:Q,Unit!B:D,2,0)</f>
        <v>pc</v>
      </c>
      <c r="S104" s="41" t="s">
        <v>75</v>
      </c>
      <c r="T104" s="41" t="str">
        <f>VLOOKUP(S:S,Promo!B:D,2,0)</f>
        <v>Promo EN</v>
      </c>
      <c r="W104" s="41">
        <v>890</v>
      </c>
      <c r="X104" s="41">
        <v>859</v>
      </c>
      <c r="AB104" s="41" t="s">
        <v>91</v>
      </c>
      <c r="AE104" s="41" t="s">
        <v>3827</v>
      </c>
      <c r="AG104" s="41" t="s">
        <v>71</v>
      </c>
      <c r="AH104" s="41" t="s">
        <v>71</v>
      </c>
      <c r="AI104" s="41" t="s">
        <v>71</v>
      </c>
      <c r="AJ104" s="41" t="s">
        <v>71</v>
      </c>
      <c r="AK104" s="41" t="s">
        <v>71</v>
      </c>
      <c r="AL104" s="41" t="s">
        <v>71</v>
      </c>
      <c r="AS104" s="41" t="s">
        <v>3828</v>
      </c>
      <c r="AT104" s="41" t="s">
        <v>2169</v>
      </c>
      <c r="BS104" s="41" t="s">
        <v>2058</v>
      </c>
      <c r="BT104" s="41" t="s">
        <v>72</v>
      </c>
      <c r="BW104" s="41" t="s">
        <v>72</v>
      </c>
      <c r="BX104" s="41">
        <f>VLOOKUP(B:B,Brand!B:D,3,0)</f>
        <v>138</v>
      </c>
      <c r="BY104" s="41">
        <f>VLOOKUP(M:M,Unit!B:D,3,0)</f>
        <v>6</v>
      </c>
      <c r="BZ104" s="41">
        <f>VLOOKUP(S:S,Promo!B:D,3,0)</f>
        <v>0</v>
      </c>
    </row>
    <row r="105" spans="1:78" s="41" customFormat="1" ht="15.75" customHeight="1">
      <c r="A105" s="41">
        <v>810275</v>
      </c>
      <c r="B105" s="41" t="s">
        <v>2529</v>
      </c>
      <c r="C105" s="65" t="str">
        <f>VLOOKUP(B:B,Brand!B:C,2,0)</f>
        <v>Airy</v>
      </c>
      <c r="D105" s="63">
        <f>VLOOKUP(E:E,'Product Category'!J:O,6,FALSE)</f>
        <v>100</v>
      </c>
      <c r="E105" s="41" t="s">
        <v>2115</v>
      </c>
      <c r="F105" s="63" t="str">
        <f>VLOOKUP(E:E,'Product Category'!J:K,2,FALSE)</f>
        <v>18-Small Appliances</v>
      </c>
      <c r="G105" s="63" t="str">
        <f>VLOOKUP(F:F,'Product Category'!K:L,2,FALSE)</f>
        <v>2-Home Appliances / Electronic</v>
      </c>
      <c r="H105" s="41" t="s">
        <v>3847</v>
      </c>
      <c r="I105" s="41" t="s">
        <v>3848</v>
      </c>
      <c r="J105" s="41" t="s">
        <v>4797</v>
      </c>
      <c r="K105" s="41" t="s">
        <v>4798</v>
      </c>
      <c r="L105" s="41">
        <v>1</v>
      </c>
      <c r="M105" s="41" t="s">
        <v>93</v>
      </c>
      <c r="N105" s="41" t="str">
        <f>VLOOKUP(M:M,Unit!B:C,2,0)</f>
        <v>unit</v>
      </c>
      <c r="O105" s="41" t="s">
        <v>67</v>
      </c>
      <c r="P105" s="41">
        <v>1</v>
      </c>
      <c r="Q105" s="41" t="s">
        <v>68</v>
      </c>
      <c r="R105" s="41" t="str">
        <f>VLOOKUP(Q:Q,Unit!B:D,2,0)</f>
        <v>pc</v>
      </c>
      <c r="S105" s="41" t="s">
        <v>75</v>
      </c>
      <c r="T105" s="41" t="str">
        <f>VLOOKUP(S:S,Promo!B:D,2,0)</f>
        <v>Promo EN</v>
      </c>
      <c r="W105" s="41">
        <v>459</v>
      </c>
      <c r="X105" s="41">
        <v>399</v>
      </c>
      <c r="AB105" s="41" t="s">
        <v>91</v>
      </c>
      <c r="AE105" s="41" t="s">
        <v>2169</v>
      </c>
      <c r="AG105" s="41" t="s">
        <v>71</v>
      </c>
      <c r="AH105" s="41" t="s">
        <v>71</v>
      </c>
      <c r="AI105" s="41" t="s">
        <v>71</v>
      </c>
      <c r="AJ105" s="41" t="s">
        <v>71</v>
      </c>
      <c r="AK105" s="41" t="s">
        <v>71</v>
      </c>
      <c r="AL105" s="41" t="s">
        <v>71</v>
      </c>
      <c r="AS105" s="41" t="s">
        <v>3849</v>
      </c>
      <c r="AT105" s="41" t="s">
        <v>2169</v>
      </c>
      <c r="BS105" s="41" t="s">
        <v>2058</v>
      </c>
      <c r="BT105" s="41" t="s">
        <v>72</v>
      </c>
      <c r="BW105" s="41" t="s">
        <v>72</v>
      </c>
      <c r="BX105" s="41">
        <f>VLOOKUP(B:B,Brand!B:D,3,0)</f>
        <v>911</v>
      </c>
      <c r="BY105" s="41">
        <f>VLOOKUP(M:M,Unit!B:D,3,0)</f>
        <v>6</v>
      </c>
      <c r="BZ105" s="41">
        <f>VLOOKUP(S:S,Promo!B:D,3,0)</f>
        <v>0</v>
      </c>
    </row>
    <row r="106" spans="1:78" s="41" customFormat="1" ht="15.75" customHeight="1">
      <c r="A106" s="41">
        <v>131990</v>
      </c>
      <c r="B106" s="41" t="s">
        <v>200</v>
      </c>
      <c r="C106" s="65" t="str">
        <f>VLOOKUP(B:B,Brand!B:C,2,0)</f>
        <v>ACCORD</v>
      </c>
      <c r="D106" s="63">
        <f>VLOOKUP(E:E,'Product Category'!J:O,6,FALSE)</f>
        <v>100</v>
      </c>
      <c r="E106" s="41" t="s">
        <v>2115</v>
      </c>
      <c r="F106" s="63" t="str">
        <f>VLOOKUP(E:E,'Product Category'!J:K,2,FALSE)</f>
        <v>18-Small Appliances</v>
      </c>
      <c r="G106" s="63" t="str">
        <f>VLOOKUP(F:F,'Product Category'!K:L,2,FALSE)</f>
        <v>2-Home Appliances / Electronic</v>
      </c>
      <c r="H106" s="41" t="s">
        <v>3855</v>
      </c>
      <c r="I106" s="41" t="s">
        <v>3856</v>
      </c>
      <c r="J106" s="41" t="s">
        <v>4801</v>
      </c>
      <c r="K106" s="41" t="s">
        <v>4802</v>
      </c>
      <c r="L106" s="41">
        <v>1</v>
      </c>
      <c r="M106" s="41" t="s">
        <v>93</v>
      </c>
      <c r="N106" s="41" t="str">
        <f>VLOOKUP(M:M,Unit!B:C,2,0)</f>
        <v>unit</v>
      </c>
      <c r="O106" s="41" t="s">
        <v>67</v>
      </c>
      <c r="P106" s="41">
        <v>1</v>
      </c>
      <c r="Q106" s="41" t="s">
        <v>68</v>
      </c>
      <c r="R106" s="41" t="str">
        <f>VLOOKUP(Q:Q,Unit!B:D,2,0)</f>
        <v>pc</v>
      </c>
      <c r="S106" s="41" t="s">
        <v>75</v>
      </c>
      <c r="T106" s="41" t="str">
        <f>VLOOKUP(S:S,Promo!B:D,2,0)</f>
        <v>Promo EN</v>
      </c>
      <c r="W106" s="41">
        <v>1090</v>
      </c>
      <c r="X106" s="41">
        <v>990</v>
      </c>
      <c r="AB106" s="41" t="s">
        <v>91</v>
      </c>
      <c r="AE106" s="41" t="s">
        <v>3857</v>
      </c>
      <c r="AG106" s="41" t="s">
        <v>71</v>
      </c>
      <c r="AH106" s="41" t="s">
        <v>71</v>
      </c>
      <c r="AI106" s="41" t="s">
        <v>71</v>
      </c>
      <c r="AJ106" s="41" t="s">
        <v>71</v>
      </c>
      <c r="AK106" s="41" t="s">
        <v>71</v>
      </c>
      <c r="AL106" s="41" t="s">
        <v>71</v>
      </c>
      <c r="AS106" s="41" t="s">
        <v>3858</v>
      </c>
      <c r="AT106" s="41" t="s">
        <v>3473</v>
      </c>
      <c r="BS106" s="41" t="s">
        <v>2058</v>
      </c>
      <c r="BT106" s="41" t="s">
        <v>72</v>
      </c>
      <c r="BW106" s="41" t="s">
        <v>72</v>
      </c>
      <c r="BX106" s="41">
        <f>VLOOKUP(B:B,Brand!B:D,3,0)</f>
        <v>910</v>
      </c>
      <c r="BY106" s="41">
        <f>VLOOKUP(M:M,Unit!B:D,3,0)</f>
        <v>6</v>
      </c>
      <c r="BZ106" s="41">
        <f>VLOOKUP(S:S,Promo!B:D,3,0)</f>
        <v>0</v>
      </c>
    </row>
    <row r="107" spans="1:78" s="41" customFormat="1" ht="15.75" customHeight="1">
      <c r="A107" s="41">
        <v>185636</v>
      </c>
      <c r="B107" s="41" t="s">
        <v>2529</v>
      </c>
      <c r="C107" s="65" t="str">
        <f>VLOOKUP(B:B,Brand!B:C,2,0)</f>
        <v>Airy</v>
      </c>
      <c r="D107" s="63">
        <f>VLOOKUP(E:E,'Product Category'!J:O,6,FALSE)</f>
        <v>100</v>
      </c>
      <c r="E107" s="41" t="s">
        <v>2115</v>
      </c>
      <c r="F107" s="63" t="str">
        <f>VLOOKUP(E:E,'Product Category'!J:K,2,FALSE)</f>
        <v>18-Small Appliances</v>
      </c>
      <c r="G107" s="63" t="str">
        <f>VLOOKUP(F:F,'Product Category'!K:L,2,FALSE)</f>
        <v>2-Home Appliances / Electronic</v>
      </c>
      <c r="H107" s="41" t="s">
        <v>3992</v>
      </c>
      <c r="I107" s="41" t="s">
        <v>3993</v>
      </c>
      <c r="J107" s="41" t="s">
        <v>4881</v>
      </c>
      <c r="K107" s="41" t="s">
        <v>4882</v>
      </c>
      <c r="L107" s="41">
        <v>1</v>
      </c>
      <c r="M107" s="41" t="s">
        <v>93</v>
      </c>
      <c r="N107" s="41" t="str">
        <f>VLOOKUP(M:M,Unit!B:C,2,0)</f>
        <v>unit</v>
      </c>
      <c r="O107" s="41" t="s">
        <v>67</v>
      </c>
      <c r="P107" s="41">
        <v>1</v>
      </c>
      <c r="Q107" s="41" t="s">
        <v>68</v>
      </c>
      <c r="R107" s="41" t="str">
        <f>VLOOKUP(Q:Q,Unit!B:D,2,0)</f>
        <v>pc</v>
      </c>
      <c r="S107" s="41" t="s">
        <v>75</v>
      </c>
      <c r="T107" s="41" t="str">
        <f>VLOOKUP(S:S,Promo!B:D,2,0)</f>
        <v>Promo EN</v>
      </c>
      <c r="W107" s="41">
        <v>599</v>
      </c>
      <c r="X107" s="41">
        <v>459</v>
      </c>
      <c r="AB107" s="41" t="s">
        <v>91</v>
      </c>
      <c r="AE107" s="41" t="s">
        <v>3994</v>
      </c>
      <c r="AG107" s="41" t="s">
        <v>71</v>
      </c>
      <c r="AH107" s="41" t="s">
        <v>71</v>
      </c>
      <c r="AI107" s="41" t="s">
        <v>71</v>
      </c>
      <c r="AJ107" s="41" t="s">
        <v>71</v>
      </c>
      <c r="AK107" s="41" t="s">
        <v>71</v>
      </c>
      <c r="AL107" s="41" t="s">
        <v>71</v>
      </c>
      <c r="AS107" s="41" t="s">
        <v>3828</v>
      </c>
      <c r="AT107" s="41" t="s">
        <v>3995</v>
      </c>
      <c r="BS107" s="41" t="s">
        <v>2058</v>
      </c>
      <c r="BT107" s="41" t="s">
        <v>72</v>
      </c>
      <c r="BW107" s="41" t="s">
        <v>72</v>
      </c>
      <c r="BX107" s="41">
        <f>VLOOKUP(B:B,Brand!B:D,3,0)</f>
        <v>911</v>
      </c>
      <c r="BY107" s="41">
        <f>VLOOKUP(M:M,Unit!B:D,3,0)</f>
        <v>6</v>
      </c>
      <c r="BZ107" s="41">
        <f>VLOOKUP(S:S,Promo!B:D,3,0)</f>
        <v>0</v>
      </c>
    </row>
    <row r="108" spans="1:78" s="41" customFormat="1" ht="15.75" customHeight="1">
      <c r="A108" s="41">
        <v>137283</v>
      </c>
      <c r="B108" s="41" t="s">
        <v>2529</v>
      </c>
      <c r="C108" s="65" t="str">
        <f>VLOOKUP(B:B,Brand!B:C,2,0)</f>
        <v>Airy</v>
      </c>
      <c r="D108" s="63">
        <f>VLOOKUP(E:E,'Product Category'!J:O,6,FALSE)</f>
        <v>100</v>
      </c>
      <c r="E108" s="41" t="s">
        <v>2115</v>
      </c>
      <c r="F108" s="63" t="str">
        <f>VLOOKUP(E:E,'Product Category'!J:K,2,FALSE)</f>
        <v>18-Small Appliances</v>
      </c>
      <c r="G108" s="63" t="str">
        <f>VLOOKUP(F:F,'Product Category'!K:L,2,FALSE)</f>
        <v>2-Home Appliances / Electronic</v>
      </c>
      <c r="H108" s="41" t="s">
        <v>4008</v>
      </c>
      <c r="I108" s="41" t="s">
        <v>4009</v>
      </c>
      <c r="J108" s="41" t="s">
        <v>4891</v>
      </c>
      <c r="K108" s="41" t="s">
        <v>4892</v>
      </c>
      <c r="L108" s="41">
        <v>1</v>
      </c>
      <c r="M108" s="41" t="s">
        <v>93</v>
      </c>
      <c r="N108" s="41" t="str">
        <f>VLOOKUP(M:M,Unit!B:C,2,0)</f>
        <v>unit</v>
      </c>
      <c r="O108" s="41" t="s">
        <v>67</v>
      </c>
      <c r="P108" s="41">
        <v>1</v>
      </c>
      <c r="Q108" s="41" t="s">
        <v>68</v>
      </c>
      <c r="R108" s="41" t="str">
        <f>VLOOKUP(Q:Q,Unit!B:D,2,0)</f>
        <v>pc</v>
      </c>
      <c r="S108" s="41" t="s">
        <v>75</v>
      </c>
      <c r="T108" s="41" t="str">
        <f>VLOOKUP(S:S,Promo!B:D,2,0)</f>
        <v>Promo EN</v>
      </c>
      <c r="W108" s="41">
        <v>329</v>
      </c>
      <c r="X108" s="41">
        <v>239</v>
      </c>
      <c r="AB108" s="41" t="s">
        <v>91</v>
      </c>
      <c r="AE108" s="41" t="s">
        <v>4010</v>
      </c>
      <c r="AF108" s="41" t="s">
        <v>3373</v>
      </c>
      <c r="AG108" s="41" t="s">
        <v>71</v>
      </c>
      <c r="AH108" s="41" t="s">
        <v>71</v>
      </c>
      <c r="AI108" s="41" t="s">
        <v>71</v>
      </c>
      <c r="AJ108" s="41" t="s">
        <v>71</v>
      </c>
      <c r="AK108" s="41" t="s">
        <v>71</v>
      </c>
      <c r="AL108" s="41" t="s">
        <v>71</v>
      </c>
      <c r="AS108" s="41" t="s">
        <v>4011</v>
      </c>
      <c r="AT108" s="41" t="s">
        <v>4012</v>
      </c>
      <c r="BS108" s="41" t="s">
        <v>2058</v>
      </c>
      <c r="BT108" s="41" t="s">
        <v>72</v>
      </c>
      <c r="BW108" s="41" t="s">
        <v>72</v>
      </c>
      <c r="BX108" s="41">
        <f>VLOOKUP(B:B,Brand!B:D,3,0)</f>
        <v>911</v>
      </c>
      <c r="BY108" s="41">
        <f>VLOOKUP(M:M,Unit!B:D,3,0)</f>
        <v>6</v>
      </c>
      <c r="BZ108" s="41">
        <f>VLOOKUP(S:S,Promo!B:D,3,0)</f>
        <v>0</v>
      </c>
    </row>
    <row r="109" spans="1:78" s="41" customFormat="1" ht="15.75" customHeight="1">
      <c r="A109" s="41">
        <v>170547</v>
      </c>
      <c r="B109" s="41" t="s">
        <v>910</v>
      </c>
      <c r="C109" s="65" t="str">
        <f>VLOOKUP(B:B,Brand!B:C,2,0)</f>
        <v>Philips</v>
      </c>
      <c r="D109" s="63">
        <f>VLOOKUP(E:E,'Product Category'!J:O,6,FALSE)</f>
        <v>101</v>
      </c>
      <c r="E109" s="41" t="s">
        <v>2101</v>
      </c>
      <c r="F109" s="63" t="str">
        <f>VLOOKUP(E:E,'Product Category'!J:K,2,FALSE)</f>
        <v>18-Small Appliances</v>
      </c>
      <c r="G109" s="63" t="str">
        <f>VLOOKUP(F:F,'Product Category'!K:L,2,FALSE)</f>
        <v>2-Home Appliances / Electronic</v>
      </c>
      <c r="H109" s="41" t="s">
        <v>4443</v>
      </c>
      <c r="I109" s="41" t="s">
        <v>4444</v>
      </c>
      <c r="J109" s="41" t="s">
        <v>5226</v>
      </c>
      <c r="K109" s="41" t="s">
        <v>5227</v>
      </c>
      <c r="L109" s="41">
        <v>1</v>
      </c>
      <c r="M109" s="41" t="s">
        <v>93</v>
      </c>
      <c r="N109" s="41" t="str">
        <f>VLOOKUP(M:M,Unit!B:C,2,0)</f>
        <v>unit</v>
      </c>
      <c r="O109" s="41" t="s">
        <v>67</v>
      </c>
      <c r="P109" s="41">
        <v>1</v>
      </c>
      <c r="Q109" s="41" t="s">
        <v>68</v>
      </c>
      <c r="R109" s="41" t="str">
        <f>VLOOKUP(Q:Q,Unit!B:D,2,0)</f>
        <v>pc</v>
      </c>
      <c r="S109" s="41" t="s">
        <v>75</v>
      </c>
      <c r="T109" s="41" t="str">
        <f>VLOOKUP(S:S,Promo!B:D,2,0)</f>
        <v>Promo EN</v>
      </c>
      <c r="W109" s="41">
        <v>990</v>
      </c>
      <c r="X109" s="41">
        <v>590</v>
      </c>
      <c r="AB109" s="41" t="s">
        <v>91</v>
      </c>
      <c r="AE109" s="41" t="s">
        <v>4445</v>
      </c>
      <c r="AG109" s="41" t="s">
        <v>71</v>
      </c>
      <c r="AH109" s="41" t="s">
        <v>71</v>
      </c>
      <c r="AI109" s="41" t="s">
        <v>71</v>
      </c>
      <c r="AJ109" s="41" t="s">
        <v>71</v>
      </c>
      <c r="AK109" s="41" t="s">
        <v>71</v>
      </c>
      <c r="AL109" s="41" t="s">
        <v>71</v>
      </c>
      <c r="BS109" s="41" t="s">
        <v>2058</v>
      </c>
      <c r="BT109" s="41" t="s">
        <v>72</v>
      </c>
      <c r="BW109" s="41" t="s">
        <v>72</v>
      </c>
      <c r="BX109" s="41">
        <f>VLOOKUP(B:B,Brand!B:D,3,0)</f>
        <v>462</v>
      </c>
      <c r="BY109" s="41">
        <f>VLOOKUP(M:M,Unit!B:D,3,0)</f>
        <v>6</v>
      </c>
      <c r="BZ109" s="41">
        <f>VLOOKUP(S:S,Promo!B:D,3,0)</f>
        <v>0</v>
      </c>
    </row>
    <row r="110" spans="1:78" s="41" customFormat="1" ht="15.75" customHeight="1">
      <c r="A110" s="41">
        <v>217512</v>
      </c>
      <c r="B110" s="41" t="s">
        <v>910</v>
      </c>
      <c r="C110" s="65" t="str">
        <f>VLOOKUP(B:B,Brand!B:C,2,0)</f>
        <v>Philips</v>
      </c>
      <c r="D110" s="63">
        <f>VLOOKUP(E:E,'Product Category'!J:O,6,FALSE)</f>
        <v>101</v>
      </c>
      <c r="E110" s="41" t="s">
        <v>2101</v>
      </c>
      <c r="F110" s="63" t="str">
        <f>VLOOKUP(E:E,'Product Category'!J:K,2,FALSE)</f>
        <v>18-Small Appliances</v>
      </c>
      <c r="G110" s="63" t="str">
        <f>VLOOKUP(F:F,'Product Category'!K:L,2,FALSE)</f>
        <v>2-Home Appliances / Electronic</v>
      </c>
      <c r="H110" s="41" t="s">
        <v>4481</v>
      </c>
      <c r="I110" s="41" t="s">
        <v>4482</v>
      </c>
      <c r="J110" s="41" t="s">
        <v>5230</v>
      </c>
      <c r="K110" s="41" t="s">
        <v>5231</v>
      </c>
      <c r="L110" s="41">
        <v>1</v>
      </c>
      <c r="M110" s="41" t="s">
        <v>93</v>
      </c>
      <c r="N110" s="41" t="str">
        <f>VLOOKUP(M:M,Unit!B:C,2,0)</f>
        <v>unit</v>
      </c>
      <c r="O110" s="41" t="s">
        <v>67</v>
      </c>
      <c r="P110" s="41">
        <v>1</v>
      </c>
      <c r="Q110" s="41" t="s">
        <v>68</v>
      </c>
      <c r="R110" s="41" t="str">
        <f>VLOOKUP(Q:Q,Unit!B:D,2,0)</f>
        <v>pc</v>
      </c>
      <c r="S110" s="41" t="s">
        <v>75</v>
      </c>
      <c r="T110" s="41" t="str">
        <f>VLOOKUP(S:S,Promo!B:D,2,0)</f>
        <v>Promo EN</v>
      </c>
      <c r="W110" s="41">
        <v>790</v>
      </c>
      <c r="X110" s="41">
        <v>590</v>
      </c>
      <c r="AB110" s="41" t="s">
        <v>91</v>
      </c>
      <c r="AE110" s="41" t="s">
        <v>4483</v>
      </c>
      <c r="AG110" s="41" t="s">
        <v>71</v>
      </c>
      <c r="AH110" s="41" t="s">
        <v>71</v>
      </c>
      <c r="AI110" s="41" t="s">
        <v>71</v>
      </c>
      <c r="AJ110" s="41" t="s">
        <v>71</v>
      </c>
      <c r="AK110" s="41" t="s">
        <v>71</v>
      </c>
      <c r="AL110" s="41" t="s">
        <v>71</v>
      </c>
      <c r="BS110" s="41" t="s">
        <v>2058</v>
      </c>
      <c r="BT110" s="41" t="s">
        <v>72</v>
      </c>
      <c r="BW110" s="41" t="s">
        <v>72</v>
      </c>
      <c r="BX110" s="41">
        <f>VLOOKUP(B:B,Brand!B:D,3,0)</f>
        <v>462</v>
      </c>
      <c r="BY110" s="41">
        <f>VLOOKUP(M:M,Unit!B:D,3,0)</f>
        <v>6</v>
      </c>
      <c r="BZ110" s="41">
        <f>VLOOKUP(S:S,Promo!B:D,3,0)</f>
        <v>0</v>
      </c>
    </row>
    <row r="111" spans="1:78" s="41" customFormat="1" ht="15.75" customHeight="1">
      <c r="A111" s="41">
        <v>222644</v>
      </c>
      <c r="B111" s="41" t="s">
        <v>835</v>
      </c>
      <c r="C111" s="65" t="str">
        <f>VLOOKUP(B:B,Brand!B:C,2,0)</f>
        <v>Protech</v>
      </c>
      <c r="D111" s="63">
        <f>VLOOKUP(E:E,'Product Category'!J:O,6,FALSE)</f>
        <v>101</v>
      </c>
      <c r="E111" s="41" t="s">
        <v>2101</v>
      </c>
      <c r="F111" s="63" t="str">
        <f>VLOOKUP(E:E,'Product Category'!J:K,2,FALSE)</f>
        <v>18-Small Appliances</v>
      </c>
      <c r="G111" s="63" t="str">
        <f>VLOOKUP(F:F,'Product Category'!K:L,2,FALSE)</f>
        <v>2-Home Appliances / Electronic</v>
      </c>
      <c r="H111" s="41" t="s">
        <v>4484</v>
      </c>
      <c r="I111" s="41" t="s">
        <v>4485</v>
      </c>
      <c r="J111" s="41" t="s">
        <v>5232</v>
      </c>
      <c r="K111" s="41" t="s">
        <v>5233</v>
      </c>
      <c r="L111" s="41">
        <v>1</v>
      </c>
      <c r="M111" s="41" t="s">
        <v>93</v>
      </c>
      <c r="N111" s="41" t="str">
        <f>VLOOKUP(M:M,Unit!B:C,2,0)</f>
        <v>unit</v>
      </c>
      <c r="O111" s="41" t="s">
        <v>67</v>
      </c>
      <c r="P111" s="41">
        <v>1</v>
      </c>
      <c r="Q111" s="41" t="s">
        <v>68</v>
      </c>
      <c r="R111" s="41" t="str">
        <f>VLOOKUP(Q:Q,Unit!B:D,2,0)</f>
        <v>pc</v>
      </c>
      <c r="S111" s="41" t="s">
        <v>75</v>
      </c>
      <c r="T111" s="41" t="str">
        <f>VLOOKUP(S:S,Promo!B:D,2,0)</f>
        <v>Promo EN</v>
      </c>
      <c r="W111" s="41">
        <v>299</v>
      </c>
      <c r="X111" s="41">
        <v>279</v>
      </c>
      <c r="AB111" s="41" t="s">
        <v>91</v>
      </c>
      <c r="AE111" s="41" t="s">
        <v>4486</v>
      </c>
      <c r="AG111" s="41" t="s">
        <v>71</v>
      </c>
      <c r="AH111" s="41" t="s">
        <v>71</v>
      </c>
      <c r="AI111" s="41" t="s">
        <v>71</v>
      </c>
      <c r="AJ111" s="41" t="s">
        <v>71</v>
      </c>
      <c r="AK111" s="41" t="s">
        <v>71</v>
      </c>
      <c r="AL111" s="41" t="s">
        <v>71</v>
      </c>
      <c r="BS111" s="41" t="s">
        <v>2058</v>
      </c>
      <c r="BT111" s="41" t="s">
        <v>72</v>
      </c>
      <c r="BW111" s="41" t="s">
        <v>72</v>
      </c>
      <c r="BX111" s="41">
        <f>VLOOKUP(B:B,Brand!B:D,3,0)</f>
        <v>415</v>
      </c>
      <c r="BY111" s="41">
        <f>VLOOKUP(M:M,Unit!B:D,3,0)</f>
        <v>6</v>
      </c>
      <c r="BZ111" s="41">
        <f>VLOOKUP(S:S,Promo!B:D,3,0)</f>
        <v>0</v>
      </c>
    </row>
    <row r="112" spans="1:78" s="41" customFormat="1" ht="15.75" customHeight="1">
      <c r="A112" s="41">
        <v>126776</v>
      </c>
      <c r="B112" s="41" t="s">
        <v>199</v>
      </c>
      <c r="C112" s="65" t="str">
        <f>VLOOKUP(B:B,Brand!B:C,2,0)</f>
        <v>Sharp</v>
      </c>
      <c r="D112" s="63">
        <f>VLOOKUP(E:E,'Product Category'!J:O,6,FALSE)</f>
        <v>101</v>
      </c>
      <c r="E112" s="41" t="s">
        <v>2101</v>
      </c>
      <c r="F112" s="63" t="str">
        <f>VLOOKUP(E:E,'Product Category'!J:K,2,FALSE)</f>
        <v>18-Small Appliances</v>
      </c>
      <c r="G112" s="63" t="str">
        <f>VLOOKUP(F:F,'Product Category'!K:L,2,FALSE)</f>
        <v>2-Home Appliances / Electronic</v>
      </c>
      <c r="H112" s="41" t="s">
        <v>4487</v>
      </c>
      <c r="I112" s="41" t="s">
        <v>4488</v>
      </c>
      <c r="J112" s="41" t="s">
        <v>5234</v>
      </c>
      <c r="K112" s="41" t="s">
        <v>5235</v>
      </c>
      <c r="L112" s="41">
        <v>1</v>
      </c>
      <c r="M112" s="41" t="s">
        <v>93</v>
      </c>
      <c r="N112" s="41" t="str">
        <f>VLOOKUP(M:M,Unit!B:C,2,0)</f>
        <v>unit</v>
      </c>
      <c r="O112" s="41" t="s">
        <v>67</v>
      </c>
      <c r="P112" s="41">
        <v>1</v>
      </c>
      <c r="Q112" s="41" t="s">
        <v>68</v>
      </c>
      <c r="R112" s="41" t="str">
        <f>VLOOKUP(Q:Q,Unit!B:D,2,0)</f>
        <v>pc</v>
      </c>
      <c r="S112" s="41" t="s">
        <v>75</v>
      </c>
      <c r="T112" s="41" t="str">
        <f>VLOOKUP(S:S,Promo!B:D,2,0)</f>
        <v>Promo EN</v>
      </c>
      <c r="W112" s="41">
        <v>505</v>
      </c>
      <c r="X112" s="41">
        <v>489</v>
      </c>
      <c r="AB112" s="41" t="s">
        <v>91</v>
      </c>
      <c r="AE112" s="41" t="s">
        <v>4489</v>
      </c>
      <c r="AG112" s="41" t="s">
        <v>71</v>
      </c>
      <c r="AH112" s="41" t="s">
        <v>71</v>
      </c>
      <c r="AI112" s="41" t="s">
        <v>71</v>
      </c>
      <c r="AJ112" s="41" t="s">
        <v>71</v>
      </c>
      <c r="AK112" s="41" t="s">
        <v>71</v>
      </c>
      <c r="AL112" s="41" t="s">
        <v>71</v>
      </c>
      <c r="AS112" s="41" t="s">
        <v>4490</v>
      </c>
      <c r="AT112" s="41" t="s">
        <v>4491</v>
      </c>
      <c r="BS112" s="41" t="s">
        <v>2058</v>
      </c>
      <c r="BT112" s="41" t="s">
        <v>72</v>
      </c>
      <c r="BW112" s="41" t="s">
        <v>72</v>
      </c>
      <c r="BX112" s="41">
        <f>VLOOKUP(B:B,Brand!B:D,3,0)</f>
        <v>138</v>
      </c>
      <c r="BY112" s="41">
        <f>VLOOKUP(M:M,Unit!B:D,3,0)</f>
        <v>6</v>
      </c>
      <c r="BZ112" s="41">
        <f>VLOOKUP(S:S,Promo!B:D,3,0)</f>
        <v>0</v>
      </c>
    </row>
    <row r="113" spans="1:78" s="41" customFormat="1" ht="15.75" customHeight="1">
      <c r="A113" s="41">
        <v>806600</v>
      </c>
      <c r="B113" s="41" t="s">
        <v>80</v>
      </c>
      <c r="C113" s="65" t="str">
        <f>VLOOKUP(B:B,Brand!B:C,2,0)</f>
        <v>Samsung</v>
      </c>
      <c r="D113" s="63">
        <f>VLOOKUP(E:E,'Product Category'!J:O,6,FALSE)</f>
        <v>105</v>
      </c>
      <c r="E113" s="41" t="s">
        <v>2144</v>
      </c>
      <c r="F113" s="63" t="str">
        <f>VLOOKUP(E:E,'Product Category'!J:K,2,FALSE)</f>
        <v>20-T.V. / Audio</v>
      </c>
      <c r="G113" s="63" t="str">
        <f>VLOOKUP(F:F,'Product Category'!K:L,2,FALSE)</f>
        <v>2-Home Appliances / Electronic</v>
      </c>
      <c r="H113" s="41" t="s">
        <v>3801</v>
      </c>
      <c r="I113" s="41" t="s">
        <v>3802</v>
      </c>
      <c r="J113" s="41" t="s">
        <v>4781</v>
      </c>
      <c r="K113" s="41" t="s">
        <v>4782</v>
      </c>
      <c r="L113" s="41">
        <v>1</v>
      </c>
      <c r="M113" s="41" t="s">
        <v>93</v>
      </c>
      <c r="N113" s="41" t="str">
        <f>VLOOKUP(M:M,Unit!B:C,2,0)</f>
        <v>unit</v>
      </c>
      <c r="O113" s="41" t="s">
        <v>67</v>
      </c>
      <c r="P113" s="41">
        <v>1</v>
      </c>
      <c r="Q113" s="41" t="s">
        <v>68</v>
      </c>
      <c r="R113" s="41" t="str">
        <f>VLOOKUP(Q:Q,Unit!B:D,2,0)</f>
        <v>pc</v>
      </c>
      <c r="S113" s="41" t="s">
        <v>75</v>
      </c>
      <c r="T113" s="41" t="str">
        <f>VLOOKUP(S:S,Promo!B:D,2,0)</f>
        <v>Promo EN</v>
      </c>
      <c r="W113" s="41">
        <v>15990</v>
      </c>
      <c r="X113" s="41">
        <v>13990</v>
      </c>
      <c r="AB113" s="41" t="s">
        <v>91</v>
      </c>
      <c r="AG113" s="41" t="s">
        <v>71</v>
      </c>
      <c r="AH113" s="41" t="s">
        <v>71</v>
      </c>
      <c r="AI113" s="41" t="s">
        <v>71</v>
      </c>
      <c r="AJ113" s="41" t="s">
        <v>71</v>
      </c>
      <c r="AK113" s="41" t="s">
        <v>71</v>
      </c>
      <c r="AL113" s="41" t="s">
        <v>71</v>
      </c>
      <c r="AS113" s="41" t="s">
        <v>3803</v>
      </c>
      <c r="AT113" s="41" t="s">
        <v>2265</v>
      </c>
      <c r="BS113" s="41" t="s">
        <v>2058</v>
      </c>
      <c r="BT113" s="41" t="s">
        <v>72</v>
      </c>
      <c r="BW113" s="41" t="s">
        <v>72</v>
      </c>
      <c r="BX113" s="41">
        <f>VLOOKUP(B:B,Brand!B:D,3,0)</f>
        <v>160</v>
      </c>
      <c r="BY113" s="41">
        <f>VLOOKUP(M:M,Unit!B:D,3,0)</f>
        <v>6</v>
      </c>
      <c r="BZ113" s="41">
        <f>VLOOKUP(S:S,Promo!B:D,3,0)</f>
        <v>0</v>
      </c>
    </row>
    <row r="114" spans="1:78" s="41" customFormat="1" ht="15.75" customHeight="1">
      <c r="A114" s="41">
        <v>811737</v>
      </c>
      <c r="B114" s="41" t="s">
        <v>1184</v>
      </c>
      <c r="C114" s="65" t="str">
        <f>VLOOKUP(B:B,Brand!B:C,2,0)</f>
        <v>Aconatic</v>
      </c>
      <c r="D114" s="63">
        <f>VLOOKUP(E:E,'Product Category'!J:O,6,FALSE)</f>
        <v>105</v>
      </c>
      <c r="E114" s="41" t="s">
        <v>2144</v>
      </c>
      <c r="F114" s="63" t="str">
        <f>VLOOKUP(E:E,'Product Category'!J:K,2,FALSE)</f>
        <v>20-T.V. / Audio</v>
      </c>
      <c r="G114" s="63" t="str">
        <f>VLOOKUP(F:F,'Product Category'!K:L,2,FALSE)</f>
        <v>2-Home Appliances / Electronic</v>
      </c>
      <c r="H114" s="41" t="s">
        <v>3813</v>
      </c>
      <c r="I114" s="41" t="s">
        <v>3814</v>
      </c>
      <c r="J114" s="65" t="str">
        <f>TRIM(CONCATENATE(B114," ",H114," ",L114," ",M114," ",O114,P114," ",Q114))</f>
        <v>อโคเนติก แอลอีดีทีวี #AN-32DH800SM 1 เครื่อง x1 ชิ้น</v>
      </c>
      <c r="K114" s="80" t="str">
        <f>TRIM(CONCATENATE(C114," ",I114," ",L114," ",N114," ",O114,P114," ",R114))</f>
        <v>Aconatic LED TV #AN-32DH800SM 1 unit x1 pc</v>
      </c>
      <c r="L114" s="41">
        <v>1</v>
      </c>
      <c r="M114" s="41" t="s">
        <v>93</v>
      </c>
      <c r="N114" s="41" t="str">
        <f>VLOOKUP(M:M,Unit!B:C,2,0)</f>
        <v>unit</v>
      </c>
      <c r="O114" s="41" t="s">
        <v>67</v>
      </c>
      <c r="P114" s="41">
        <v>1</v>
      </c>
      <c r="Q114" s="41" t="s">
        <v>68</v>
      </c>
      <c r="R114" s="41" t="str">
        <f>VLOOKUP(Q:Q,Unit!B:D,2,0)</f>
        <v>pc</v>
      </c>
      <c r="S114" s="41" t="s">
        <v>75</v>
      </c>
      <c r="T114" s="41" t="str">
        <f>VLOOKUP(S:S,Promo!B:D,2,0)</f>
        <v>Promo EN</v>
      </c>
      <c r="W114" s="41">
        <v>7990</v>
      </c>
      <c r="X114" s="41">
        <v>7490</v>
      </c>
      <c r="Z114" s="41" t="s">
        <v>3815</v>
      </c>
      <c r="AA114" s="41">
        <v>241310</v>
      </c>
      <c r="AB114" s="41" t="s">
        <v>91</v>
      </c>
      <c r="AE114" s="41" t="s">
        <v>3816</v>
      </c>
      <c r="AF114" s="41" t="s">
        <v>3373</v>
      </c>
      <c r="AG114" s="41" t="s">
        <v>71</v>
      </c>
      <c r="AH114" s="41" t="s">
        <v>71</v>
      </c>
      <c r="AI114" s="41" t="s">
        <v>71</v>
      </c>
      <c r="AJ114" s="41" t="s">
        <v>71</v>
      </c>
      <c r="AK114" s="41" t="s">
        <v>71</v>
      </c>
      <c r="AL114" s="41" t="s">
        <v>71</v>
      </c>
      <c r="AS114" s="41" t="s">
        <v>3817</v>
      </c>
      <c r="AT114" s="41" t="s">
        <v>2187</v>
      </c>
      <c r="BS114" s="41" t="s">
        <v>2058</v>
      </c>
      <c r="BT114" s="41" t="s">
        <v>72</v>
      </c>
      <c r="BW114" s="41" t="s">
        <v>72</v>
      </c>
      <c r="BX114" s="41">
        <f>VLOOKUP(B:B,Brand!B:D,3,0)</f>
        <v>644</v>
      </c>
      <c r="BY114" s="41">
        <f>VLOOKUP(M:M,Unit!B:D,3,0)</f>
        <v>6</v>
      </c>
      <c r="BZ114" s="41">
        <f>VLOOKUP(S:S,Promo!B:D,3,0)</f>
        <v>0</v>
      </c>
    </row>
    <row r="115" spans="1:78" s="41" customFormat="1" ht="15.75" customHeight="1">
      <c r="A115" s="41">
        <v>806593</v>
      </c>
      <c r="B115" s="41" t="s">
        <v>910</v>
      </c>
      <c r="C115" s="65" t="str">
        <f>VLOOKUP(B:B,Brand!B:C,2,0)</f>
        <v>Philips</v>
      </c>
      <c r="D115" s="63">
        <f>VLOOKUP(E:E,'Product Category'!J:O,6,FALSE)</f>
        <v>105</v>
      </c>
      <c r="E115" s="41" t="s">
        <v>2144</v>
      </c>
      <c r="F115" s="63" t="str">
        <f>VLOOKUP(E:E,'Product Category'!J:K,2,FALSE)</f>
        <v>20-T.V. / Audio</v>
      </c>
      <c r="G115" s="63" t="str">
        <f>VLOOKUP(F:F,'Product Category'!K:L,2,FALSE)</f>
        <v>2-Home Appliances / Electronic</v>
      </c>
      <c r="H115" s="41" t="s">
        <v>3839</v>
      </c>
      <c r="I115" s="41" t="s">
        <v>3840</v>
      </c>
      <c r="J115" s="41" t="s">
        <v>4793</v>
      </c>
      <c r="K115" s="41" t="s">
        <v>4794</v>
      </c>
      <c r="L115" s="41">
        <v>1</v>
      </c>
      <c r="M115" s="41" t="s">
        <v>93</v>
      </c>
      <c r="N115" s="41" t="str">
        <f>VLOOKUP(M:M,Unit!B:C,2,0)</f>
        <v>unit</v>
      </c>
      <c r="O115" s="41" t="s">
        <v>67</v>
      </c>
      <c r="P115" s="41">
        <v>1</v>
      </c>
      <c r="Q115" s="41" t="s">
        <v>68</v>
      </c>
      <c r="R115" s="41" t="str">
        <f>VLOOKUP(Q:Q,Unit!B:D,2,0)</f>
        <v>pc</v>
      </c>
      <c r="S115" s="41" t="s">
        <v>75</v>
      </c>
      <c r="T115" s="41" t="str">
        <f>VLOOKUP(S:S,Promo!B:D,2,0)</f>
        <v>Promo EN</v>
      </c>
      <c r="W115" s="41">
        <v>9390</v>
      </c>
      <c r="X115" s="41">
        <v>6990</v>
      </c>
      <c r="AB115" s="41" t="s">
        <v>91</v>
      </c>
      <c r="AE115" s="41" t="s">
        <v>3841</v>
      </c>
      <c r="AG115" s="41" t="s">
        <v>71</v>
      </c>
      <c r="AH115" s="41" t="s">
        <v>71</v>
      </c>
      <c r="AI115" s="41" t="s">
        <v>71</v>
      </c>
      <c r="AJ115" s="41" t="s">
        <v>71</v>
      </c>
      <c r="AK115" s="41" t="s">
        <v>71</v>
      </c>
      <c r="AL115" s="41" t="s">
        <v>71</v>
      </c>
      <c r="AS115" s="41" t="s">
        <v>3842</v>
      </c>
      <c r="AT115" s="41" t="s">
        <v>2187</v>
      </c>
      <c r="BS115" s="41" t="s">
        <v>2058</v>
      </c>
      <c r="BT115" s="41" t="s">
        <v>72</v>
      </c>
      <c r="BW115" s="41" t="s">
        <v>72</v>
      </c>
      <c r="BX115" s="41">
        <f>VLOOKUP(B:B,Brand!B:D,3,0)</f>
        <v>462</v>
      </c>
      <c r="BY115" s="41">
        <f>VLOOKUP(M:M,Unit!B:D,3,0)</f>
        <v>6</v>
      </c>
      <c r="BZ115" s="41">
        <f>VLOOKUP(S:S,Promo!B:D,3,0)</f>
        <v>0</v>
      </c>
    </row>
    <row r="116" spans="1:78" s="41" customFormat="1" ht="15.75" customHeight="1">
      <c r="A116" s="41">
        <v>820067</v>
      </c>
      <c r="B116" s="41" t="s">
        <v>910</v>
      </c>
      <c r="C116" s="65" t="str">
        <f>VLOOKUP(B:B,Brand!B:C,2,0)</f>
        <v>Philips</v>
      </c>
      <c r="D116" s="63">
        <f>VLOOKUP(E:E,'Product Category'!J:O,6,FALSE)</f>
        <v>105</v>
      </c>
      <c r="E116" s="41" t="s">
        <v>2144</v>
      </c>
      <c r="F116" s="63" t="str">
        <f>VLOOKUP(E:E,'Product Category'!J:K,2,FALSE)</f>
        <v>20-T.V. / Audio</v>
      </c>
      <c r="G116" s="63" t="str">
        <f>VLOOKUP(F:F,'Product Category'!K:L,2,FALSE)</f>
        <v>2-Home Appliances / Electronic</v>
      </c>
      <c r="H116" s="41" t="s">
        <v>3843</v>
      </c>
      <c r="I116" s="41" t="s">
        <v>3844</v>
      </c>
      <c r="J116" s="41" t="s">
        <v>4795</v>
      </c>
      <c r="K116" s="41" t="s">
        <v>4796</v>
      </c>
      <c r="L116" s="41">
        <v>1</v>
      </c>
      <c r="M116" s="41" t="s">
        <v>93</v>
      </c>
      <c r="N116" s="41" t="str">
        <f>VLOOKUP(M:M,Unit!B:C,2,0)</f>
        <v>unit</v>
      </c>
      <c r="O116" s="41" t="s">
        <v>67</v>
      </c>
      <c r="P116" s="41">
        <v>1</v>
      </c>
      <c r="Q116" s="41" t="s">
        <v>68</v>
      </c>
      <c r="R116" s="41" t="str">
        <f>VLOOKUP(Q:Q,Unit!B:D,2,0)</f>
        <v>pc</v>
      </c>
      <c r="S116" s="41" t="s">
        <v>75</v>
      </c>
      <c r="T116" s="41" t="str">
        <f>VLOOKUP(S:S,Promo!B:D,2,0)</f>
        <v>Promo EN</v>
      </c>
      <c r="W116" s="41">
        <v>4990</v>
      </c>
      <c r="X116" s="41">
        <v>3990</v>
      </c>
      <c r="AB116" s="41" t="s">
        <v>91</v>
      </c>
      <c r="AE116" s="41" t="s">
        <v>3845</v>
      </c>
      <c r="AG116" s="41" t="s">
        <v>71</v>
      </c>
      <c r="AH116" s="41" t="s">
        <v>71</v>
      </c>
      <c r="AI116" s="41" t="s">
        <v>71</v>
      </c>
      <c r="AJ116" s="41" t="s">
        <v>71</v>
      </c>
      <c r="AK116" s="41" t="s">
        <v>71</v>
      </c>
      <c r="AL116" s="41" t="s">
        <v>71</v>
      </c>
      <c r="AS116" s="41" t="s">
        <v>3846</v>
      </c>
      <c r="AT116" s="41" t="s">
        <v>3845</v>
      </c>
      <c r="BS116" s="41" t="s">
        <v>2058</v>
      </c>
      <c r="BT116" s="41" t="s">
        <v>72</v>
      </c>
      <c r="BW116" s="41" t="s">
        <v>72</v>
      </c>
      <c r="BX116" s="41">
        <f>VLOOKUP(B:B,Brand!B:D,3,0)</f>
        <v>462</v>
      </c>
      <c r="BY116" s="41">
        <f>VLOOKUP(M:M,Unit!B:D,3,0)</f>
        <v>6</v>
      </c>
      <c r="BZ116" s="41">
        <f>VLOOKUP(S:S,Promo!B:D,3,0)</f>
        <v>0</v>
      </c>
    </row>
    <row r="117" spans="1:78" s="41" customFormat="1" ht="15.75" customHeight="1">
      <c r="A117" s="41">
        <v>226164</v>
      </c>
      <c r="B117" s="41" t="s">
        <v>199</v>
      </c>
      <c r="C117" s="65" t="str">
        <f>VLOOKUP(B:B,Brand!B:C,2,0)</f>
        <v>Sharp</v>
      </c>
      <c r="D117" s="63">
        <f>VLOOKUP(E:E,'Product Category'!J:O,6,FALSE)</f>
        <v>105</v>
      </c>
      <c r="E117" s="41" t="s">
        <v>2144</v>
      </c>
      <c r="F117" s="63" t="str">
        <f>VLOOKUP(E:E,'Product Category'!J:K,2,FALSE)</f>
        <v>20-T.V. / Audio</v>
      </c>
      <c r="G117" s="63" t="str">
        <f>VLOOKUP(F:F,'Product Category'!K:L,2,FALSE)</f>
        <v>2-Home Appliances / Electronic</v>
      </c>
      <c r="H117" s="41" t="s">
        <v>2259</v>
      </c>
      <c r="I117" s="41" t="s">
        <v>3974</v>
      </c>
      <c r="J117" s="41" t="s">
        <v>4873</v>
      </c>
      <c r="K117" s="41" t="s">
        <v>4874</v>
      </c>
      <c r="L117" s="41">
        <v>1</v>
      </c>
      <c r="M117" s="41" t="s">
        <v>93</v>
      </c>
      <c r="N117" s="41" t="str">
        <f>VLOOKUP(M:M,Unit!B:C,2,0)</f>
        <v>unit</v>
      </c>
      <c r="O117" s="41" t="s">
        <v>67</v>
      </c>
      <c r="P117" s="41">
        <v>1</v>
      </c>
      <c r="Q117" s="41" t="s">
        <v>68</v>
      </c>
      <c r="R117" s="41" t="str">
        <f>VLOOKUP(Q:Q,Unit!B:D,2,0)</f>
        <v>pc</v>
      </c>
      <c r="S117" s="41" t="s">
        <v>75</v>
      </c>
      <c r="T117" s="41" t="str">
        <f>VLOOKUP(S:S,Promo!B:D,2,0)</f>
        <v>Promo EN</v>
      </c>
      <c r="W117" s="41">
        <v>7990</v>
      </c>
      <c r="X117" s="41">
        <v>6290</v>
      </c>
      <c r="AB117" s="41" t="s">
        <v>91</v>
      </c>
      <c r="AE117" s="41" t="s">
        <v>2187</v>
      </c>
      <c r="AG117" s="41" t="s">
        <v>71</v>
      </c>
      <c r="AH117" s="41" t="s">
        <v>71</v>
      </c>
      <c r="AI117" s="41" t="s">
        <v>71</v>
      </c>
      <c r="AJ117" s="41" t="s">
        <v>71</v>
      </c>
      <c r="AK117" s="41" t="s">
        <v>71</v>
      </c>
      <c r="AL117" s="41" t="s">
        <v>71</v>
      </c>
      <c r="AS117" s="41" t="s">
        <v>2260</v>
      </c>
      <c r="AT117" s="41" t="s">
        <v>2187</v>
      </c>
      <c r="BS117" s="41" t="s">
        <v>2058</v>
      </c>
      <c r="BT117" s="41" t="s">
        <v>72</v>
      </c>
      <c r="BW117" s="41" t="s">
        <v>72</v>
      </c>
      <c r="BX117" s="41">
        <f>VLOOKUP(B:B,Brand!B:D,3,0)</f>
        <v>138</v>
      </c>
      <c r="BY117" s="41">
        <f>VLOOKUP(M:M,Unit!B:D,3,0)</f>
        <v>6</v>
      </c>
      <c r="BZ117" s="41">
        <f>VLOOKUP(S:S,Promo!B:D,3,0)</f>
        <v>0</v>
      </c>
    </row>
    <row r="118" spans="1:78" s="41" customFormat="1" ht="15.75" customHeight="1">
      <c r="A118" s="41">
        <v>818363</v>
      </c>
      <c r="B118" s="41" t="s">
        <v>92</v>
      </c>
      <c r="C118" s="65" t="str">
        <f>VLOOKUP(B:B,Brand!B:C,2,0)</f>
        <v>LG</v>
      </c>
      <c r="D118" s="63">
        <f>VLOOKUP(E:E,'Product Category'!J:O,6,FALSE)</f>
        <v>105</v>
      </c>
      <c r="E118" s="41" t="s">
        <v>2144</v>
      </c>
      <c r="F118" s="63" t="str">
        <f>VLOOKUP(E:E,'Product Category'!J:K,2,FALSE)</f>
        <v>20-T.V. / Audio</v>
      </c>
      <c r="G118" s="63" t="str">
        <f>VLOOKUP(F:F,'Product Category'!K:L,2,FALSE)</f>
        <v>2-Home Appliances / Electronic</v>
      </c>
      <c r="H118" s="41" t="s">
        <v>2261</v>
      </c>
      <c r="I118" s="41" t="s">
        <v>2262</v>
      </c>
      <c r="J118" s="41" t="s">
        <v>4875</v>
      </c>
      <c r="K118" s="41" t="s">
        <v>4876</v>
      </c>
      <c r="L118" s="41">
        <v>1</v>
      </c>
      <c r="M118" s="41" t="s">
        <v>93</v>
      </c>
      <c r="N118" s="41" t="str">
        <f>VLOOKUP(M:M,Unit!B:C,2,0)</f>
        <v>unit</v>
      </c>
      <c r="O118" s="41" t="s">
        <v>67</v>
      </c>
      <c r="P118" s="41">
        <v>1</v>
      </c>
      <c r="Q118" s="41" t="s">
        <v>68</v>
      </c>
      <c r="R118" s="41" t="str">
        <f>VLOOKUP(Q:Q,Unit!B:D,2,0)</f>
        <v>pc</v>
      </c>
      <c r="S118" s="41" t="s">
        <v>75</v>
      </c>
      <c r="T118" s="41" t="str">
        <f>VLOOKUP(S:S,Promo!B:D,2,0)</f>
        <v>Promo EN</v>
      </c>
      <c r="W118" s="41">
        <v>27990</v>
      </c>
      <c r="X118" s="41">
        <v>17990</v>
      </c>
      <c r="AB118" s="41" t="s">
        <v>91</v>
      </c>
      <c r="AE118" s="41" t="s">
        <v>3975</v>
      </c>
      <c r="AG118" s="41" t="s">
        <v>71</v>
      </c>
      <c r="AH118" s="41" t="s">
        <v>71</v>
      </c>
      <c r="AI118" s="41" t="s">
        <v>71</v>
      </c>
      <c r="AJ118" s="41" t="s">
        <v>71</v>
      </c>
      <c r="AK118" s="41" t="s">
        <v>71</v>
      </c>
      <c r="AL118" s="41" t="s">
        <v>71</v>
      </c>
      <c r="AS118" s="41" t="s">
        <v>2263</v>
      </c>
      <c r="AT118" s="41" t="s">
        <v>2264</v>
      </c>
      <c r="BS118" s="41" t="s">
        <v>2058</v>
      </c>
      <c r="BT118" s="41" t="s">
        <v>72</v>
      </c>
      <c r="BW118" s="41" t="s">
        <v>72</v>
      </c>
      <c r="BX118" s="41">
        <f>VLOOKUP(B:B,Brand!B:D,3,0)</f>
        <v>716</v>
      </c>
      <c r="BY118" s="41">
        <f>VLOOKUP(M:M,Unit!B:D,3,0)</f>
        <v>6</v>
      </c>
      <c r="BZ118" s="41">
        <f>VLOOKUP(S:S,Promo!B:D,3,0)</f>
        <v>0</v>
      </c>
    </row>
    <row r="119" spans="1:78" s="41" customFormat="1" ht="15.75" customHeight="1">
      <c r="A119" s="41">
        <v>806596</v>
      </c>
      <c r="B119" s="41" t="s">
        <v>910</v>
      </c>
      <c r="C119" s="65" t="str">
        <f>VLOOKUP(B:B,Brand!B:C,2,0)</f>
        <v>Philips</v>
      </c>
      <c r="D119" s="63">
        <f>VLOOKUP(E:E,'Product Category'!J:O,6,FALSE)</f>
        <v>105</v>
      </c>
      <c r="E119" s="41" t="s">
        <v>2144</v>
      </c>
      <c r="F119" s="63" t="str">
        <f>VLOOKUP(E:E,'Product Category'!J:K,2,FALSE)</f>
        <v>20-T.V. / Audio</v>
      </c>
      <c r="G119" s="63" t="str">
        <f>VLOOKUP(F:F,'Product Category'!K:L,2,FALSE)</f>
        <v>2-Home Appliances / Electronic</v>
      </c>
      <c r="H119" s="41" t="s">
        <v>4005</v>
      </c>
      <c r="I119" s="41" t="s">
        <v>4006</v>
      </c>
      <c r="J119" s="41" t="s">
        <v>4889</v>
      </c>
      <c r="K119" s="41" t="s">
        <v>4890</v>
      </c>
      <c r="L119" s="41">
        <v>1</v>
      </c>
      <c r="M119" s="41" t="s">
        <v>93</v>
      </c>
      <c r="N119" s="41" t="str">
        <f>VLOOKUP(M:M,Unit!B:C,2,0)</f>
        <v>unit</v>
      </c>
      <c r="O119" s="41" t="s">
        <v>67</v>
      </c>
      <c r="P119" s="41">
        <v>1</v>
      </c>
      <c r="Q119" s="41" t="s">
        <v>68</v>
      </c>
      <c r="R119" s="41" t="str">
        <f>VLOOKUP(Q:Q,Unit!B:D,2,0)</f>
        <v>pc</v>
      </c>
      <c r="S119" s="41" t="s">
        <v>75</v>
      </c>
      <c r="T119" s="41" t="str">
        <f>VLOOKUP(S:S,Promo!B:D,2,0)</f>
        <v>Promo EN</v>
      </c>
      <c r="W119" s="41">
        <v>7990</v>
      </c>
      <c r="X119" s="41">
        <v>4990</v>
      </c>
      <c r="AB119" s="41" t="s">
        <v>91</v>
      </c>
      <c r="AE119" s="41" t="s">
        <v>4007</v>
      </c>
      <c r="AG119" s="41" t="s">
        <v>71</v>
      </c>
      <c r="AH119" s="41" t="s">
        <v>71</v>
      </c>
      <c r="AI119" s="41" t="s">
        <v>71</v>
      </c>
      <c r="AJ119" s="41" t="s">
        <v>71</v>
      </c>
      <c r="AK119" s="41" t="s">
        <v>71</v>
      </c>
      <c r="AL119" s="41" t="s">
        <v>71</v>
      </c>
      <c r="AS119" s="41" t="s">
        <v>3842</v>
      </c>
      <c r="AT119" s="41" t="s">
        <v>2187</v>
      </c>
      <c r="BS119" s="41" t="s">
        <v>2058</v>
      </c>
      <c r="BT119" s="41" t="s">
        <v>72</v>
      </c>
      <c r="BW119" s="41" t="s">
        <v>72</v>
      </c>
      <c r="BX119" s="41">
        <f>VLOOKUP(B:B,Brand!B:D,3,0)</f>
        <v>462</v>
      </c>
      <c r="BY119" s="41">
        <f>VLOOKUP(M:M,Unit!B:D,3,0)</f>
        <v>6</v>
      </c>
      <c r="BZ119" s="41">
        <f>VLOOKUP(S:S,Promo!B:D,3,0)</f>
        <v>0</v>
      </c>
    </row>
    <row r="120" spans="1:78" s="41" customFormat="1" ht="15.75" customHeight="1">
      <c r="A120" s="41">
        <v>183082</v>
      </c>
      <c r="B120" s="41" t="s">
        <v>694</v>
      </c>
      <c r="C120" s="65" t="str">
        <f>VLOOKUP(B:B,Brand!B:C,2,0)</f>
        <v>Neptune</v>
      </c>
      <c r="D120" s="63">
        <f>VLOOKUP(E:E,'Product Category'!J:O,6,FALSE)</f>
        <v>108</v>
      </c>
      <c r="E120" s="41" t="s">
        <v>2097</v>
      </c>
      <c r="F120" s="63" t="str">
        <f>VLOOKUP(E:E,'Product Category'!J:K,2,FALSE)</f>
        <v>21-Water</v>
      </c>
      <c r="G120" s="63" t="str">
        <f>VLOOKUP(F:F,'Product Category'!K:L,2,FALSE)</f>
        <v>3-Beverages</v>
      </c>
      <c r="H120" s="41" t="s">
        <v>3583</v>
      </c>
      <c r="I120" s="41" t="s">
        <v>2369</v>
      </c>
      <c r="J120" s="41" t="s">
        <v>4607</v>
      </c>
      <c r="K120" s="41" t="s">
        <v>4608</v>
      </c>
      <c r="L120" s="41">
        <v>600</v>
      </c>
      <c r="M120" s="41" t="s">
        <v>66</v>
      </c>
      <c r="N120" s="41" t="str">
        <f>VLOOKUP(M:M,Unit!B:C,2,0)</f>
        <v>ml</v>
      </c>
      <c r="O120" s="41" t="s">
        <v>67</v>
      </c>
      <c r="P120" s="41">
        <v>12</v>
      </c>
      <c r="Q120" s="41" t="s">
        <v>95</v>
      </c>
      <c r="R120" s="41" t="str">
        <f>VLOOKUP(Q:Q,Unit!B:D,2,0)</f>
        <v>bottle</v>
      </c>
      <c r="S120" s="41" t="s">
        <v>75</v>
      </c>
      <c r="T120" s="41" t="str">
        <f>VLOOKUP(S:S,Promo!B:D,2,0)</f>
        <v>Promo EN</v>
      </c>
      <c r="W120" s="41">
        <v>55</v>
      </c>
      <c r="X120" s="41">
        <v>39</v>
      </c>
      <c r="AB120" s="41" t="s">
        <v>91</v>
      </c>
      <c r="AG120" s="41" t="s">
        <v>71</v>
      </c>
      <c r="AH120" s="41" t="s">
        <v>71</v>
      </c>
      <c r="AI120" s="41" t="s">
        <v>71</v>
      </c>
      <c r="AJ120" s="41" t="s">
        <v>71</v>
      </c>
      <c r="AK120" s="41" t="s">
        <v>71</v>
      </c>
      <c r="AL120" s="41" t="s">
        <v>71</v>
      </c>
      <c r="BS120" s="41" t="s">
        <v>2058</v>
      </c>
      <c r="BT120" s="41" t="s">
        <v>72</v>
      </c>
      <c r="BW120" s="41" t="s">
        <v>72</v>
      </c>
      <c r="BX120" s="41">
        <f>VLOOKUP(B:B,Brand!B:D,3,0)</f>
        <v>321</v>
      </c>
      <c r="BY120" s="41">
        <f>VLOOKUP(M:M,Unit!B:D,3,0)</f>
        <v>4</v>
      </c>
      <c r="BZ120" s="41">
        <f>VLOOKUP(S:S,Promo!B:D,3,0)</f>
        <v>0</v>
      </c>
    </row>
    <row r="121" spans="1:78" s="41" customFormat="1" ht="15.75" customHeight="1">
      <c r="A121" s="41">
        <v>887705</v>
      </c>
      <c r="B121" s="41" t="s">
        <v>704</v>
      </c>
      <c r="C121" s="65" t="str">
        <f>VLOOKUP(B:B,Brand!B:C,2,0)</f>
        <v>Nestle</v>
      </c>
      <c r="D121" s="63">
        <f>VLOOKUP(E:E,'Product Category'!J:O,6,FALSE)</f>
        <v>108</v>
      </c>
      <c r="E121" s="41" t="s">
        <v>2097</v>
      </c>
      <c r="F121" s="63" t="str">
        <f>VLOOKUP(E:E,'Product Category'!J:K,2,FALSE)</f>
        <v>21-Water</v>
      </c>
      <c r="G121" s="63" t="str">
        <f>VLOOKUP(F:F,'Product Category'!K:L,2,FALSE)</f>
        <v>3-Beverages</v>
      </c>
      <c r="H121" s="41" t="s">
        <v>4044</v>
      </c>
      <c r="I121" s="41" t="s">
        <v>4045</v>
      </c>
      <c r="J121" s="41" t="s">
        <v>4920</v>
      </c>
      <c r="K121" s="41" t="s">
        <v>4921</v>
      </c>
      <c r="L121" s="41">
        <v>1500</v>
      </c>
      <c r="M121" s="41" t="s">
        <v>66</v>
      </c>
      <c r="N121" s="41" t="str">
        <f>VLOOKUP(M:M,Unit!B:C,2,0)</f>
        <v>ml</v>
      </c>
      <c r="O121" s="41" t="s">
        <v>67</v>
      </c>
      <c r="P121" s="41">
        <v>6</v>
      </c>
      <c r="Q121" s="41" t="s">
        <v>95</v>
      </c>
      <c r="R121" s="41" t="str">
        <f>VLOOKUP(Q:Q,Unit!B:D,2,0)</f>
        <v>bottle</v>
      </c>
      <c r="S121" s="41" t="s">
        <v>75</v>
      </c>
      <c r="T121" s="41" t="str">
        <f>VLOOKUP(S:S,Promo!B:D,2,0)</f>
        <v>Promo EN</v>
      </c>
      <c r="W121" s="41">
        <v>58</v>
      </c>
      <c r="X121" s="41">
        <v>49</v>
      </c>
      <c r="AB121" s="41" t="s">
        <v>2056</v>
      </c>
      <c r="AG121" s="41" t="s">
        <v>71</v>
      </c>
      <c r="AH121" s="41" t="s">
        <v>71</v>
      </c>
      <c r="AI121" s="41" t="s">
        <v>71</v>
      </c>
      <c r="AJ121" s="41" t="s">
        <v>71</v>
      </c>
      <c r="AK121" s="41" t="s">
        <v>71</v>
      </c>
      <c r="AL121" s="41" t="s">
        <v>71</v>
      </c>
      <c r="AP121" s="41" t="s">
        <v>4046</v>
      </c>
      <c r="BS121" s="41" t="s">
        <v>2058</v>
      </c>
      <c r="BT121" s="41" t="s">
        <v>72</v>
      </c>
      <c r="BW121" s="41" t="s">
        <v>72</v>
      </c>
      <c r="BX121" s="41">
        <f>VLOOKUP(B:B,Brand!B:D,3,0)</f>
        <v>329</v>
      </c>
      <c r="BY121" s="41">
        <f>VLOOKUP(M:M,Unit!B:D,3,0)</f>
        <v>4</v>
      </c>
      <c r="BZ121" s="41">
        <f>VLOOKUP(S:S,Promo!B:D,3,0)</f>
        <v>0</v>
      </c>
    </row>
    <row r="122" spans="1:78" s="41" customFormat="1" ht="15.75" customHeight="1">
      <c r="A122" s="41">
        <v>800643</v>
      </c>
      <c r="B122" s="41" t="s">
        <v>704</v>
      </c>
      <c r="C122" s="65" t="str">
        <f>VLOOKUP(B:B,Brand!B:C,2,0)</f>
        <v>Nestle</v>
      </c>
      <c r="D122" s="63">
        <f>VLOOKUP(E:E,'Product Category'!J:O,6,FALSE)</f>
        <v>108</v>
      </c>
      <c r="E122" s="41" t="s">
        <v>2097</v>
      </c>
      <c r="F122" s="63" t="str">
        <f>VLOOKUP(E:E,'Product Category'!J:K,2,FALSE)</f>
        <v>21-Water</v>
      </c>
      <c r="G122" s="63" t="str">
        <f>VLOOKUP(F:F,'Product Category'!K:L,2,FALSE)</f>
        <v>3-Beverages</v>
      </c>
      <c r="H122" s="41" t="s">
        <v>4044</v>
      </c>
      <c r="I122" s="41" t="s">
        <v>4045</v>
      </c>
      <c r="J122" s="41" t="s">
        <v>4926</v>
      </c>
      <c r="K122" s="41" t="s">
        <v>4927</v>
      </c>
      <c r="L122" s="41">
        <v>330</v>
      </c>
      <c r="M122" s="41" t="s">
        <v>66</v>
      </c>
      <c r="N122" s="41" t="str">
        <f>VLOOKUP(M:M,Unit!B:C,2,0)</f>
        <v>ml</v>
      </c>
      <c r="O122" s="41" t="s">
        <v>67</v>
      </c>
      <c r="P122" s="41">
        <v>12</v>
      </c>
      <c r="Q122" s="41" t="s">
        <v>95</v>
      </c>
      <c r="R122" s="41" t="str">
        <f>VLOOKUP(Q:Q,Unit!B:D,2,0)</f>
        <v>bottle</v>
      </c>
      <c r="S122" s="41" t="s">
        <v>75</v>
      </c>
      <c r="T122" s="41" t="str">
        <f>VLOOKUP(S:S,Promo!B:D,2,0)</f>
        <v>Promo EN</v>
      </c>
      <c r="W122" s="41">
        <v>49</v>
      </c>
      <c r="X122" s="41">
        <v>45</v>
      </c>
      <c r="AB122" s="41" t="s">
        <v>91</v>
      </c>
      <c r="AG122" s="41" t="s">
        <v>71</v>
      </c>
      <c r="AH122" s="41" t="s">
        <v>71</v>
      </c>
      <c r="AI122" s="41" t="s">
        <v>71</v>
      </c>
      <c r="AJ122" s="41" t="s">
        <v>71</v>
      </c>
      <c r="AK122" s="41" t="s">
        <v>71</v>
      </c>
      <c r="AL122" s="41" t="s">
        <v>71</v>
      </c>
      <c r="AP122" s="41" t="s">
        <v>4046</v>
      </c>
      <c r="BS122" s="41" t="s">
        <v>2058</v>
      </c>
      <c r="BT122" s="41" t="s">
        <v>72</v>
      </c>
      <c r="BW122" s="41" t="s">
        <v>72</v>
      </c>
      <c r="BX122" s="41">
        <f>VLOOKUP(B:B,Brand!B:D,3,0)</f>
        <v>329</v>
      </c>
      <c r="BY122" s="41">
        <f>VLOOKUP(M:M,Unit!B:D,3,0)</f>
        <v>4</v>
      </c>
      <c r="BZ122" s="41">
        <f>VLOOKUP(S:S,Promo!B:D,3,0)</f>
        <v>0</v>
      </c>
    </row>
    <row r="123" spans="1:78" s="41" customFormat="1" ht="15.75" customHeight="1">
      <c r="A123" s="41">
        <v>887640</v>
      </c>
      <c r="B123" s="41" t="s">
        <v>704</v>
      </c>
      <c r="C123" s="65" t="str">
        <f>VLOOKUP(B:B,Brand!B:C,2,0)</f>
        <v>Nestle</v>
      </c>
      <c r="D123" s="63">
        <f>VLOOKUP(E:E,'Product Category'!J:O,6,FALSE)</f>
        <v>108</v>
      </c>
      <c r="E123" s="41" t="s">
        <v>2097</v>
      </c>
      <c r="F123" s="63" t="str">
        <f>VLOOKUP(E:E,'Product Category'!J:K,2,FALSE)</f>
        <v>21-Water</v>
      </c>
      <c r="G123" s="63" t="str">
        <f>VLOOKUP(F:F,'Product Category'!K:L,2,FALSE)</f>
        <v>3-Beverages</v>
      </c>
      <c r="H123" s="41" t="s">
        <v>4044</v>
      </c>
      <c r="I123" s="41" t="s">
        <v>4045</v>
      </c>
      <c r="J123" s="41" t="s">
        <v>4932</v>
      </c>
      <c r="K123" s="41" t="s">
        <v>4933</v>
      </c>
      <c r="L123" s="41">
        <v>600</v>
      </c>
      <c r="M123" s="41" t="s">
        <v>66</v>
      </c>
      <c r="N123" s="41" t="str">
        <f>VLOOKUP(M:M,Unit!B:C,2,0)</f>
        <v>ml</v>
      </c>
      <c r="O123" s="41" t="s">
        <v>67</v>
      </c>
      <c r="P123" s="41">
        <v>12</v>
      </c>
      <c r="Q123" s="41" t="s">
        <v>95</v>
      </c>
      <c r="R123" s="41" t="str">
        <f>VLOOKUP(Q:Q,Unit!B:D,2,0)</f>
        <v>bottle</v>
      </c>
      <c r="S123" s="41" t="s">
        <v>75</v>
      </c>
      <c r="T123" s="41" t="str">
        <f>VLOOKUP(S:S,Promo!B:D,2,0)</f>
        <v>Promo EN</v>
      </c>
      <c r="W123" s="41">
        <v>58</v>
      </c>
      <c r="X123" s="41">
        <v>49</v>
      </c>
      <c r="AB123" s="41" t="s">
        <v>91</v>
      </c>
      <c r="AG123" s="41" t="s">
        <v>1845</v>
      </c>
      <c r="AH123" s="41" t="s">
        <v>1846</v>
      </c>
      <c r="AI123" s="41" t="s">
        <v>71</v>
      </c>
      <c r="AJ123" s="41" t="s">
        <v>3388</v>
      </c>
      <c r="AK123" s="41" t="s">
        <v>71</v>
      </c>
      <c r="AL123" s="41" t="s">
        <v>71</v>
      </c>
      <c r="AP123" s="41" t="s">
        <v>4046</v>
      </c>
      <c r="BS123" s="41" t="s">
        <v>2058</v>
      </c>
      <c r="BT123" s="41" t="s">
        <v>72</v>
      </c>
      <c r="BW123" s="41" t="s">
        <v>72</v>
      </c>
      <c r="BX123" s="41">
        <f>VLOOKUP(B:B,Brand!B:D,3,0)</f>
        <v>329</v>
      </c>
      <c r="BY123" s="41">
        <f>VLOOKUP(M:M,Unit!B:D,3,0)</f>
        <v>4</v>
      </c>
      <c r="BZ123" s="41">
        <f>VLOOKUP(S:S,Promo!B:D,3,0)</f>
        <v>0</v>
      </c>
    </row>
    <row r="124" spans="1:78" s="41" customFormat="1" ht="15.75" customHeight="1">
      <c r="A124" s="41">
        <v>200556</v>
      </c>
      <c r="B124" s="41" t="s">
        <v>97</v>
      </c>
      <c r="C124" s="65" t="str">
        <f>VLOOKUP(B:B,Brand!B:C,2,0)</f>
        <v>aro</v>
      </c>
      <c r="D124" s="63">
        <f>VLOOKUP(E:E,'Product Category'!J:O,6,FALSE)</f>
        <v>108</v>
      </c>
      <c r="E124" s="41" t="s">
        <v>2097</v>
      </c>
      <c r="F124" s="63" t="str">
        <f>VLOOKUP(E:E,'Product Category'!J:K,2,FALSE)</f>
        <v>21-Water</v>
      </c>
      <c r="G124" s="63" t="str">
        <f>VLOOKUP(F:F,'Product Category'!K:L,2,FALSE)</f>
        <v>3-Beverages</v>
      </c>
      <c r="H124" s="41" t="s">
        <v>138</v>
      </c>
      <c r="I124" s="41" t="s">
        <v>2369</v>
      </c>
      <c r="J124" s="41" t="s">
        <v>5035</v>
      </c>
      <c r="K124" s="41" t="s">
        <v>5036</v>
      </c>
      <c r="L124" s="41">
        <v>6</v>
      </c>
      <c r="M124" s="41" t="s">
        <v>94</v>
      </c>
      <c r="N124" s="41" t="str">
        <f>VLOOKUP(M:M,Unit!B:C,2,0)</f>
        <v>L</v>
      </c>
      <c r="O124" s="41" t="s">
        <v>67</v>
      </c>
      <c r="P124" s="41">
        <v>1</v>
      </c>
      <c r="Q124" s="41" t="s">
        <v>2152</v>
      </c>
      <c r="R124" s="41" t="str">
        <f>VLOOKUP(Q:Q,Unit!B:D,2,0)</f>
        <v>gal</v>
      </c>
      <c r="S124" s="41" t="s">
        <v>75</v>
      </c>
      <c r="T124" s="41" t="str">
        <f>VLOOKUP(S:S,Promo!B:D,2,0)</f>
        <v>Promo EN</v>
      </c>
      <c r="W124" s="41">
        <v>28</v>
      </c>
      <c r="X124" s="41">
        <v>26</v>
      </c>
      <c r="AB124" s="41" t="s">
        <v>2056</v>
      </c>
      <c r="AG124" s="41" t="s">
        <v>71</v>
      </c>
      <c r="AH124" s="41" t="s">
        <v>71</v>
      </c>
      <c r="AI124" s="41" t="s">
        <v>71</v>
      </c>
      <c r="AJ124" s="41" t="s">
        <v>71</v>
      </c>
      <c r="AK124" s="41" t="s">
        <v>71</v>
      </c>
      <c r="AL124" s="41" t="s">
        <v>71</v>
      </c>
      <c r="BS124" s="41" t="s">
        <v>2058</v>
      </c>
      <c r="BT124" s="41" t="s">
        <v>72</v>
      </c>
      <c r="BW124" s="41" t="s">
        <v>72</v>
      </c>
      <c r="BX124" s="41">
        <f>VLOOKUP(B:B,Brand!B:D,3,0)</f>
        <v>692</v>
      </c>
      <c r="BY124" s="41">
        <f>VLOOKUP(M:M,Unit!B:D,3,0)</f>
        <v>7</v>
      </c>
      <c r="BZ124" s="41">
        <f>VLOOKUP(S:S,Promo!B:D,3,0)</f>
        <v>0</v>
      </c>
    </row>
    <row r="125" spans="1:78" s="41" customFormat="1" ht="15.75" customHeight="1">
      <c r="A125" s="41">
        <v>210389</v>
      </c>
      <c r="B125" s="41" t="s">
        <v>97</v>
      </c>
      <c r="C125" s="65" t="str">
        <f>VLOOKUP(B:B,Brand!B:C,2,0)</f>
        <v>aro</v>
      </c>
      <c r="D125" s="63">
        <f>VLOOKUP(E:E,'Product Category'!J:O,6,FALSE)</f>
        <v>108</v>
      </c>
      <c r="E125" s="41" t="s">
        <v>2097</v>
      </c>
      <c r="F125" s="63" t="str">
        <f>VLOOKUP(E:E,'Product Category'!J:K,2,FALSE)</f>
        <v>21-Water</v>
      </c>
      <c r="G125" s="63" t="str">
        <f>VLOOKUP(F:F,'Product Category'!K:L,2,FALSE)</f>
        <v>3-Beverages</v>
      </c>
      <c r="H125" s="41" t="s">
        <v>138</v>
      </c>
      <c r="I125" s="41" t="s">
        <v>2369</v>
      </c>
      <c r="J125" s="41" t="s">
        <v>5035</v>
      </c>
      <c r="K125" s="41" t="s">
        <v>5036</v>
      </c>
      <c r="L125" s="41">
        <v>6</v>
      </c>
      <c r="M125" s="41" t="s">
        <v>94</v>
      </c>
      <c r="N125" s="41" t="str">
        <f>VLOOKUP(M:M,Unit!B:C,2,0)</f>
        <v>L</v>
      </c>
      <c r="O125" s="41" t="s">
        <v>67</v>
      </c>
      <c r="P125" s="41">
        <v>1</v>
      </c>
      <c r="Q125" s="41" t="s">
        <v>2152</v>
      </c>
      <c r="R125" s="41" t="str">
        <f>VLOOKUP(Q:Q,Unit!B:D,2,0)</f>
        <v>gal</v>
      </c>
      <c r="S125" s="41" t="s">
        <v>75</v>
      </c>
      <c r="T125" s="41" t="str">
        <f>VLOOKUP(S:S,Promo!B:D,2,0)</f>
        <v>Promo EN</v>
      </c>
      <c r="W125" s="41">
        <v>28</v>
      </c>
      <c r="X125" s="41">
        <v>26</v>
      </c>
      <c r="AB125" s="41" t="s">
        <v>2056</v>
      </c>
      <c r="AG125" s="41" t="s">
        <v>71</v>
      </c>
      <c r="AH125" s="41" t="s">
        <v>71</v>
      </c>
      <c r="AI125" s="41" t="s">
        <v>71</v>
      </c>
      <c r="AJ125" s="41" t="s">
        <v>71</v>
      </c>
      <c r="AK125" s="41" t="s">
        <v>71</v>
      </c>
      <c r="AL125" s="41" t="s">
        <v>71</v>
      </c>
      <c r="BS125" s="41" t="s">
        <v>2058</v>
      </c>
      <c r="BT125" s="41" t="s">
        <v>72</v>
      </c>
      <c r="BW125" s="41" t="s">
        <v>72</v>
      </c>
      <c r="BX125" s="41">
        <f>VLOOKUP(B:B,Brand!B:D,3,0)</f>
        <v>692</v>
      </c>
      <c r="BY125" s="41">
        <f>VLOOKUP(M:M,Unit!B:D,3,0)</f>
        <v>7</v>
      </c>
      <c r="BZ125" s="41">
        <f>VLOOKUP(S:S,Promo!B:D,3,0)</f>
        <v>0</v>
      </c>
    </row>
    <row r="126" spans="1:78" s="41" customFormat="1" ht="15.75" customHeight="1">
      <c r="A126" s="41">
        <v>200550</v>
      </c>
      <c r="B126" s="41" t="s">
        <v>97</v>
      </c>
      <c r="C126" s="65" t="str">
        <f>VLOOKUP(B:B,Brand!B:C,2,0)</f>
        <v>aro</v>
      </c>
      <c r="D126" s="63">
        <f>VLOOKUP(E:E,'Product Category'!J:O,6,FALSE)</f>
        <v>108</v>
      </c>
      <c r="E126" s="41" t="s">
        <v>2097</v>
      </c>
      <c r="F126" s="63" t="str">
        <f>VLOOKUP(E:E,'Product Category'!J:K,2,FALSE)</f>
        <v>21-Water</v>
      </c>
      <c r="G126" s="63" t="str">
        <f>VLOOKUP(F:F,'Product Category'!K:L,2,FALSE)</f>
        <v>3-Beverages</v>
      </c>
      <c r="H126" s="41" t="s">
        <v>138</v>
      </c>
      <c r="I126" s="41" t="s">
        <v>2369</v>
      </c>
      <c r="J126" s="41" t="s">
        <v>5035</v>
      </c>
      <c r="K126" s="41" t="s">
        <v>5036</v>
      </c>
      <c r="L126" s="41">
        <v>6</v>
      </c>
      <c r="M126" s="41" t="s">
        <v>94</v>
      </c>
      <c r="N126" s="41" t="str">
        <f>VLOOKUP(M:M,Unit!B:C,2,0)</f>
        <v>L</v>
      </c>
      <c r="O126" s="41" t="s">
        <v>67</v>
      </c>
      <c r="P126" s="41">
        <v>1</v>
      </c>
      <c r="Q126" s="41" t="s">
        <v>2152</v>
      </c>
      <c r="R126" s="41" t="str">
        <f>VLOOKUP(Q:Q,Unit!B:D,2,0)</f>
        <v>gal</v>
      </c>
      <c r="S126" s="41" t="s">
        <v>75</v>
      </c>
      <c r="T126" s="41" t="str">
        <f>VLOOKUP(S:S,Promo!B:D,2,0)</f>
        <v>Promo EN</v>
      </c>
      <c r="W126" s="41">
        <v>28</v>
      </c>
      <c r="X126" s="41">
        <v>26</v>
      </c>
      <c r="AB126" s="41" t="s">
        <v>2056</v>
      </c>
      <c r="AG126" s="41" t="s">
        <v>71</v>
      </c>
      <c r="AH126" s="41" t="s">
        <v>71</v>
      </c>
      <c r="AI126" s="41" t="s">
        <v>71</v>
      </c>
      <c r="AJ126" s="41" t="s">
        <v>71</v>
      </c>
      <c r="AK126" s="41" t="s">
        <v>71</v>
      </c>
      <c r="AL126" s="41" t="s">
        <v>71</v>
      </c>
      <c r="BS126" s="41" t="s">
        <v>2058</v>
      </c>
      <c r="BT126" s="41" t="s">
        <v>72</v>
      </c>
      <c r="BW126" s="41" t="s">
        <v>72</v>
      </c>
      <c r="BX126" s="41">
        <f>VLOOKUP(B:B,Brand!B:D,3,0)</f>
        <v>692</v>
      </c>
      <c r="BY126" s="41">
        <f>VLOOKUP(M:M,Unit!B:D,3,0)</f>
        <v>7</v>
      </c>
      <c r="BZ126" s="41">
        <f>VLOOKUP(S:S,Promo!B:D,3,0)</f>
        <v>0</v>
      </c>
    </row>
    <row r="127" spans="1:78" s="41" customFormat="1" ht="15.75" customHeight="1">
      <c r="A127" s="41">
        <v>235091</v>
      </c>
      <c r="B127" s="41" t="s">
        <v>97</v>
      </c>
      <c r="C127" s="65" t="str">
        <f>VLOOKUP(B:B,Brand!B:C,2,0)</f>
        <v>aro</v>
      </c>
      <c r="D127" s="63">
        <f>VLOOKUP(E:E,'Product Category'!J:O,6,FALSE)</f>
        <v>108</v>
      </c>
      <c r="E127" s="41" t="s">
        <v>2097</v>
      </c>
      <c r="F127" s="63" t="str">
        <f>VLOOKUP(E:E,'Product Category'!J:K,2,FALSE)</f>
        <v>21-Water</v>
      </c>
      <c r="G127" s="63" t="str">
        <f>VLOOKUP(F:F,'Product Category'!K:L,2,FALSE)</f>
        <v>3-Beverages</v>
      </c>
      <c r="H127" s="41" t="s">
        <v>138</v>
      </c>
      <c r="I127" s="41" t="s">
        <v>2369</v>
      </c>
      <c r="J127" s="41" t="s">
        <v>5035</v>
      </c>
      <c r="K127" s="41" t="s">
        <v>5036</v>
      </c>
      <c r="L127" s="41">
        <v>6</v>
      </c>
      <c r="M127" s="41" t="s">
        <v>94</v>
      </c>
      <c r="N127" s="41" t="str">
        <f>VLOOKUP(M:M,Unit!B:C,2,0)</f>
        <v>L</v>
      </c>
      <c r="O127" s="41" t="s">
        <v>67</v>
      </c>
      <c r="P127" s="41">
        <v>1</v>
      </c>
      <c r="Q127" s="41" t="s">
        <v>2152</v>
      </c>
      <c r="R127" s="41" t="str">
        <f>VLOOKUP(Q:Q,Unit!B:D,2,0)</f>
        <v>gal</v>
      </c>
      <c r="S127" s="41" t="s">
        <v>75</v>
      </c>
      <c r="T127" s="41" t="str">
        <f>VLOOKUP(S:S,Promo!B:D,2,0)</f>
        <v>Promo EN</v>
      </c>
      <c r="W127" s="41">
        <v>28</v>
      </c>
      <c r="X127" s="41">
        <v>26</v>
      </c>
      <c r="AB127" s="41" t="s">
        <v>2056</v>
      </c>
      <c r="AG127" s="41" t="s">
        <v>71</v>
      </c>
      <c r="AH127" s="41" t="s">
        <v>71</v>
      </c>
      <c r="AI127" s="41" t="s">
        <v>71</v>
      </c>
      <c r="AJ127" s="41" t="s">
        <v>71</v>
      </c>
      <c r="AK127" s="41" t="s">
        <v>71</v>
      </c>
      <c r="AL127" s="41" t="s">
        <v>71</v>
      </c>
      <c r="BS127" s="41" t="s">
        <v>2058</v>
      </c>
      <c r="BT127" s="41" t="s">
        <v>72</v>
      </c>
      <c r="BW127" s="41" t="s">
        <v>72</v>
      </c>
      <c r="BX127" s="41">
        <f>VLOOKUP(B:B,Brand!B:D,3,0)</f>
        <v>692</v>
      </c>
      <c r="BY127" s="41">
        <f>VLOOKUP(M:M,Unit!B:D,3,0)</f>
        <v>7</v>
      </c>
      <c r="BZ127" s="41">
        <f>VLOOKUP(S:S,Promo!B:D,3,0)</f>
        <v>0</v>
      </c>
    </row>
    <row r="128" spans="1:78" s="41" customFormat="1" ht="15.75" customHeight="1">
      <c r="A128" s="41">
        <v>159892</v>
      </c>
      <c r="B128" s="41" t="s">
        <v>137</v>
      </c>
      <c r="C128" s="65" t="str">
        <f>VLOOKUP(B:B,Brand!B:C,2,0)</f>
        <v>SINGHA</v>
      </c>
      <c r="D128" s="63">
        <f>VLOOKUP(E:E,'Product Category'!J:O,6,FALSE)</f>
        <v>108</v>
      </c>
      <c r="E128" s="41" t="s">
        <v>2097</v>
      </c>
      <c r="F128" s="63" t="str">
        <f>VLOOKUP(E:E,'Product Category'!J:K,2,FALSE)</f>
        <v>21-Water</v>
      </c>
      <c r="G128" s="63" t="str">
        <f>VLOOKUP(F:F,'Product Category'!K:L,2,FALSE)</f>
        <v>3-Beverages</v>
      </c>
      <c r="H128" s="41" t="s">
        <v>3583</v>
      </c>
      <c r="I128" s="41" t="s">
        <v>4221</v>
      </c>
      <c r="J128" s="65" t="str">
        <f>TRIM(CONCATENATE(B128," ",H128," ",L128," ",M128," ",O128,P128," ",Q128))</f>
        <v>สิงห์ น้ำดื่ม 500 มล. x12 ขวด</v>
      </c>
      <c r="K128" s="80" t="str">
        <f>TRIM(CONCATENATE(C128," ",I128," ",L128," ",N128," ",O128,P128," ",R128))</f>
        <v>SINGHA DRINKINGWATER 500 ml x12 bottle</v>
      </c>
      <c r="L128" s="41">
        <v>500</v>
      </c>
      <c r="M128" s="41" t="s">
        <v>66</v>
      </c>
      <c r="N128" s="41" t="str">
        <f>VLOOKUP(M:M,Unit!B:C,2,0)</f>
        <v>ml</v>
      </c>
      <c r="O128" s="41" t="s">
        <v>67</v>
      </c>
      <c r="P128" s="41">
        <v>12</v>
      </c>
      <c r="Q128" s="41" t="s">
        <v>95</v>
      </c>
      <c r="R128" s="41" t="str">
        <f>VLOOKUP(Q:Q,Unit!B:D,2,0)</f>
        <v>bottle</v>
      </c>
      <c r="S128" s="41" t="s">
        <v>75</v>
      </c>
      <c r="T128" s="41" t="str">
        <f>VLOOKUP(S:S,Promo!B:D,2,0)</f>
        <v>Promo EN</v>
      </c>
      <c r="W128" s="41">
        <v>58</v>
      </c>
      <c r="X128" s="41">
        <v>49</v>
      </c>
      <c r="AB128" s="41" t="s">
        <v>2062</v>
      </c>
      <c r="AG128" s="41" t="s">
        <v>71</v>
      </c>
      <c r="AH128" s="41" t="s">
        <v>1846</v>
      </c>
      <c r="AI128" s="41" t="s">
        <v>71</v>
      </c>
      <c r="AJ128" s="41" t="s">
        <v>71</v>
      </c>
      <c r="AK128" s="41" t="s">
        <v>71</v>
      </c>
      <c r="AL128" s="41" t="s">
        <v>71</v>
      </c>
      <c r="AP128" s="41" t="s">
        <v>4222</v>
      </c>
      <c r="BS128" s="41" t="s">
        <v>2058</v>
      </c>
      <c r="BT128" s="41" t="s">
        <v>72</v>
      </c>
      <c r="BW128" s="41" t="s">
        <v>72</v>
      </c>
      <c r="BX128" s="41">
        <f>VLOOKUP(B:B,Brand!B:D,3,0)</f>
        <v>633</v>
      </c>
      <c r="BY128" s="41">
        <f>VLOOKUP(M:M,Unit!B:D,3,0)</f>
        <v>4</v>
      </c>
      <c r="BZ128" s="41">
        <f>VLOOKUP(S:S,Promo!B:D,3,0)</f>
        <v>0</v>
      </c>
    </row>
    <row r="129" spans="1:78" s="41" customFormat="1" ht="15.75" customHeight="1">
      <c r="A129" s="41">
        <v>200498</v>
      </c>
      <c r="B129" s="41" t="s">
        <v>97</v>
      </c>
      <c r="C129" s="65" t="str">
        <f>VLOOKUP(B:B,Brand!B:C,2,0)</f>
        <v>aro</v>
      </c>
      <c r="D129" s="63">
        <f>VLOOKUP(E:E,'Product Category'!J:O,6,FALSE)</f>
        <v>108</v>
      </c>
      <c r="E129" s="41" t="s">
        <v>2097</v>
      </c>
      <c r="F129" s="63" t="str">
        <f>VLOOKUP(E:E,'Product Category'!J:K,2,FALSE)</f>
        <v>21-Water</v>
      </c>
      <c r="G129" s="63" t="str">
        <f>VLOOKUP(F:F,'Product Category'!K:L,2,FALSE)</f>
        <v>3-Beverages</v>
      </c>
      <c r="H129" s="41" t="s">
        <v>138</v>
      </c>
      <c r="I129" s="41" t="s">
        <v>2369</v>
      </c>
      <c r="J129" s="41" t="s">
        <v>5192</v>
      </c>
      <c r="K129" s="41" t="s">
        <v>5193</v>
      </c>
      <c r="L129" s="41">
        <v>350</v>
      </c>
      <c r="M129" s="41" t="s">
        <v>66</v>
      </c>
      <c r="N129" s="41" t="str">
        <f>VLOOKUP(M:M,Unit!B:C,2,0)</f>
        <v>ml</v>
      </c>
      <c r="O129" s="41" t="s">
        <v>67</v>
      </c>
      <c r="P129" s="41">
        <v>18</v>
      </c>
      <c r="Q129" s="41" t="s">
        <v>95</v>
      </c>
      <c r="R129" s="41" t="str">
        <f>VLOOKUP(Q:Q,Unit!B:D,2,0)</f>
        <v>bottle</v>
      </c>
      <c r="S129" s="41" t="s">
        <v>75</v>
      </c>
      <c r="T129" s="41" t="str">
        <f>VLOOKUP(S:S,Promo!B:D,2,0)</f>
        <v>Promo EN</v>
      </c>
      <c r="W129" s="41">
        <v>62</v>
      </c>
      <c r="X129" s="41">
        <v>58</v>
      </c>
      <c r="AB129" s="41" t="s">
        <v>2054</v>
      </c>
      <c r="AF129" s="41" t="s">
        <v>3373</v>
      </c>
      <c r="AG129" s="41" t="s">
        <v>71</v>
      </c>
      <c r="AH129" s="41" t="s">
        <v>71</v>
      </c>
      <c r="AI129" s="41" t="s">
        <v>71</v>
      </c>
      <c r="AJ129" s="41" t="s">
        <v>71</v>
      </c>
      <c r="AK129" s="41" t="s">
        <v>71</v>
      </c>
      <c r="AL129" s="41" t="s">
        <v>71</v>
      </c>
      <c r="BS129" s="41" t="s">
        <v>2058</v>
      </c>
      <c r="BT129" s="41" t="s">
        <v>72</v>
      </c>
      <c r="BW129" s="41" t="s">
        <v>72</v>
      </c>
      <c r="BX129" s="41">
        <f>VLOOKUP(B:B,Brand!B:D,3,0)</f>
        <v>692</v>
      </c>
      <c r="BY129" s="41">
        <f>VLOOKUP(M:M,Unit!B:D,3,0)</f>
        <v>4</v>
      </c>
      <c r="BZ129" s="41">
        <f>VLOOKUP(S:S,Promo!B:D,3,0)</f>
        <v>0</v>
      </c>
    </row>
    <row r="130" spans="1:78" s="41" customFormat="1" ht="15.75" customHeight="1">
      <c r="A130" s="41">
        <v>200553</v>
      </c>
      <c r="B130" s="41" t="s">
        <v>97</v>
      </c>
      <c r="C130" s="65" t="str">
        <f>VLOOKUP(B:B,Brand!B:C,2,0)</f>
        <v>aro</v>
      </c>
      <c r="D130" s="63">
        <f>VLOOKUP(E:E,'Product Category'!J:O,6,FALSE)</f>
        <v>108</v>
      </c>
      <c r="E130" s="41" t="s">
        <v>2097</v>
      </c>
      <c r="F130" s="63" t="str">
        <f>VLOOKUP(E:E,'Product Category'!J:K,2,FALSE)</f>
        <v>21-Water</v>
      </c>
      <c r="G130" s="63" t="str">
        <f>VLOOKUP(F:F,'Product Category'!K:L,2,FALSE)</f>
        <v>3-Beverages</v>
      </c>
      <c r="H130" s="41" t="s">
        <v>138</v>
      </c>
      <c r="I130" s="41" t="s">
        <v>2369</v>
      </c>
      <c r="J130" s="41" t="s">
        <v>5192</v>
      </c>
      <c r="K130" s="41" t="s">
        <v>5193</v>
      </c>
      <c r="L130" s="41">
        <v>350</v>
      </c>
      <c r="M130" s="41" t="s">
        <v>66</v>
      </c>
      <c r="N130" s="41" t="str">
        <f>VLOOKUP(M:M,Unit!B:C,2,0)</f>
        <v>ml</v>
      </c>
      <c r="O130" s="41" t="s">
        <v>67</v>
      </c>
      <c r="P130" s="41">
        <v>18</v>
      </c>
      <c r="Q130" s="41" t="s">
        <v>95</v>
      </c>
      <c r="R130" s="41" t="str">
        <f>VLOOKUP(Q:Q,Unit!B:D,2,0)</f>
        <v>bottle</v>
      </c>
      <c r="S130" s="41" t="s">
        <v>75</v>
      </c>
      <c r="T130" s="41" t="str">
        <f>VLOOKUP(S:S,Promo!B:D,2,0)</f>
        <v>Promo EN</v>
      </c>
      <c r="W130" s="41">
        <v>62</v>
      </c>
      <c r="X130" s="41">
        <v>58</v>
      </c>
      <c r="AB130" s="41" t="s">
        <v>2054</v>
      </c>
      <c r="AF130" s="41" t="s">
        <v>3373</v>
      </c>
      <c r="AG130" s="41" t="s">
        <v>71</v>
      </c>
      <c r="AH130" s="41" t="s">
        <v>71</v>
      </c>
      <c r="AI130" s="41" t="s">
        <v>71</v>
      </c>
      <c r="AJ130" s="41" t="s">
        <v>71</v>
      </c>
      <c r="AK130" s="41" t="s">
        <v>71</v>
      </c>
      <c r="AL130" s="41" t="s">
        <v>71</v>
      </c>
      <c r="BS130" s="41" t="s">
        <v>2058</v>
      </c>
      <c r="BT130" s="41" t="s">
        <v>72</v>
      </c>
      <c r="BW130" s="41" t="s">
        <v>72</v>
      </c>
      <c r="BX130" s="41">
        <f>VLOOKUP(B:B,Brand!B:D,3,0)</f>
        <v>692</v>
      </c>
      <c r="BY130" s="41">
        <f>VLOOKUP(M:M,Unit!B:D,3,0)</f>
        <v>4</v>
      </c>
      <c r="BZ130" s="41">
        <f>VLOOKUP(S:S,Promo!B:D,3,0)</f>
        <v>0</v>
      </c>
    </row>
    <row r="131" spans="1:78" s="41" customFormat="1" ht="15.75" customHeight="1">
      <c r="A131" s="41">
        <v>210385</v>
      </c>
      <c r="B131" s="41" t="s">
        <v>97</v>
      </c>
      <c r="C131" s="65" t="str">
        <f>VLOOKUP(B:B,Brand!B:C,2,0)</f>
        <v>aro</v>
      </c>
      <c r="D131" s="63">
        <f>VLOOKUP(E:E,'Product Category'!J:O,6,FALSE)</f>
        <v>108</v>
      </c>
      <c r="E131" s="41" t="s">
        <v>2097</v>
      </c>
      <c r="F131" s="63" t="str">
        <f>VLOOKUP(E:E,'Product Category'!J:K,2,FALSE)</f>
        <v>21-Water</v>
      </c>
      <c r="G131" s="63" t="str">
        <f>VLOOKUP(F:F,'Product Category'!K:L,2,FALSE)</f>
        <v>3-Beverages</v>
      </c>
      <c r="H131" s="41" t="s">
        <v>138</v>
      </c>
      <c r="I131" s="41" t="s">
        <v>2369</v>
      </c>
      <c r="J131" s="41" t="s">
        <v>5192</v>
      </c>
      <c r="K131" s="41" t="s">
        <v>5193</v>
      </c>
      <c r="L131" s="41">
        <v>350</v>
      </c>
      <c r="M131" s="41" t="s">
        <v>66</v>
      </c>
      <c r="N131" s="41" t="str">
        <f>VLOOKUP(M:M,Unit!B:C,2,0)</f>
        <v>ml</v>
      </c>
      <c r="O131" s="41" t="s">
        <v>67</v>
      </c>
      <c r="P131" s="41">
        <v>18</v>
      </c>
      <c r="Q131" s="41" t="s">
        <v>95</v>
      </c>
      <c r="R131" s="41" t="str">
        <f>VLOOKUP(Q:Q,Unit!B:D,2,0)</f>
        <v>bottle</v>
      </c>
      <c r="S131" s="41" t="s">
        <v>75</v>
      </c>
      <c r="T131" s="41" t="str">
        <f>VLOOKUP(S:S,Promo!B:D,2,0)</f>
        <v>Promo EN</v>
      </c>
      <c r="W131" s="41">
        <v>62</v>
      </c>
      <c r="X131" s="41">
        <v>58</v>
      </c>
      <c r="AB131" s="41" t="s">
        <v>2054</v>
      </c>
      <c r="AF131" s="41" t="s">
        <v>3373</v>
      </c>
      <c r="AG131" s="41" t="s">
        <v>71</v>
      </c>
      <c r="AH131" s="41" t="s">
        <v>71</v>
      </c>
      <c r="AI131" s="41" t="s">
        <v>71</v>
      </c>
      <c r="AJ131" s="41" t="s">
        <v>71</v>
      </c>
      <c r="AK131" s="41" t="s">
        <v>71</v>
      </c>
      <c r="AL131" s="41" t="s">
        <v>71</v>
      </c>
      <c r="BS131" s="41" t="s">
        <v>2058</v>
      </c>
      <c r="BT131" s="41" t="s">
        <v>72</v>
      </c>
      <c r="BW131" s="41" t="s">
        <v>72</v>
      </c>
      <c r="BX131" s="41">
        <f>VLOOKUP(B:B,Brand!B:D,3,0)</f>
        <v>692</v>
      </c>
      <c r="BY131" s="41">
        <f>VLOOKUP(M:M,Unit!B:D,3,0)</f>
        <v>4</v>
      </c>
      <c r="BZ131" s="41">
        <f>VLOOKUP(S:S,Promo!B:D,3,0)</f>
        <v>0</v>
      </c>
    </row>
    <row r="132" spans="1:78" s="41" customFormat="1" ht="15.75" customHeight="1">
      <c r="A132" s="41">
        <v>235056</v>
      </c>
      <c r="B132" s="41" t="s">
        <v>97</v>
      </c>
      <c r="C132" s="65" t="str">
        <f>VLOOKUP(B:B,Brand!B:C,2,0)</f>
        <v>aro</v>
      </c>
      <c r="D132" s="63">
        <f>VLOOKUP(E:E,'Product Category'!J:O,6,FALSE)</f>
        <v>108</v>
      </c>
      <c r="E132" s="41" t="s">
        <v>2097</v>
      </c>
      <c r="F132" s="63" t="str">
        <f>VLOOKUP(E:E,'Product Category'!J:K,2,FALSE)</f>
        <v>21-Water</v>
      </c>
      <c r="G132" s="63" t="str">
        <f>VLOOKUP(F:F,'Product Category'!K:L,2,FALSE)</f>
        <v>3-Beverages</v>
      </c>
      <c r="H132" s="41" t="s">
        <v>138</v>
      </c>
      <c r="I132" s="41" t="s">
        <v>2369</v>
      </c>
      <c r="J132" s="41" t="s">
        <v>5192</v>
      </c>
      <c r="K132" s="41" t="s">
        <v>5193</v>
      </c>
      <c r="L132" s="41">
        <v>350</v>
      </c>
      <c r="M132" s="41" t="s">
        <v>66</v>
      </c>
      <c r="N132" s="41" t="str">
        <f>VLOOKUP(M:M,Unit!B:C,2,0)</f>
        <v>ml</v>
      </c>
      <c r="O132" s="41" t="s">
        <v>67</v>
      </c>
      <c r="P132" s="41">
        <v>18</v>
      </c>
      <c r="Q132" s="41" t="s">
        <v>95</v>
      </c>
      <c r="R132" s="41" t="str">
        <f>VLOOKUP(Q:Q,Unit!B:D,2,0)</f>
        <v>bottle</v>
      </c>
      <c r="S132" s="41" t="s">
        <v>75</v>
      </c>
      <c r="T132" s="41" t="str">
        <f>VLOOKUP(S:S,Promo!B:D,2,0)</f>
        <v>Promo EN</v>
      </c>
      <c r="W132" s="41">
        <v>62</v>
      </c>
      <c r="X132" s="41">
        <v>58</v>
      </c>
      <c r="AB132" s="41" t="s">
        <v>2054</v>
      </c>
      <c r="AF132" s="41" t="s">
        <v>3373</v>
      </c>
      <c r="AG132" s="41" t="s">
        <v>71</v>
      </c>
      <c r="AH132" s="41" t="s">
        <v>71</v>
      </c>
      <c r="AI132" s="41" t="s">
        <v>71</v>
      </c>
      <c r="AJ132" s="41" t="s">
        <v>71</v>
      </c>
      <c r="AK132" s="41" t="s">
        <v>71</v>
      </c>
      <c r="AL132" s="41" t="s">
        <v>71</v>
      </c>
      <c r="BS132" s="41" t="s">
        <v>2058</v>
      </c>
      <c r="BT132" s="41" t="s">
        <v>72</v>
      </c>
      <c r="BW132" s="41" t="s">
        <v>72</v>
      </c>
      <c r="BX132" s="41">
        <f>VLOOKUP(B:B,Brand!B:D,3,0)</f>
        <v>692</v>
      </c>
      <c r="BY132" s="41">
        <f>VLOOKUP(M:M,Unit!B:D,3,0)</f>
        <v>4</v>
      </c>
      <c r="BZ132" s="41">
        <f>VLOOKUP(S:S,Promo!B:D,3,0)</f>
        <v>0</v>
      </c>
    </row>
    <row r="133" spans="1:78" s="41" customFormat="1" ht="15.75" customHeight="1">
      <c r="A133" s="41">
        <v>141176</v>
      </c>
      <c r="B133" s="41" t="s">
        <v>2612</v>
      </c>
      <c r="C133" s="65" t="str">
        <f>VLOOKUP(B:B,Brand!B:C,2,0)</f>
        <v>Aura</v>
      </c>
      <c r="D133" s="63">
        <f>VLOOKUP(E:E,'Product Category'!J:O,6,FALSE)</f>
        <v>109</v>
      </c>
      <c r="E133" s="41" t="s">
        <v>2110</v>
      </c>
      <c r="F133" s="63" t="str">
        <f>VLOOKUP(E:E,'Product Category'!J:K,2,FALSE)</f>
        <v>21-Water</v>
      </c>
      <c r="G133" s="63" t="str">
        <f>VLOOKUP(F:F,'Product Category'!K:L,2,FALSE)</f>
        <v>3-Beverages</v>
      </c>
      <c r="H133" s="41" t="s">
        <v>3512</v>
      </c>
      <c r="I133" s="41" t="s">
        <v>3513</v>
      </c>
      <c r="J133" s="65" t="str">
        <f>TRIM(CONCATENATE(B133," ",H133," ",L133," ",M133," ",O133,P133," ",Q133))</f>
        <v>ออร่า น้ำแร่ 500 มล. x12 ขวด</v>
      </c>
      <c r="K133" s="80" t="str">
        <f>TRIM(CONCATENATE(C133," ",I133," ",L133," ",N133," ",O133,P133," ",R133))</f>
        <v>Aura MINERAL WATER 500 ml x12 bottle</v>
      </c>
      <c r="L133" s="41">
        <v>500</v>
      </c>
      <c r="M133" s="41" t="s">
        <v>66</v>
      </c>
      <c r="N133" s="41" t="str">
        <f>VLOOKUP(M:M,Unit!B:C,2,0)</f>
        <v>ml</v>
      </c>
      <c r="O133" s="41" t="s">
        <v>67</v>
      </c>
      <c r="P133" s="41">
        <v>12</v>
      </c>
      <c r="Q133" s="41" t="s">
        <v>95</v>
      </c>
      <c r="R133" s="41" t="str">
        <f>VLOOKUP(Q:Q,Unit!B:D,2,0)</f>
        <v>bottle</v>
      </c>
      <c r="S133" s="41" t="s">
        <v>75</v>
      </c>
      <c r="T133" s="41" t="str">
        <f>VLOOKUP(S:S,Promo!B:D,2,0)</f>
        <v>Promo EN</v>
      </c>
      <c r="W133" s="41">
        <v>93</v>
      </c>
      <c r="X133" s="41">
        <v>88</v>
      </c>
      <c r="AB133" s="41" t="s">
        <v>2062</v>
      </c>
      <c r="AF133" s="41" t="s">
        <v>3373</v>
      </c>
      <c r="AG133" s="41" t="s">
        <v>71</v>
      </c>
      <c r="AH133" s="41" t="s">
        <v>71</v>
      </c>
      <c r="AI133" s="41" t="s">
        <v>71</v>
      </c>
      <c r="AJ133" s="41" t="s">
        <v>71</v>
      </c>
      <c r="AK133" s="41" t="s">
        <v>71</v>
      </c>
      <c r="AL133" s="41" t="s">
        <v>71</v>
      </c>
      <c r="AP133" s="41" t="s">
        <v>3514</v>
      </c>
      <c r="BS133" s="41" t="s">
        <v>2058</v>
      </c>
      <c r="BT133" s="41" t="s">
        <v>72</v>
      </c>
      <c r="BW133" s="41" t="s">
        <v>72</v>
      </c>
      <c r="BX133" s="41">
        <f>VLOOKUP(B:B,Brand!B:D,3,0)</f>
        <v>1069</v>
      </c>
      <c r="BY133" s="41">
        <f>VLOOKUP(M:M,Unit!B:D,3,0)</f>
        <v>4</v>
      </c>
      <c r="BZ133" s="41">
        <f>VLOOKUP(S:S,Promo!B:D,3,0)</f>
        <v>0</v>
      </c>
    </row>
    <row r="134" spans="1:78" s="41" customFormat="1" ht="15.75" customHeight="1">
      <c r="A134" s="41">
        <v>811815</v>
      </c>
      <c r="B134" s="41" t="s">
        <v>452</v>
      </c>
      <c r="C134" s="65" t="str">
        <f>VLOOKUP(B:B,Brand!B:C,2,0)</f>
        <v>San Benedetto</v>
      </c>
      <c r="D134" s="63">
        <f>VLOOKUP(E:E,'Product Category'!J:O,6,FALSE)</f>
        <v>109</v>
      </c>
      <c r="E134" s="41" t="s">
        <v>2110</v>
      </c>
      <c r="F134" s="63" t="str">
        <f>VLOOKUP(E:E,'Product Category'!J:K,2,FALSE)</f>
        <v>21-Water</v>
      </c>
      <c r="G134" s="63" t="str">
        <f>VLOOKUP(F:F,'Product Category'!K:L,2,FALSE)</f>
        <v>3-Beverages</v>
      </c>
      <c r="H134" s="41" t="s">
        <v>112</v>
      </c>
      <c r="I134" s="41" t="s">
        <v>3513</v>
      </c>
      <c r="J134" s="41" t="s">
        <v>4601</v>
      </c>
      <c r="K134" s="41" t="s">
        <v>4602</v>
      </c>
      <c r="L134" s="41">
        <v>500</v>
      </c>
      <c r="M134" s="41" t="s">
        <v>66</v>
      </c>
      <c r="N134" s="41" t="str">
        <f>VLOOKUP(M:M,Unit!B:C,2,0)</f>
        <v>ml</v>
      </c>
      <c r="O134" s="41" t="s">
        <v>67</v>
      </c>
      <c r="P134" s="41">
        <v>6</v>
      </c>
      <c r="Q134" s="41" t="s">
        <v>95</v>
      </c>
      <c r="R134" s="41" t="str">
        <f>VLOOKUP(Q:Q,Unit!B:D,2,0)</f>
        <v>bottle</v>
      </c>
      <c r="S134" s="41" t="s">
        <v>74</v>
      </c>
      <c r="T134" s="41" t="str">
        <f>VLOOKUP(S:S,Promo!B:D,2,0)</f>
        <v>buy 1 get 1</v>
      </c>
      <c r="X134" s="41">
        <v>149</v>
      </c>
      <c r="Z134" s="41" t="s">
        <v>3573</v>
      </c>
      <c r="AA134" s="41" t="s">
        <v>3574</v>
      </c>
      <c r="AB134" s="41" t="s">
        <v>91</v>
      </c>
      <c r="AG134" s="41" t="s">
        <v>71</v>
      </c>
      <c r="AH134" s="41" t="s">
        <v>71</v>
      </c>
      <c r="AI134" s="41" t="s">
        <v>71</v>
      </c>
      <c r="AJ134" s="41" t="s">
        <v>71</v>
      </c>
      <c r="AK134" s="41" t="s">
        <v>71</v>
      </c>
      <c r="AL134" s="41" t="s">
        <v>71</v>
      </c>
      <c r="BS134" s="41" t="s">
        <v>2058</v>
      </c>
      <c r="BT134" s="41" t="s">
        <v>72</v>
      </c>
      <c r="BW134" s="41" t="s">
        <v>72</v>
      </c>
      <c r="BX134" s="41">
        <f>VLOOKUP(B:B,Brand!B:D,3,0)</f>
        <v>164</v>
      </c>
      <c r="BY134" s="41">
        <f>VLOOKUP(M:M,Unit!B:D,3,0)</f>
        <v>4</v>
      </c>
      <c r="BZ134" s="41">
        <f>VLOOKUP(S:S,Promo!B:D,3,0)</f>
        <v>1</v>
      </c>
    </row>
    <row r="135" spans="1:78" s="41" customFormat="1" ht="15.75" customHeight="1">
      <c r="A135" s="41">
        <v>887627</v>
      </c>
      <c r="B135" s="41" t="s">
        <v>2625</v>
      </c>
      <c r="C135" s="65" t="str">
        <f>VLOOKUP(B:B,Brand!B:C,2,0)</f>
        <v>Minere</v>
      </c>
      <c r="D135" s="63">
        <f>VLOOKUP(E:E,'Product Category'!J:O,6,FALSE)</f>
        <v>109</v>
      </c>
      <c r="E135" s="41" t="s">
        <v>2110</v>
      </c>
      <c r="F135" s="63" t="str">
        <f>VLOOKUP(E:E,'Product Category'!J:K,2,FALSE)</f>
        <v>21-Water</v>
      </c>
      <c r="G135" s="63" t="str">
        <f>VLOOKUP(F:F,'Product Category'!K:L,2,FALSE)</f>
        <v>3-Beverages</v>
      </c>
      <c r="H135" s="41" t="s">
        <v>4047</v>
      </c>
      <c r="I135" s="41" t="s">
        <v>4048</v>
      </c>
      <c r="J135" s="41" t="s">
        <v>4922</v>
      </c>
      <c r="K135" s="41" t="s">
        <v>4923</v>
      </c>
      <c r="L135" s="41">
        <v>1500</v>
      </c>
      <c r="M135" s="41" t="s">
        <v>66</v>
      </c>
      <c r="N135" s="41" t="str">
        <f>VLOOKUP(M:M,Unit!B:C,2,0)</f>
        <v>ml</v>
      </c>
      <c r="O135" s="41" t="s">
        <v>67</v>
      </c>
      <c r="P135" s="41">
        <v>6</v>
      </c>
      <c r="Q135" s="41" t="s">
        <v>95</v>
      </c>
      <c r="R135" s="41" t="str">
        <f>VLOOKUP(Q:Q,Unit!B:D,2,0)</f>
        <v>bottle</v>
      </c>
      <c r="S135" s="41" t="s">
        <v>75</v>
      </c>
      <c r="T135" s="41" t="str">
        <f>VLOOKUP(S:S,Promo!B:D,2,0)</f>
        <v>Promo EN</v>
      </c>
      <c r="W135" s="41">
        <v>87</v>
      </c>
      <c r="X135" s="41">
        <v>79</v>
      </c>
      <c r="AB135" s="41" t="s">
        <v>2056</v>
      </c>
      <c r="AG135" s="41" t="s">
        <v>71</v>
      </c>
      <c r="AH135" s="41" t="s">
        <v>71</v>
      </c>
      <c r="AI135" s="41" t="s">
        <v>71</v>
      </c>
      <c r="AJ135" s="41" t="s">
        <v>71</v>
      </c>
      <c r="AK135" s="41" t="s">
        <v>71</v>
      </c>
      <c r="AL135" s="41" t="s">
        <v>71</v>
      </c>
      <c r="AP135" s="41" t="s">
        <v>4046</v>
      </c>
      <c r="BS135" s="41" t="s">
        <v>2058</v>
      </c>
      <c r="BT135" s="41" t="s">
        <v>72</v>
      </c>
      <c r="BW135" s="41" t="s">
        <v>72</v>
      </c>
      <c r="BX135" s="41">
        <f>VLOOKUP(B:B,Brand!B:D,3,0)</f>
        <v>1076</v>
      </c>
      <c r="BY135" s="41">
        <f>VLOOKUP(M:M,Unit!B:D,3,0)</f>
        <v>4</v>
      </c>
      <c r="BZ135" s="41">
        <f>VLOOKUP(S:S,Promo!B:D,3,0)</f>
        <v>0</v>
      </c>
    </row>
    <row r="136" spans="1:78" s="41" customFormat="1" ht="15.75" customHeight="1">
      <c r="A136" s="41">
        <v>198281</v>
      </c>
      <c r="B136" s="41" t="s">
        <v>2625</v>
      </c>
      <c r="C136" s="65" t="str">
        <f>VLOOKUP(B:B,Brand!B:C,2,0)</f>
        <v>Minere</v>
      </c>
      <c r="D136" s="63">
        <f>VLOOKUP(E:E,'Product Category'!J:O,6,FALSE)</f>
        <v>109</v>
      </c>
      <c r="E136" s="41" t="s">
        <v>2110</v>
      </c>
      <c r="F136" s="63" t="str">
        <f>VLOOKUP(E:E,'Product Category'!J:K,2,FALSE)</f>
        <v>21-Water</v>
      </c>
      <c r="G136" s="63" t="str">
        <f>VLOOKUP(F:F,'Product Category'!K:L,2,FALSE)</f>
        <v>3-Beverages</v>
      </c>
      <c r="H136" s="41" t="s">
        <v>112</v>
      </c>
      <c r="I136" s="41" t="s">
        <v>4051</v>
      </c>
      <c r="J136" s="41" t="s">
        <v>4928</v>
      </c>
      <c r="K136" s="41" t="s">
        <v>4929</v>
      </c>
      <c r="L136" s="41">
        <v>600</v>
      </c>
      <c r="M136" s="41" t="s">
        <v>66</v>
      </c>
      <c r="N136" s="41" t="str">
        <f>VLOOKUP(M:M,Unit!B:C,2,0)</f>
        <v>ml</v>
      </c>
      <c r="O136" s="41" t="s">
        <v>67</v>
      </c>
      <c r="P136" s="41">
        <v>12</v>
      </c>
      <c r="Q136" s="41" t="s">
        <v>95</v>
      </c>
      <c r="R136" s="41" t="str">
        <f>VLOOKUP(Q:Q,Unit!B:D,2,0)</f>
        <v>bottle</v>
      </c>
      <c r="S136" s="41" t="s">
        <v>75</v>
      </c>
      <c r="T136" s="41" t="str">
        <f>VLOOKUP(S:S,Promo!B:D,2,0)</f>
        <v>Promo EN</v>
      </c>
      <c r="W136" s="41">
        <v>87</v>
      </c>
      <c r="X136" s="41">
        <v>79</v>
      </c>
      <c r="AB136" s="41" t="s">
        <v>91</v>
      </c>
      <c r="AG136" s="41" t="s">
        <v>71</v>
      </c>
      <c r="AH136" s="41" t="s">
        <v>71</v>
      </c>
      <c r="AI136" s="41" t="s">
        <v>71</v>
      </c>
      <c r="AJ136" s="41" t="s">
        <v>71</v>
      </c>
      <c r="AK136" s="41" t="s">
        <v>71</v>
      </c>
      <c r="AL136" s="41" t="s">
        <v>71</v>
      </c>
      <c r="AP136" s="41" t="s">
        <v>4046</v>
      </c>
      <c r="BS136" s="41" t="s">
        <v>2058</v>
      </c>
      <c r="BT136" s="41" t="s">
        <v>72</v>
      </c>
      <c r="BW136" s="41" t="s">
        <v>72</v>
      </c>
      <c r="BX136" s="41">
        <f>VLOOKUP(B:B,Brand!B:D,3,0)</f>
        <v>1076</v>
      </c>
      <c r="BY136" s="41">
        <f>VLOOKUP(M:M,Unit!B:D,3,0)</f>
        <v>4</v>
      </c>
      <c r="BZ136" s="41">
        <f>VLOOKUP(S:S,Promo!B:D,3,0)</f>
        <v>0</v>
      </c>
    </row>
    <row r="137" spans="1:78" s="41" customFormat="1" ht="15.75" customHeight="1">
      <c r="A137" s="41">
        <v>207547</v>
      </c>
      <c r="B137" s="41" t="s">
        <v>2625</v>
      </c>
      <c r="C137" s="65" t="str">
        <f>VLOOKUP(B:B,Brand!B:C,2,0)</f>
        <v>Minere</v>
      </c>
      <c r="D137" s="63">
        <f>VLOOKUP(E:E,'Product Category'!J:O,6,FALSE)</f>
        <v>109</v>
      </c>
      <c r="E137" s="41" t="s">
        <v>2110</v>
      </c>
      <c r="F137" s="63" t="str">
        <f>VLOOKUP(E:E,'Product Category'!J:K,2,FALSE)</f>
        <v>21-Water</v>
      </c>
      <c r="G137" s="63" t="str">
        <f>VLOOKUP(F:F,'Product Category'!K:L,2,FALSE)</f>
        <v>3-Beverages</v>
      </c>
      <c r="H137" s="41" t="s">
        <v>112</v>
      </c>
      <c r="I137" s="41" t="s">
        <v>4052</v>
      </c>
      <c r="J137" s="41" t="s">
        <v>4930</v>
      </c>
      <c r="K137" s="41" t="s">
        <v>4931</v>
      </c>
      <c r="L137" s="41">
        <v>330</v>
      </c>
      <c r="M137" s="41" t="s">
        <v>66</v>
      </c>
      <c r="N137" s="41" t="str">
        <f>VLOOKUP(M:M,Unit!B:C,2,0)</f>
        <v>ml</v>
      </c>
      <c r="O137" s="41" t="s">
        <v>67</v>
      </c>
      <c r="P137" s="41">
        <v>12</v>
      </c>
      <c r="Q137" s="41" t="s">
        <v>95</v>
      </c>
      <c r="R137" s="41" t="str">
        <f>VLOOKUP(Q:Q,Unit!B:D,2,0)</f>
        <v>bottle</v>
      </c>
      <c r="S137" s="41" t="s">
        <v>75</v>
      </c>
      <c r="T137" s="41" t="str">
        <f>VLOOKUP(S:S,Promo!B:D,2,0)</f>
        <v>Promo EN</v>
      </c>
      <c r="X137" s="41">
        <v>70</v>
      </c>
      <c r="AB137" s="41" t="s">
        <v>91</v>
      </c>
      <c r="AG137" s="41" t="s">
        <v>71</v>
      </c>
      <c r="AH137" s="41" t="s">
        <v>71</v>
      </c>
      <c r="AI137" s="41" t="s">
        <v>71</v>
      </c>
      <c r="AJ137" s="41" t="s">
        <v>71</v>
      </c>
      <c r="AK137" s="41" t="s">
        <v>71</v>
      </c>
      <c r="AL137" s="41" t="s">
        <v>71</v>
      </c>
      <c r="AP137" s="41" t="s">
        <v>4046</v>
      </c>
      <c r="BS137" s="41" t="s">
        <v>2058</v>
      </c>
      <c r="BT137" s="41" t="s">
        <v>72</v>
      </c>
      <c r="BW137" s="41" t="s">
        <v>72</v>
      </c>
      <c r="BX137" s="41">
        <f>VLOOKUP(B:B,Brand!B:D,3,0)</f>
        <v>1076</v>
      </c>
      <c r="BY137" s="41">
        <f>VLOOKUP(M:M,Unit!B:D,3,0)</f>
        <v>4</v>
      </c>
      <c r="BZ137" s="41">
        <f>VLOOKUP(S:S,Promo!B:D,3,0)</f>
        <v>0</v>
      </c>
    </row>
    <row r="138" spans="1:78" s="41" customFormat="1" ht="15.75" customHeight="1">
      <c r="A138" s="41">
        <v>418587</v>
      </c>
      <c r="B138" s="41" t="s">
        <v>2685</v>
      </c>
      <c r="C138" s="65" t="str">
        <f>VLOOKUP(B:B,Brand!B:C,2,0)</f>
        <v>Smile</v>
      </c>
      <c r="D138" s="63">
        <f>VLOOKUP(E:E,'Product Category'!J:O,6,FALSE)</f>
        <v>111</v>
      </c>
      <c r="E138" s="41" t="s">
        <v>2078</v>
      </c>
      <c r="F138" s="63" t="str">
        <f>VLOOKUP(E:E,'Product Category'!J:K,2,FALSE)</f>
        <v>22-Fruit / Veggie Juice</v>
      </c>
      <c r="G138" s="63" t="str">
        <f>VLOOKUP(F:F,'Product Category'!K:L,2,FALSE)</f>
        <v>3-Beverages</v>
      </c>
      <c r="H138" s="41" t="s">
        <v>4127</v>
      </c>
      <c r="I138" s="41" t="s">
        <v>4128</v>
      </c>
      <c r="J138" s="65" t="str">
        <f>TRIM(CONCATENATE(B138," ",H138," ",L138," ",M138," ",O138,P138," ",Q138))</f>
        <v>สไมล์ นํ้าส้ม 100% 1 ลิตร x1 ขวด</v>
      </c>
      <c r="K138" s="80" t="str">
        <f>TRIM(CONCATENATE(C138," ",I138," ",L138," ",N138," ",O138,P138," ",R138))</f>
        <v>Smile 100% Pure Orange Juice 1 L x1 bottle</v>
      </c>
      <c r="L138" s="41">
        <v>1</v>
      </c>
      <c r="M138" s="41" t="s">
        <v>94</v>
      </c>
      <c r="N138" s="41" t="str">
        <f>VLOOKUP(M:M,Unit!B:C,2,0)</f>
        <v>L</v>
      </c>
      <c r="O138" s="41" t="s">
        <v>67</v>
      </c>
      <c r="P138" s="41">
        <v>1</v>
      </c>
      <c r="Q138" s="41" t="s">
        <v>95</v>
      </c>
      <c r="R138" s="41" t="str">
        <f>VLOOKUP(Q:Q,Unit!B:D,2,0)</f>
        <v>bottle</v>
      </c>
      <c r="S138" s="41" t="s">
        <v>75</v>
      </c>
      <c r="T138" s="41" t="str">
        <f>VLOOKUP(S:S,Promo!B:D,2,0)</f>
        <v>Promo EN</v>
      </c>
      <c r="W138" s="41">
        <v>97</v>
      </c>
      <c r="X138" s="41">
        <v>89</v>
      </c>
      <c r="AB138" s="41" t="s">
        <v>2056</v>
      </c>
      <c r="AG138" s="41" t="s">
        <v>71</v>
      </c>
      <c r="AH138" s="41" t="s">
        <v>71</v>
      </c>
      <c r="AI138" s="41" t="s">
        <v>71</v>
      </c>
      <c r="AJ138" s="41" t="s">
        <v>71</v>
      </c>
      <c r="AK138" s="41" t="s">
        <v>71</v>
      </c>
      <c r="AL138" s="41" t="s">
        <v>71</v>
      </c>
      <c r="AU138" s="41" t="s">
        <v>4129</v>
      </c>
      <c r="AV138" s="41" t="s">
        <v>2167</v>
      </c>
      <c r="BS138" s="41" t="s">
        <v>2058</v>
      </c>
      <c r="BT138" s="41" t="s">
        <v>72</v>
      </c>
      <c r="BW138" s="41" t="s">
        <v>72</v>
      </c>
      <c r="BX138" s="41">
        <f>VLOOKUP(B:B,Brand!B:D,3,0)</f>
        <v>1107</v>
      </c>
      <c r="BY138" s="41">
        <f>VLOOKUP(M:M,Unit!B:D,3,0)</f>
        <v>7</v>
      </c>
      <c r="BZ138" s="41">
        <f>VLOOKUP(S:S,Promo!B:D,3,0)</f>
        <v>0</v>
      </c>
    </row>
    <row r="139" spans="1:78" s="41" customFormat="1" ht="15.75" customHeight="1">
      <c r="A139" s="41">
        <v>418613</v>
      </c>
      <c r="B139" s="41" t="s">
        <v>2685</v>
      </c>
      <c r="C139" s="65" t="str">
        <f>VLOOKUP(B:B,Brand!B:C,2,0)</f>
        <v>Smile</v>
      </c>
      <c r="D139" s="63">
        <f>VLOOKUP(E:E,'Product Category'!J:O,6,FALSE)</f>
        <v>111</v>
      </c>
      <c r="E139" s="41" t="s">
        <v>2078</v>
      </c>
      <c r="F139" s="63" t="str">
        <f>VLOOKUP(E:E,'Product Category'!J:K,2,FALSE)</f>
        <v>22-Fruit / Veggie Juice</v>
      </c>
      <c r="G139" s="63" t="str">
        <f>VLOOKUP(F:F,'Product Category'!K:L,2,FALSE)</f>
        <v>3-Beverages</v>
      </c>
      <c r="H139" s="41" t="s">
        <v>4130</v>
      </c>
      <c r="I139" s="41" t="s">
        <v>4131</v>
      </c>
      <c r="J139" s="65" t="str">
        <f>TRIM(CONCATENATE(B139," ",H139," ",L139," ",M139," ",O139,P139," ",Q139))</f>
        <v>สไมล์ นํ้าแครอทผสมน้ำผลไม้ 100% 1 ลิตร x1 ขวด</v>
      </c>
      <c r="K139" s="80" t="str">
        <f>TRIM(CONCATENATE(C139," ",I139," ",L139," ",N139," ",O139,P139," ",R139))</f>
        <v>Smile carrot with mixed fruit juice 1 L x1 bottle</v>
      </c>
      <c r="L139" s="41">
        <v>1</v>
      </c>
      <c r="M139" s="41" t="s">
        <v>94</v>
      </c>
      <c r="N139" s="41" t="str">
        <f>VLOOKUP(M:M,Unit!B:C,2,0)</f>
        <v>L</v>
      </c>
      <c r="O139" s="41" t="s">
        <v>67</v>
      </c>
      <c r="P139" s="41">
        <v>1</v>
      </c>
      <c r="Q139" s="41" t="s">
        <v>95</v>
      </c>
      <c r="R139" s="41" t="str">
        <f>VLOOKUP(Q:Q,Unit!B:D,2,0)</f>
        <v>bottle</v>
      </c>
      <c r="S139" s="41" t="s">
        <v>75</v>
      </c>
      <c r="T139" s="41" t="str">
        <f>VLOOKUP(S:S,Promo!B:D,2,0)</f>
        <v>Promo EN</v>
      </c>
      <c r="W139" s="41">
        <v>97</v>
      </c>
      <c r="X139" s="41">
        <v>89</v>
      </c>
      <c r="AB139" s="41" t="s">
        <v>2056</v>
      </c>
      <c r="AG139" s="41" t="s">
        <v>71</v>
      </c>
      <c r="AH139" s="41" t="s">
        <v>71</v>
      </c>
      <c r="AI139" s="41" t="s">
        <v>71</v>
      </c>
      <c r="AJ139" s="41" t="s">
        <v>71</v>
      </c>
      <c r="AK139" s="41" t="s">
        <v>71</v>
      </c>
      <c r="AL139" s="41" t="s">
        <v>71</v>
      </c>
      <c r="AU139" s="41" t="s">
        <v>4132</v>
      </c>
      <c r="AV139" s="41" t="s">
        <v>2218</v>
      </c>
      <c r="BS139" s="41" t="s">
        <v>2058</v>
      </c>
      <c r="BT139" s="41" t="s">
        <v>72</v>
      </c>
      <c r="BW139" s="41" t="s">
        <v>72</v>
      </c>
      <c r="BX139" s="41">
        <f>VLOOKUP(B:B,Brand!B:D,3,0)</f>
        <v>1107</v>
      </c>
      <c r="BY139" s="41">
        <f>VLOOKUP(M:M,Unit!B:D,3,0)</f>
        <v>7</v>
      </c>
      <c r="BZ139" s="41">
        <f>VLOOKUP(S:S,Promo!B:D,3,0)</f>
        <v>0</v>
      </c>
    </row>
    <row r="140" spans="1:78" s="41" customFormat="1" ht="15.75" customHeight="1">
      <c r="A140" s="41">
        <v>449072</v>
      </c>
      <c r="B140" s="41" t="s">
        <v>2685</v>
      </c>
      <c r="C140" s="65" t="str">
        <f>VLOOKUP(B:B,Brand!B:C,2,0)</f>
        <v>Smile</v>
      </c>
      <c r="D140" s="63">
        <f>VLOOKUP(E:E,'Product Category'!J:O,6,FALSE)</f>
        <v>111</v>
      </c>
      <c r="E140" s="41" t="s">
        <v>2078</v>
      </c>
      <c r="F140" s="63" t="str">
        <f>VLOOKUP(E:E,'Product Category'!J:K,2,FALSE)</f>
        <v>22-Fruit / Veggie Juice</v>
      </c>
      <c r="G140" s="63" t="str">
        <f>VLOOKUP(F:F,'Product Category'!K:L,2,FALSE)</f>
        <v>3-Beverages</v>
      </c>
      <c r="H140" s="41" t="s">
        <v>4133</v>
      </c>
      <c r="I140" s="41" t="s">
        <v>4134</v>
      </c>
      <c r="J140" s="65" t="str">
        <f>TRIM(CONCATENATE(B140," ",H140," ",L140," ",M140," ",O140,P140," ",Q140))</f>
        <v>สไมล์ นํ้าส้ม 100% พร้อมเนื้อส้ม 1 ลิตร x1 ขวด</v>
      </c>
      <c r="K140" s="80" t="str">
        <f>TRIM(CONCATENATE(C140," ",I140," ",L140," ",N140," ",O140,P140," ",R140))</f>
        <v>Smile 100% Pure Orange Juice With Pulp 1 L x1 bottle</v>
      </c>
      <c r="L140" s="41">
        <v>1</v>
      </c>
      <c r="M140" s="41" t="s">
        <v>94</v>
      </c>
      <c r="N140" s="41" t="str">
        <f>VLOOKUP(M:M,Unit!B:C,2,0)</f>
        <v>L</v>
      </c>
      <c r="O140" s="41" t="s">
        <v>67</v>
      </c>
      <c r="P140" s="41">
        <v>1</v>
      </c>
      <c r="Q140" s="41" t="s">
        <v>95</v>
      </c>
      <c r="R140" s="41" t="str">
        <f>VLOOKUP(Q:Q,Unit!B:D,2,0)</f>
        <v>bottle</v>
      </c>
      <c r="S140" s="41" t="s">
        <v>75</v>
      </c>
      <c r="T140" s="41" t="str">
        <f>VLOOKUP(S:S,Promo!B:D,2,0)</f>
        <v>Promo EN</v>
      </c>
      <c r="W140" s="41">
        <v>97</v>
      </c>
      <c r="X140" s="41">
        <v>89</v>
      </c>
      <c r="AB140" s="41" t="s">
        <v>2056</v>
      </c>
      <c r="AG140" s="41" t="s">
        <v>71</v>
      </c>
      <c r="AH140" s="41" t="s">
        <v>71</v>
      </c>
      <c r="AI140" s="41" t="s">
        <v>71</v>
      </c>
      <c r="AJ140" s="41" t="s">
        <v>71</v>
      </c>
      <c r="AK140" s="41" t="s">
        <v>71</v>
      </c>
      <c r="AL140" s="41" t="s">
        <v>71</v>
      </c>
      <c r="AU140" s="41" t="s">
        <v>4129</v>
      </c>
      <c r="AV140" s="41" t="s">
        <v>2167</v>
      </c>
      <c r="BS140" s="41" t="s">
        <v>2058</v>
      </c>
      <c r="BT140" s="41" t="s">
        <v>72</v>
      </c>
      <c r="BW140" s="41" t="s">
        <v>72</v>
      </c>
      <c r="BX140" s="41">
        <f>VLOOKUP(B:B,Brand!B:D,3,0)</f>
        <v>1107</v>
      </c>
      <c r="BY140" s="41">
        <f>VLOOKUP(M:M,Unit!B:D,3,0)</f>
        <v>7</v>
      </c>
      <c r="BZ140" s="41">
        <f>VLOOKUP(S:S,Promo!B:D,3,0)</f>
        <v>0</v>
      </c>
    </row>
    <row r="141" spans="1:78" s="41" customFormat="1" ht="15.75" customHeight="1">
      <c r="A141" s="41">
        <v>151450</v>
      </c>
      <c r="B141" s="41" t="s">
        <v>97</v>
      </c>
      <c r="C141" s="65" t="str">
        <f>VLOOKUP(B:B,Brand!B:C,2,0)</f>
        <v>aro</v>
      </c>
      <c r="D141" s="63">
        <f>VLOOKUP(E:E,'Product Category'!J:O,6,FALSE)</f>
        <v>111</v>
      </c>
      <c r="E141" s="41" t="s">
        <v>2078</v>
      </c>
      <c r="F141" s="63" t="str">
        <f>VLOOKUP(E:E,'Product Category'!J:K,2,FALSE)</f>
        <v>22-Fruit / Veggie Juice</v>
      </c>
      <c r="G141" s="63" t="str">
        <f>VLOOKUP(F:F,'Product Category'!K:L,2,FALSE)</f>
        <v>3-Beverages</v>
      </c>
      <c r="H141" s="41" t="s">
        <v>2371</v>
      </c>
      <c r="I141" s="41" t="s">
        <v>2372</v>
      </c>
      <c r="J141" s="41" t="s">
        <v>5005</v>
      </c>
      <c r="K141" s="41" t="s">
        <v>5006</v>
      </c>
      <c r="L141" s="41">
        <v>1000</v>
      </c>
      <c r="M141" s="41" t="s">
        <v>66</v>
      </c>
      <c r="N141" s="41" t="str">
        <f>VLOOKUP(M:M,Unit!B:C,2,0)</f>
        <v>ml</v>
      </c>
      <c r="O141" s="41" t="s">
        <v>67</v>
      </c>
      <c r="P141" s="41">
        <v>3</v>
      </c>
      <c r="Q141" s="41" t="s">
        <v>104</v>
      </c>
      <c r="R141" s="41" t="str">
        <f>VLOOKUP(Q:Q,Unit!B:D,2,0)</f>
        <v>box</v>
      </c>
      <c r="S141" s="41" t="s">
        <v>75</v>
      </c>
      <c r="T141" s="41" t="str">
        <f>VLOOKUP(S:S,Promo!B:D,2,0)</f>
        <v>Promo EN</v>
      </c>
      <c r="W141" s="41">
        <v>144</v>
      </c>
      <c r="X141" s="41">
        <v>132</v>
      </c>
      <c r="AB141" s="41" t="s">
        <v>91</v>
      </c>
      <c r="AG141" s="41" t="s">
        <v>71</v>
      </c>
      <c r="AH141" s="41" t="s">
        <v>71</v>
      </c>
      <c r="AI141" s="41" t="s">
        <v>71</v>
      </c>
      <c r="AJ141" s="41" t="s">
        <v>71</v>
      </c>
      <c r="AK141" s="41" t="s">
        <v>71</v>
      </c>
      <c r="AL141" s="41" t="s">
        <v>71</v>
      </c>
      <c r="AU141" s="41" t="s">
        <v>2219</v>
      </c>
      <c r="AV141" s="41" t="s">
        <v>2220</v>
      </c>
      <c r="BS141" s="41" t="s">
        <v>2058</v>
      </c>
      <c r="BT141" s="41" t="s">
        <v>72</v>
      </c>
      <c r="BW141" s="41" t="s">
        <v>72</v>
      </c>
      <c r="BX141" s="41">
        <f>VLOOKUP(B:B,Brand!B:D,3,0)</f>
        <v>692</v>
      </c>
      <c r="BY141" s="41">
        <f>VLOOKUP(M:M,Unit!B:D,3,0)</f>
        <v>4</v>
      </c>
      <c r="BZ141" s="41">
        <f>VLOOKUP(S:S,Promo!B:D,3,0)</f>
        <v>0</v>
      </c>
    </row>
    <row r="142" spans="1:78" s="41" customFormat="1" ht="15.75" customHeight="1">
      <c r="A142" s="41">
        <v>112895</v>
      </c>
      <c r="B142" s="41" t="s">
        <v>2418</v>
      </c>
      <c r="C142" s="65" t="str">
        <f>VLOOKUP(B:B,Brand!B:C,2,0)</f>
        <v>Golden Pan</v>
      </c>
      <c r="D142" s="63">
        <f>VLOOKUP(E:E,'Product Category'!J:O,6,FALSE)</f>
        <v>112</v>
      </c>
      <c r="E142" s="41" t="s">
        <v>2201</v>
      </c>
      <c r="F142" s="63" t="str">
        <f>VLOOKUP(E:E,'Product Category'!J:K,2,FALSE)</f>
        <v>22-Fruit / Veggie Juice</v>
      </c>
      <c r="G142" s="63" t="str">
        <f>VLOOKUP(F:F,'Product Category'!K:L,2,FALSE)</f>
        <v>3-Beverages</v>
      </c>
      <c r="H142" s="41" t="s">
        <v>3624</v>
      </c>
      <c r="I142" s="41" t="s">
        <v>3625</v>
      </c>
      <c r="J142" s="41" t="s">
        <v>4633</v>
      </c>
      <c r="K142" s="41" t="s">
        <v>4634</v>
      </c>
      <c r="L142" s="41">
        <v>4500</v>
      </c>
      <c r="M142" s="41" t="s">
        <v>66</v>
      </c>
      <c r="N142" s="41" t="str">
        <f>VLOOKUP(M:M,Unit!B:C,2,0)</f>
        <v>ml</v>
      </c>
      <c r="O142" s="41" t="s">
        <v>67</v>
      </c>
      <c r="P142" s="41">
        <v>1</v>
      </c>
      <c r="Q142" s="41" t="s">
        <v>2152</v>
      </c>
      <c r="R142" s="41" t="str">
        <f>VLOOKUP(Q:Q,Unit!B:D,2,0)</f>
        <v>gal</v>
      </c>
      <c r="S142" s="41" t="s">
        <v>75</v>
      </c>
      <c r="T142" s="41" t="str">
        <f>VLOOKUP(S:S,Promo!B:D,2,0)</f>
        <v>Promo EN</v>
      </c>
      <c r="W142" s="41">
        <v>235</v>
      </c>
      <c r="X142" s="41">
        <v>225</v>
      </c>
      <c r="AB142" s="41" t="s">
        <v>91</v>
      </c>
      <c r="AF142" s="41" t="s">
        <v>3373</v>
      </c>
      <c r="AG142" s="41" t="s">
        <v>71</v>
      </c>
      <c r="AH142" s="41" t="s">
        <v>71</v>
      </c>
      <c r="AI142" s="41" t="s">
        <v>71</v>
      </c>
      <c r="AJ142" s="41" t="s">
        <v>71</v>
      </c>
      <c r="AK142" s="41" t="s">
        <v>71</v>
      </c>
      <c r="AL142" s="41" t="s">
        <v>71</v>
      </c>
      <c r="AU142" s="41" t="s">
        <v>2146</v>
      </c>
      <c r="AV142" s="41" t="s">
        <v>2167</v>
      </c>
      <c r="BS142" s="41" t="s">
        <v>2058</v>
      </c>
      <c r="BT142" s="41" t="s">
        <v>72</v>
      </c>
      <c r="BW142" s="41" t="s">
        <v>72</v>
      </c>
      <c r="BX142" s="41">
        <f>VLOOKUP(B:B,Brand!B:D,3,0)</f>
        <v>974</v>
      </c>
      <c r="BY142" s="41">
        <f>VLOOKUP(M:M,Unit!B:D,3,0)</f>
        <v>4</v>
      </c>
      <c r="BZ142" s="41">
        <f>VLOOKUP(S:S,Promo!B:D,3,0)</f>
        <v>0</v>
      </c>
    </row>
    <row r="143" spans="1:78" s="41" customFormat="1" ht="15.75" customHeight="1">
      <c r="A143" s="41">
        <v>123822</v>
      </c>
      <c r="B143" s="41" t="s">
        <v>2418</v>
      </c>
      <c r="C143" s="65" t="str">
        <f>VLOOKUP(B:B,Brand!B:C,2,0)</f>
        <v>Golden Pan</v>
      </c>
      <c r="D143" s="63">
        <f>VLOOKUP(E:E,'Product Category'!J:O,6,FALSE)</f>
        <v>112</v>
      </c>
      <c r="E143" s="41" t="s">
        <v>2201</v>
      </c>
      <c r="F143" s="63" t="str">
        <f>VLOOKUP(E:E,'Product Category'!J:K,2,FALSE)</f>
        <v>22-Fruit / Veggie Juice</v>
      </c>
      <c r="G143" s="63" t="str">
        <f>VLOOKUP(F:F,'Product Category'!K:L,2,FALSE)</f>
        <v>3-Beverages</v>
      </c>
      <c r="H143" s="41" t="s">
        <v>4182</v>
      </c>
      <c r="I143" s="41" t="s">
        <v>4183</v>
      </c>
      <c r="J143" s="41" t="s">
        <v>5011</v>
      </c>
      <c r="K143" s="41" t="s">
        <v>5012</v>
      </c>
      <c r="L143" s="41">
        <v>4500</v>
      </c>
      <c r="M143" s="41" t="s">
        <v>66</v>
      </c>
      <c r="N143" s="41" t="str">
        <f>VLOOKUP(M:M,Unit!B:C,2,0)</f>
        <v>ml</v>
      </c>
      <c r="O143" s="41" t="s">
        <v>67</v>
      </c>
      <c r="P143" s="41">
        <v>1</v>
      </c>
      <c r="Q143" s="41" t="s">
        <v>2152</v>
      </c>
      <c r="R143" s="41" t="str">
        <f>VLOOKUP(Q:Q,Unit!B:D,2,0)</f>
        <v>gal</v>
      </c>
      <c r="S143" s="41" t="s">
        <v>75</v>
      </c>
      <c r="T143" s="41" t="str">
        <f>VLOOKUP(S:S,Promo!B:D,2,0)</f>
        <v>Promo EN</v>
      </c>
      <c r="W143" s="41">
        <v>235</v>
      </c>
      <c r="X143" s="41">
        <v>225</v>
      </c>
      <c r="AB143" s="41" t="s">
        <v>2054</v>
      </c>
      <c r="AF143" s="41" t="s">
        <v>3373</v>
      </c>
      <c r="AG143" s="41" t="s">
        <v>71</v>
      </c>
      <c r="AH143" s="41" t="s">
        <v>71</v>
      </c>
      <c r="AI143" s="41" t="s">
        <v>71</v>
      </c>
      <c r="AJ143" s="41" t="s">
        <v>71</v>
      </c>
      <c r="AK143" s="41" t="s">
        <v>71</v>
      </c>
      <c r="AL143" s="41" t="s">
        <v>71</v>
      </c>
      <c r="AU143" s="41" t="s">
        <v>3506</v>
      </c>
      <c r="AV143" s="41" t="s">
        <v>4184</v>
      </c>
      <c r="BS143" s="41" t="s">
        <v>2058</v>
      </c>
      <c r="BT143" s="41" t="s">
        <v>72</v>
      </c>
      <c r="BW143" s="41" t="s">
        <v>72</v>
      </c>
      <c r="BX143" s="41">
        <f>VLOOKUP(B:B,Brand!B:D,3,0)</f>
        <v>974</v>
      </c>
      <c r="BY143" s="41">
        <f>VLOOKUP(M:M,Unit!B:D,3,0)</f>
        <v>4</v>
      </c>
      <c r="BZ143" s="41">
        <f>VLOOKUP(S:S,Promo!B:D,3,0)</f>
        <v>0</v>
      </c>
    </row>
    <row r="144" spans="1:78" s="41" customFormat="1" ht="15.75" customHeight="1">
      <c r="A144" s="41">
        <v>191371</v>
      </c>
      <c r="B144" s="41" t="s">
        <v>97</v>
      </c>
      <c r="C144" s="65" t="str">
        <f>VLOOKUP(B:B,Brand!B:C,2,0)</f>
        <v>aro</v>
      </c>
      <c r="D144" s="63">
        <f>VLOOKUP(E:E,'Product Category'!J:O,6,FALSE)</f>
        <v>112</v>
      </c>
      <c r="E144" s="41" t="s">
        <v>2201</v>
      </c>
      <c r="F144" s="63" t="str">
        <f>VLOOKUP(E:E,'Product Category'!J:K,2,FALSE)</f>
        <v>22-Fruit / Veggie Juice</v>
      </c>
      <c r="G144" s="63" t="str">
        <f>VLOOKUP(F:F,'Product Category'!K:L,2,FALSE)</f>
        <v>3-Beverages</v>
      </c>
      <c r="H144" s="41" t="s">
        <v>4185</v>
      </c>
      <c r="I144" s="41" t="s">
        <v>4186</v>
      </c>
      <c r="J144" s="41" t="s">
        <v>5013</v>
      </c>
      <c r="K144" s="41" t="s">
        <v>5014</v>
      </c>
      <c r="L144" s="41">
        <v>750</v>
      </c>
      <c r="M144" s="41" t="s">
        <v>66</v>
      </c>
      <c r="N144" s="41" t="str">
        <f>VLOOKUP(M:M,Unit!B:C,2,0)</f>
        <v>ml</v>
      </c>
      <c r="O144" s="41" t="s">
        <v>67</v>
      </c>
      <c r="P144" s="41">
        <v>1</v>
      </c>
      <c r="Q144" s="41" t="s">
        <v>95</v>
      </c>
      <c r="R144" s="41" t="str">
        <f>VLOOKUP(Q:Q,Unit!B:D,2,0)</f>
        <v>bottle</v>
      </c>
      <c r="S144" s="41" t="s">
        <v>75</v>
      </c>
      <c r="T144" s="41" t="str">
        <f>VLOOKUP(S:S,Promo!B:D,2,0)</f>
        <v>Promo EN</v>
      </c>
      <c r="W144" s="41">
        <v>52</v>
      </c>
      <c r="X144" s="41">
        <v>49</v>
      </c>
      <c r="AB144" s="41" t="s">
        <v>2062</v>
      </c>
      <c r="AG144" s="41" t="s">
        <v>71</v>
      </c>
      <c r="AH144" s="41" t="s">
        <v>71</v>
      </c>
      <c r="AI144" s="41" t="s">
        <v>71</v>
      </c>
      <c r="AJ144" s="41" t="s">
        <v>71</v>
      </c>
      <c r="AK144" s="41" t="s">
        <v>71</v>
      </c>
      <c r="AL144" s="41" t="s">
        <v>71</v>
      </c>
      <c r="AU144" s="41" t="s">
        <v>4187</v>
      </c>
      <c r="AV144" s="41" t="s">
        <v>4142</v>
      </c>
      <c r="BS144" s="41" t="s">
        <v>2058</v>
      </c>
      <c r="BT144" s="41" t="s">
        <v>72</v>
      </c>
      <c r="BW144" s="41" t="s">
        <v>72</v>
      </c>
      <c r="BX144" s="41">
        <f>VLOOKUP(B:B,Brand!B:D,3,0)</f>
        <v>692</v>
      </c>
      <c r="BY144" s="41">
        <f>VLOOKUP(M:M,Unit!B:D,3,0)</f>
        <v>4</v>
      </c>
      <c r="BZ144" s="41">
        <f>VLOOKUP(S:S,Promo!B:D,3,0)</f>
        <v>0</v>
      </c>
    </row>
    <row r="145" spans="1:78" s="41" customFormat="1" ht="15.75" customHeight="1">
      <c r="A145" s="41">
        <v>191311</v>
      </c>
      <c r="B145" s="41" t="s">
        <v>97</v>
      </c>
      <c r="C145" s="65" t="str">
        <f>VLOOKUP(B:B,Brand!B:C,2,0)</f>
        <v>aro</v>
      </c>
      <c r="D145" s="63">
        <f>VLOOKUP(E:E,'Product Category'!J:O,6,FALSE)</f>
        <v>112</v>
      </c>
      <c r="E145" s="41" t="s">
        <v>2201</v>
      </c>
      <c r="F145" s="63" t="str">
        <f>VLOOKUP(E:E,'Product Category'!J:K,2,FALSE)</f>
        <v>22-Fruit / Veggie Juice</v>
      </c>
      <c r="G145" s="63" t="str">
        <f>VLOOKUP(F:F,'Product Category'!K:L,2,FALSE)</f>
        <v>3-Beverages</v>
      </c>
      <c r="H145" s="41" t="s">
        <v>4188</v>
      </c>
      <c r="I145" s="41" t="s">
        <v>4189</v>
      </c>
      <c r="J145" s="41" t="s">
        <v>5015</v>
      </c>
      <c r="K145" s="41" t="s">
        <v>5016</v>
      </c>
      <c r="L145" s="41">
        <v>750</v>
      </c>
      <c r="M145" s="41" t="s">
        <v>66</v>
      </c>
      <c r="N145" s="41" t="str">
        <f>VLOOKUP(M:M,Unit!B:C,2,0)</f>
        <v>ml</v>
      </c>
      <c r="O145" s="41" t="s">
        <v>67</v>
      </c>
      <c r="P145" s="41">
        <v>1</v>
      </c>
      <c r="Q145" s="41" t="s">
        <v>95</v>
      </c>
      <c r="R145" s="41" t="str">
        <f>VLOOKUP(Q:Q,Unit!B:D,2,0)</f>
        <v>bottle</v>
      </c>
      <c r="S145" s="41" t="s">
        <v>75</v>
      </c>
      <c r="T145" s="41" t="str">
        <f>VLOOKUP(S:S,Promo!B:D,2,0)</f>
        <v>Promo EN</v>
      </c>
      <c r="W145" s="41">
        <v>52</v>
      </c>
      <c r="X145" s="41">
        <v>49</v>
      </c>
      <c r="AB145" s="41" t="s">
        <v>2054</v>
      </c>
      <c r="AG145" s="41" t="s">
        <v>71</v>
      </c>
      <c r="AH145" s="41" t="s">
        <v>71</v>
      </c>
      <c r="AI145" s="41" t="s">
        <v>71</v>
      </c>
      <c r="AJ145" s="41" t="s">
        <v>71</v>
      </c>
      <c r="AK145" s="41" t="s">
        <v>71</v>
      </c>
      <c r="AL145" s="41" t="s">
        <v>71</v>
      </c>
      <c r="AU145" s="41" t="s">
        <v>4190</v>
      </c>
      <c r="AV145" s="41" t="s">
        <v>2197</v>
      </c>
      <c r="BS145" s="41" t="s">
        <v>2058</v>
      </c>
      <c r="BT145" s="41" t="s">
        <v>72</v>
      </c>
      <c r="BW145" s="41" t="s">
        <v>72</v>
      </c>
      <c r="BX145" s="41">
        <f>VLOOKUP(B:B,Brand!B:D,3,0)</f>
        <v>692</v>
      </c>
      <c r="BY145" s="41">
        <f>VLOOKUP(M:M,Unit!B:D,3,0)</f>
        <v>4</v>
      </c>
      <c r="BZ145" s="41">
        <f>VLOOKUP(S:S,Promo!B:D,3,0)</f>
        <v>0</v>
      </c>
    </row>
    <row r="146" spans="1:78" s="41" customFormat="1" ht="15.75" customHeight="1">
      <c r="A146" s="41">
        <v>191308</v>
      </c>
      <c r="B146" s="41" t="s">
        <v>97</v>
      </c>
      <c r="C146" s="65" t="str">
        <f>VLOOKUP(B:B,Brand!B:C,2,0)</f>
        <v>aro</v>
      </c>
      <c r="D146" s="63">
        <f>VLOOKUP(E:E,'Product Category'!J:O,6,FALSE)</f>
        <v>112</v>
      </c>
      <c r="E146" s="41" t="s">
        <v>2201</v>
      </c>
      <c r="F146" s="63" t="str">
        <f>VLOOKUP(E:E,'Product Category'!J:K,2,FALSE)</f>
        <v>22-Fruit / Veggie Juice</v>
      </c>
      <c r="G146" s="63" t="str">
        <f>VLOOKUP(F:F,'Product Category'!K:L,2,FALSE)</f>
        <v>3-Beverages</v>
      </c>
      <c r="H146" s="41" t="s">
        <v>4191</v>
      </c>
      <c r="I146" s="41" t="s">
        <v>4192</v>
      </c>
      <c r="J146" s="41" t="s">
        <v>5017</v>
      </c>
      <c r="K146" s="41" t="s">
        <v>5018</v>
      </c>
      <c r="L146" s="41">
        <v>750</v>
      </c>
      <c r="M146" s="41" t="s">
        <v>66</v>
      </c>
      <c r="N146" s="41" t="str">
        <f>VLOOKUP(M:M,Unit!B:C,2,0)</f>
        <v>ml</v>
      </c>
      <c r="O146" s="41" t="s">
        <v>67</v>
      </c>
      <c r="P146" s="41">
        <v>1</v>
      </c>
      <c r="Q146" s="41" t="s">
        <v>95</v>
      </c>
      <c r="R146" s="41" t="str">
        <f>VLOOKUP(Q:Q,Unit!B:D,2,0)</f>
        <v>bottle</v>
      </c>
      <c r="S146" s="41" t="s">
        <v>75</v>
      </c>
      <c r="T146" s="41" t="str">
        <f>VLOOKUP(S:S,Promo!B:D,2,0)</f>
        <v>Promo EN</v>
      </c>
      <c r="W146" s="41">
        <v>52</v>
      </c>
      <c r="X146" s="41">
        <v>49</v>
      </c>
      <c r="AB146" s="41" t="s">
        <v>2054</v>
      </c>
      <c r="AG146" s="41" t="s">
        <v>71</v>
      </c>
      <c r="AH146" s="41" t="s">
        <v>71</v>
      </c>
      <c r="AI146" s="41" t="s">
        <v>71</v>
      </c>
      <c r="AJ146" s="41" t="s">
        <v>71</v>
      </c>
      <c r="AK146" s="41" t="s">
        <v>71</v>
      </c>
      <c r="AL146" s="41" t="s">
        <v>71</v>
      </c>
      <c r="AU146" s="41" t="s">
        <v>2219</v>
      </c>
      <c r="AV146" s="41" t="s">
        <v>2220</v>
      </c>
      <c r="BS146" s="41" t="s">
        <v>2058</v>
      </c>
      <c r="BT146" s="41" t="s">
        <v>72</v>
      </c>
      <c r="BW146" s="41" t="s">
        <v>72</v>
      </c>
      <c r="BX146" s="41">
        <f>VLOOKUP(B:B,Brand!B:D,3,0)</f>
        <v>692</v>
      </c>
      <c r="BY146" s="41">
        <f>VLOOKUP(M:M,Unit!B:D,3,0)</f>
        <v>4</v>
      </c>
      <c r="BZ146" s="41">
        <f>VLOOKUP(S:S,Promo!B:D,3,0)</f>
        <v>0</v>
      </c>
    </row>
    <row r="147" spans="1:78" s="41" customFormat="1" ht="15.75" customHeight="1">
      <c r="A147" s="41">
        <v>228726</v>
      </c>
      <c r="B147" s="41" t="s">
        <v>97</v>
      </c>
      <c r="C147" s="65" t="str">
        <f>VLOOKUP(B:B,Brand!B:C,2,0)</f>
        <v>aro</v>
      </c>
      <c r="D147" s="63">
        <f>VLOOKUP(E:E,'Product Category'!J:O,6,FALSE)</f>
        <v>112</v>
      </c>
      <c r="E147" s="41" t="s">
        <v>2201</v>
      </c>
      <c r="F147" s="63" t="str">
        <f>VLOOKUP(E:E,'Product Category'!J:K,2,FALSE)</f>
        <v>22-Fruit / Veggie Juice</v>
      </c>
      <c r="G147" s="63" t="str">
        <f>VLOOKUP(F:F,'Product Category'!K:L,2,FALSE)</f>
        <v>3-Beverages</v>
      </c>
      <c r="H147" s="41" t="s">
        <v>4193</v>
      </c>
      <c r="I147" s="41" t="s">
        <v>4194</v>
      </c>
      <c r="J147" s="41" t="s">
        <v>5019</v>
      </c>
      <c r="K147" s="41" t="s">
        <v>5020</v>
      </c>
      <c r="L147" s="41">
        <v>750</v>
      </c>
      <c r="M147" s="41" t="s">
        <v>66</v>
      </c>
      <c r="N147" s="41" t="str">
        <f>VLOOKUP(M:M,Unit!B:C,2,0)</f>
        <v>ml</v>
      </c>
      <c r="O147" s="41" t="s">
        <v>67</v>
      </c>
      <c r="P147" s="41">
        <v>1</v>
      </c>
      <c r="Q147" s="41" t="s">
        <v>95</v>
      </c>
      <c r="R147" s="41" t="str">
        <f>VLOOKUP(Q:Q,Unit!B:D,2,0)</f>
        <v>bottle</v>
      </c>
      <c r="S147" s="41" t="s">
        <v>75</v>
      </c>
      <c r="T147" s="41" t="str">
        <f>VLOOKUP(S:S,Promo!B:D,2,0)</f>
        <v>Promo EN</v>
      </c>
      <c r="W147" s="41">
        <v>52</v>
      </c>
      <c r="X147" s="41">
        <v>49</v>
      </c>
      <c r="AB147" s="41" t="s">
        <v>2054</v>
      </c>
      <c r="AG147" s="41" t="s">
        <v>71</v>
      </c>
      <c r="AH147" s="41" t="s">
        <v>71</v>
      </c>
      <c r="AI147" s="41" t="s">
        <v>71</v>
      </c>
      <c r="AJ147" s="41" t="s">
        <v>71</v>
      </c>
      <c r="AK147" s="41" t="s">
        <v>71</v>
      </c>
      <c r="AL147" s="41" t="s">
        <v>71</v>
      </c>
      <c r="AU147" s="41" t="s">
        <v>4195</v>
      </c>
      <c r="AV147" s="41" t="s">
        <v>4196</v>
      </c>
      <c r="BS147" s="41" t="s">
        <v>2058</v>
      </c>
      <c r="BT147" s="41" t="s">
        <v>72</v>
      </c>
      <c r="BW147" s="41" t="s">
        <v>72</v>
      </c>
      <c r="BX147" s="41">
        <f>VLOOKUP(B:B,Brand!B:D,3,0)</f>
        <v>692</v>
      </c>
      <c r="BY147" s="41">
        <f>VLOOKUP(M:M,Unit!B:D,3,0)</f>
        <v>4</v>
      </c>
      <c r="BZ147" s="41">
        <f>VLOOKUP(S:S,Promo!B:D,3,0)</f>
        <v>0</v>
      </c>
    </row>
    <row r="148" spans="1:78" s="41" customFormat="1" ht="15.75" customHeight="1">
      <c r="A148" s="41">
        <v>191352</v>
      </c>
      <c r="B148" s="41" t="s">
        <v>97</v>
      </c>
      <c r="C148" s="65" t="str">
        <f>VLOOKUP(B:B,Brand!B:C,2,0)</f>
        <v>aro</v>
      </c>
      <c r="D148" s="63">
        <f>VLOOKUP(E:E,'Product Category'!J:O,6,FALSE)</f>
        <v>112</v>
      </c>
      <c r="E148" s="41" t="s">
        <v>2201</v>
      </c>
      <c r="F148" s="63" t="str">
        <f>VLOOKUP(E:E,'Product Category'!J:K,2,FALSE)</f>
        <v>22-Fruit / Veggie Juice</v>
      </c>
      <c r="G148" s="63" t="str">
        <f>VLOOKUP(F:F,'Product Category'!K:L,2,FALSE)</f>
        <v>3-Beverages</v>
      </c>
      <c r="H148" s="41" t="s">
        <v>4197</v>
      </c>
      <c r="I148" s="41" t="s">
        <v>4198</v>
      </c>
      <c r="J148" s="41" t="s">
        <v>5021</v>
      </c>
      <c r="K148" s="41" t="s">
        <v>5022</v>
      </c>
      <c r="L148" s="41">
        <v>750</v>
      </c>
      <c r="M148" s="41" t="s">
        <v>66</v>
      </c>
      <c r="N148" s="41" t="str">
        <f>VLOOKUP(M:M,Unit!B:C,2,0)</f>
        <v>ml</v>
      </c>
      <c r="O148" s="41" t="s">
        <v>67</v>
      </c>
      <c r="P148" s="41">
        <v>1</v>
      </c>
      <c r="Q148" s="41" t="s">
        <v>95</v>
      </c>
      <c r="R148" s="41" t="str">
        <f>VLOOKUP(Q:Q,Unit!B:D,2,0)</f>
        <v>bottle</v>
      </c>
      <c r="S148" s="41" t="s">
        <v>75</v>
      </c>
      <c r="T148" s="41" t="str">
        <f>VLOOKUP(S:S,Promo!B:D,2,0)</f>
        <v>Promo EN</v>
      </c>
      <c r="W148" s="41">
        <v>52</v>
      </c>
      <c r="X148" s="41">
        <v>49</v>
      </c>
      <c r="AB148" s="41" t="s">
        <v>2054</v>
      </c>
      <c r="AG148" s="41" t="s">
        <v>71</v>
      </c>
      <c r="AH148" s="41" t="s">
        <v>71</v>
      </c>
      <c r="AI148" s="41" t="s">
        <v>71</v>
      </c>
      <c r="AJ148" s="41" t="s">
        <v>71</v>
      </c>
      <c r="AK148" s="41" t="s">
        <v>71</v>
      </c>
      <c r="AL148" s="41" t="s">
        <v>71</v>
      </c>
      <c r="AU148" s="41" t="s">
        <v>4199</v>
      </c>
      <c r="AV148" s="41" t="s">
        <v>2167</v>
      </c>
      <c r="BS148" s="41" t="s">
        <v>2058</v>
      </c>
      <c r="BT148" s="41" t="s">
        <v>72</v>
      </c>
      <c r="BW148" s="41" t="s">
        <v>72</v>
      </c>
      <c r="BX148" s="41">
        <f>VLOOKUP(B:B,Brand!B:D,3,0)</f>
        <v>692</v>
      </c>
      <c r="BY148" s="41">
        <f>VLOOKUP(M:M,Unit!B:D,3,0)</f>
        <v>4</v>
      </c>
      <c r="BZ148" s="41">
        <f>VLOOKUP(S:S,Promo!B:D,3,0)</f>
        <v>0</v>
      </c>
    </row>
    <row r="149" spans="1:78" s="41" customFormat="1" ht="15.75" customHeight="1">
      <c r="A149" s="41">
        <v>757861</v>
      </c>
      <c r="B149" s="41" t="s">
        <v>150</v>
      </c>
      <c r="C149" s="65" t="str">
        <f>VLOOKUP(B:B,Brand!B:C,2,0)</f>
        <v>Malee</v>
      </c>
      <c r="D149" s="63">
        <f>VLOOKUP(E:E,'Product Category'!J:O,6,FALSE)</f>
        <v>112</v>
      </c>
      <c r="E149" s="41" t="s">
        <v>2201</v>
      </c>
      <c r="F149" s="63" t="str">
        <f>VLOOKUP(E:E,'Product Category'!J:K,2,FALSE)</f>
        <v>22-Fruit / Veggie Juice</v>
      </c>
      <c r="G149" s="63" t="str">
        <f>VLOOKUP(F:F,'Product Category'!K:L,2,FALSE)</f>
        <v>3-Beverages</v>
      </c>
      <c r="H149" s="41" t="s">
        <v>4226</v>
      </c>
      <c r="I149" s="41" t="s">
        <v>4227</v>
      </c>
      <c r="J149" s="41" t="s">
        <v>5063</v>
      </c>
      <c r="K149" s="41" t="s">
        <v>5064</v>
      </c>
      <c r="L149" s="41">
        <v>1000</v>
      </c>
      <c r="M149" s="41" t="s">
        <v>66</v>
      </c>
      <c r="N149" s="41" t="str">
        <f>VLOOKUP(M:M,Unit!B:C,2,0)</f>
        <v>ml</v>
      </c>
      <c r="O149" s="41" t="s">
        <v>67</v>
      </c>
      <c r="P149" s="41">
        <v>3</v>
      </c>
      <c r="Q149" s="41" t="s">
        <v>104</v>
      </c>
      <c r="R149" s="41" t="str">
        <f>VLOOKUP(Q:Q,Unit!B:D,2,0)</f>
        <v>box</v>
      </c>
      <c r="S149" s="41" t="s">
        <v>75</v>
      </c>
      <c r="T149" s="41" t="str">
        <f>VLOOKUP(S:S,Promo!B:D,2,0)</f>
        <v>Promo EN</v>
      </c>
      <c r="W149" s="41">
        <v>199</v>
      </c>
      <c r="X149" s="41">
        <v>156</v>
      </c>
      <c r="AB149" s="41" t="s">
        <v>2062</v>
      </c>
      <c r="AG149" s="41" t="s">
        <v>71</v>
      </c>
      <c r="AH149" s="41" t="s">
        <v>71</v>
      </c>
      <c r="AI149" s="41" t="s">
        <v>71</v>
      </c>
      <c r="AJ149" s="41" t="s">
        <v>71</v>
      </c>
      <c r="AK149" s="41" t="s">
        <v>71</v>
      </c>
      <c r="AL149" s="41" t="s">
        <v>71</v>
      </c>
      <c r="BS149" s="41" t="s">
        <v>2058</v>
      </c>
      <c r="BT149" s="41" t="s">
        <v>72</v>
      </c>
      <c r="BW149" s="41" t="s">
        <v>72</v>
      </c>
      <c r="BX149" s="41">
        <f>VLOOKUP(B:B,Brand!B:D,3,0)</f>
        <v>501</v>
      </c>
      <c r="BY149" s="41">
        <f>VLOOKUP(M:M,Unit!B:D,3,0)</f>
        <v>4</v>
      </c>
      <c r="BZ149" s="41">
        <f>VLOOKUP(S:S,Promo!B:D,3,0)</f>
        <v>0</v>
      </c>
    </row>
    <row r="150" spans="1:78" s="41" customFormat="1" ht="15.75" customHeight="1">
      <c r="A150" s="41">
        <v>117817</v>
      </c>
      <c r="B150" s="41" t="s">
        <v>148</v>
      </c>
      <c r="C150" s="65" t="str">
        <f>VLOOKUP(B:B,Brand!B:C,2,0)</f>
        <v>Golden Mountain</v>
      </c>
      <c r="D150" s="63">
        <f>VLOOKUP(E:E,'Product Category'!J:O,6,FALSE)</f>
        <v>112</v>
      </c>
      <c r="E150" s="41" t="s">
        <v>2201</v>
      </c>
      <c r="F150" s="63" t="str">
        <f>VLOOKUP(E:E,'Product Category'!J:K,2,FALSE)</f>
        <v>22-Fruit / Veggie Juice</v>
      </c>
      <c r="G150" s="63" t="str">
        <f>VLOOKUP(F:F,'Product Category'!K:L,2,FALSE)</f>
        <v>3-Beverages</v>
      </c>
      <c r="H150" s="41" t="s">
        <v>4233</v>
      </c>
      <c r="I150" s="41" t="s">
        <v>4234</v>
      </c>
      <c r="J150" s="41" t="s">
        <v>5069</v>
      </c>
      <c r="K150" s="41" t="s">
        <v>5070</v>
      </c>
      <c r="L150" s="41">
        <v>5000</v>
      </c>
      <c r="M150" s="41" t="s">
        <v>149</v>
      </c>
      <c r="N150" s="41" t="str">
        <f>VLOOKUP(M:M,Unit!B:C,2,0)</f>
        <v>cc</v>
      </c>
      <c r="O150" s="41" t="s">
        <v>67</v>
      </c>
      <c r="P150" s="41">
        <v>1</v>
      </c>
      <c r="Q150" s="41" t="s">
        <v>2152</v>
      </c>
      <c r="R150" s="41" t="str">
        <f>VLOOKUP(Q:Q,Unit!B:D,2,0)</f>
        <v>gal</v>
      </c>
      <c r="S150" s="41" t="s">
        <v>75</v>
      </c>
      <c r="T150" s="41" t="str">
        <f>VLOOKUP(S:S,Promo!B:D,2,0)</f>
        <v>Promo EN</v>
      </c>
      <c r="W150" s="41">
        <v>69</v>
      </c>
      <c r="X150" s="41">
        <v>65</v>
      </c>
      <c r="AB150" s="41" t="s">
        <v>2054</v>
      </c>
      <c r="AG150" s="41" t="s">
        <v>71</v>
      </c>
      <c r="AH150" s="41" t="s">
        <v>71</v>
      </c>
      <c r="AI150" s="41" t="s">
        <v>71</v>
      </c>
      <c r="AJ150" s="41" t="s">
        <v>71</v>
      </c>
      <c r="AK150" s="41" t="s">
        <v>71</v>
      </c>
      <c r="AL150" s="41" t="s">
        <v>71</v>
      </c>
      <c r="BS150" s="41" t="s">
        <v>2058</v>
      </c>
      <c r="BT150" s="41" t="s">
        <v>72</v>
      </c>
      <c r="BW150" s="41" t="s">
        <v>72</v>
      </c>
      <c r="BX150" s="41">
        <f>VLOOKUP(B:B,Brand!B:D,3,0)</f>
        <v>474</v>
      </c>
      <c r="BY150" s="41">
        <f>VLOOKUP(M:M,Unit!B:D,3,0)</f>
        <v>11</v>
      </c>
      <c r="BZ150" s="41">
        <f>VLOOKUP(S:S,Promo!B:D,3,0)</f>
        <v>0</v>
      </c>
    </row>
    <row r="151" spans="1:78" s="41" customFormat="1" ht="15.75" customHeight="1">
      <c r="A151" s="41">
        <v>164373</v>
      </c>
      <c r="B151" s="41" t="s">
        <v>239</v>
      </c>
      <c r="C151" s="65" t="str">
        <f>VLOOKUP(B:B,Brand!B:C,2,0)</f>
        <v>Kato</v>
      </c>
      <c r="D151" s="63">
        <f>VLOOKUP(E:E,'Product Category'!J:O,6,FALSE)</f>
        <v>114</v>
      </c>
      <c r="E151" s="41" t="s">
        <v>2136</v>
      </c>
      <c r="F151" s="63" t="str">
        <f>VLOOKUP(E:E,'Product Category'!J:K,2,FALSE)</f>
        <v>22-Fruit / Veggie Juice</v>
      </c>
      <c r="G151" s="63" t="str">
        <f>VLOOKUP(F:F,'Product Category'!K:L,2,FALSE)</f>
        <v>3-Beverages</v>
      </c>
      <c r="H151" s="41" t="s">
        <v>3620</v>
      </c>
      <c r="I151" s="41" t="s">
        <v>3621</v>
      </c>
      <c r="J151" s="41" t="s">
        <v>4629</v>
      </c>
      <c r="K151" s="41" t="s">
        <v>4630</v>
      </c>
      <c r="L151" s="41">
        <v>320</v>
      </c>
      <c r="M151" s="41" t="s">
        <v>66</v>
      </c>
      <c r="N151" s="41" t="str">
        <f>VLOOKUP(M:M,Unit!B:C,2,0)</f>
        <v>ml</v>
      </c>
      <c r="O151" s="41" t="s">
        <v>67</v>
      </c>
      <c r="P151" s="41">
        <v>6</v>
      </c>
      <c r="Q151" s="41" t="s">
        <v>95</v>
      </c>
      <c r="R151" s="41" t="str">
        <f>VLOOKUP(Q:Q,Unit!B:D,2,0)</f>
        <v>bottle</v>
      </c>
      <c r="S151" s="41" t="s">
        <v>75</v>
      </c>
      <c r="T151" s="41" t="str">
        <f>VLOOKUP(S:S,Promo!B:D,2,0)</f>
        <v>Promo EN</v>
      </c>
      <c r="W151" s="41">
        <v>52</v>
      </c>
      <c r="X151" s="41">
        <v>45</v>
      </c>
      <c r="AB151" s="41" t="s">
        <v>91</v>
      </c>
      <c r="AG151" s="41" t="s">
        <v>71</v>
      </c>
      <c r="AH151" s="41" t="s">
        <v>1846</v>
      </c>
      <c r="AI151" s="41" t="s">
        <v>71</v>
      </c>
      <c r="AJ151" s="41" t="s">
        <v>71</v>
      </c>
      <c r="AK151" s="41" t="s">
        <v>71</v>
      </c>
      <c r="AL151" s="41" t="s">
        <v>71</v>
      </c>
      <c r="AU151" s="41" t="s">
        <v>2346</v>
      </c>
      <c r="AV151" s="41" t="s">
        <v>3579</v>
      </c>
      <c r="BS151" s="41" t="s">
        <v>2058</v>
      </c>
      <c r="BT151" s="41" t="s">
        <v>72</v>
      </c>
      <c r="BW151" s="41" t="s">
        <v>72</v>
      </c>
      <c r="BX151" s="41">
        <f>VLOOKUP(B:B,Brand!B:D,3,0)</f>
        <v>16</v>
      </c>
      <c r="BY151" s="41">
        <f>VLOOKUP(M:M,Unit!B:D,3,0)</f>
        <v>4</v>
      </c>
      <c r="BZ151" s="41">
        <f>VLOOKUP(S:S,Promo!B:D,3,0)</f>
        <v>0</v>
      </c>
    </row>
    <row r="152" spans="1:78" s="41" customFormat="1" ht="15.75" customHeight="1">
      <c r="A152" s="41">
        <v>194628</v>
      </c>
      <c r="B152" s="41" t="s">
        <v>97</v>
      </c>
      <c r="C152" s="65" t="str">
        <f>VLOOKUP(B:B,Brand!B:C,2,0)</f>
        <v>aro</v>
      </c>
      <c r="D152" s="63">
        <f>VLOOKUP(E:E,'Product Category'!J:O,6,FALSE)</f>
        <v>114</v>
      </c>
      <c r="E152" s="41" t="s">
        <v>2136</v>
      </c>
      <c r="F152" s="63" t="str">
        <f>VLOOKUP(E:E,'Product Category'!J:K,2,FALSE)</f>
        <v>22-Fruit / Veggie Juice</v>
      </c>
      <c r="G152" s="63" t="str">
        <f>VLOOKUP(F:F,'Product Category'!K:L,2,FALSE)</f>
        <v>3-Beverages</v>
      </c>
      <c r="H152" s="41" t="s">
        <v>2212</v>
      </c>
      <c r="I152" s="41" t="s">
        <v>4374</v>
      </c>
      <c r="J152" s="41" t="s">
        <v>5138</v>
      </c>
      <c r="K152" s="41" t="s">
        <v>5139</v>
      </c>
      <c r="L152" s="41">
        <v>320</v>
      </c>
      <c r="M152" s="41" t="s">
        <v>66</v>
      </c>
      <c r="N152" s="41" t="str">
        <f>VLOOKUP(M:M,Unit!B:C,2,0)</f>
        <v>ml</v>
      </c>
      <c r="O152" s="41" t="s">
        <v>67</v>
      </c>
      <c r="P152" s="41">
        <v>6</v>
      </c>
      <c r="Q152" s="41" t="s">
        <v>95</v>
      </c>
      <c r="R152" s="41" t="str">
        <f>VLOOKUP(Q:Q,Unit!B:D,2,0)</f>
        <v>bottle</v>
      </c>
      <c r="S152" s="41" t="s">
        <v>75</v>
      </c>
      <c r="T152" s="41" t="str">
        <f>VLOOKUP(S:S,Promo!B:D,2,0)</f>
        <v>Promo EN</v>
      </c>
      <c r="W152" s="41">
        <v>52</v>
      </c>
      <c r="X152" s="41">
        <v>48</v>
      </c>
      <c r="AB152" s="41" t="s">
        <v>2062</v>
      </c>
      <c r="AG152" s="41" t="s">
        <v>71</v>
      </c>
      <c r="AH152" s="41" t="s">
        <v>71</v>
      </c>
      <c r="AI152" s="41" t="s">
        <v>71</v>
      </c>
      <c r="AJ152" s="41" t="s">
        <v>71</v>
      </c>
      <c r="AK152" s="41" t="s">
        <v>71</v>
      </c>
      <c r="AL152" s="41" t="s">
        <v>71</v>
      </c>
      <c r="BS152" s="41" t="s">
        <v>2058</v>
      </c>
      <c r="BT152" s="41" t="s">
        <v>72</v>
      </c>
      <c r="BW152" s="41" t="s">
        <v>72</v>
      </c>
      <c r="BX152" s="41">
        <f>VLOOKUP(B:B,Brand!B:D,3,0)</f>
        <v>692</v>
      </c>
      <c r="BY152" s="41">
        <f>VLOOKUP(M:M,Unit!B:D,3,0)</f>
        <v>4</v>
      </c>
      <c r="BZ152" s="41">
        <f>VLOOKUP(S:S,Promo!B:D,3,0)</f>
        <v>0</v>
      </c>
    </row>
    <row r="153" spans="1:78" s="41" customFormat="1" ht="15.75" customHeight="1">
      <c r="A153" s="41">
        <v>156778</v>
      </c>
      <c r="B153" s="41" t="s">
        <v>1245</v>
      </c>
      <c r="C153" s="65" t="str">
        <f>VLOOKUP(B:B,Brand!B:C,2,0)</f>
        <v>Enfagrow A+</v>
      </c>
      <c r="D153" s="63">
        <f>VLOOKUP(E:E,'Product Category'!J:O,6,FALSE)</f>
        <v>115</v>
      </c>
      <c r="E153" s="41" t="s">
        <v>2063</v>
      </c>
      <c r="F153" s="63" t="str">
        <f>VLOOKUP(E:E,'Product Category'!J:K,2,FALSE)</f>
        <v>23-Milk</v>
      </c>
      <c r="G153" s="63" t="str">
        <f>VLOOKUP(F:F,'Product Category'!K:L,2,FALSE)</f>
        <v>3-Beverages</v>
      </c>
      <c r="H153" s="41" t="s">
        <v>3648</v>
      </c>
      <c r="I153" s="41" t="s">
        <v>3649</v>
      </c>
      <c r="J153" s="41" t="s">
        <v>4669</v>
      </c>
      <c r="K153" s="41" t="s">
        <v>4670</v>
      </c>
      <c r="L153" s="41">
        <v>180</v>
      </c>
      <c r="M153" s="41" t="s">
        <v>66</v>
      </c>
      <c r="N153" s="41" t="str">
        <f>VLOOKUP(M:M,Unit!B:C,2,0)</f>
        <v>ml</v>
      </c>
      <c r="O153" s="41" t="s">
        <v>67</v>
      </c>
      <c r="P153" s="41">
        <v>24</v>
      </c>
      <c r="Q153" s="41" t="s">
        <v>68</v>
      </c>
      <c r="R153" s="41" t="str">
        <f>VLOOKUP(Q:Q,Unit!B:D,2,0)</f>
        <v>pc</v>
      </c>
      <c r="S153" s="41" t="s">
        <v>75</v>
      </c>
      <c r="T153" s="41" t="str">
        <f>VLOOKUP(S:S,Promo!B:D,2,0)</f>
        <v>Promo EN</v>
      </c>
      <c r="W153" s="41">
        <v>434</v>
      </c>
      <c r="X153" s="41">
        <v>409</v>
      </c>
      <c r="AB153" s="41" t="s">
        <v>91</v>
      </c>
      <c r="AG153" s="41" t="s">
        <v>71</v>
      </c>
      <c r="AH153" s="41" t="s">
        <v>71</v>
      </c>
      <c r="AI153" s="41" t="s">
        <v>71</v>
      </c>
      <c r="AJ153" s="41" t="s">
        <v>71</v>
      </c>
      <c r="AK153" s="41" t="s">
        <v>71</v>
      </c>
      <c r="AL153" s="41" t="s">
        <v>71</v>
      </c>
      <c r="AP153" s="41" t="s">
        <v>3650</v>
      </c>
      <c r="AU153" s="41" t="s">
        <v>3651</v>
      </c>
      <c r="AV153" s="41" t="s">
        <v>2156</v>
      </c>
      <c r="BS153" s="41" t="s">
        <v>2058</v>
      </c>
      <c r="BT153" s="41" t="s">
        <v>72</v>
      </c>
      <c r="BW153" s="41" t="s">
        <v>72</v>
      </c>
      <c r="BX153" s="41">
        <f>VLOOKUP(B:B,Brand!B:D,3,0)</f>
        <v>683</v>
      </c>
      <c r="BY153" s="41">
        <f>VLOOKUP(M:M,Unit!B:D,3,0)</f>
        <v>4</v>
      </c>
      <c r="BZ153" s="41">
        <f>VLOOKUP(S:S,Promo!B:D,3,0)</f>
        <v>0</v>
      </c>
    </row>
    <row r="154" spans="1:78" s="41" customFormat="1" ht="15.75" customHeight="1">
      <c r="A154" s="41">
        <v>70109</v>
      </c>
      <c r="B154" s="41" t="s">
        <v>103</v>
      </c>
      <c r="C154" s="65" t="str">
        <f>VLOOKUP(B:B,Brand!B:C,2,0)</f>
        <v>Foremost</v>
      </c>
      <c r="D154" s="63">
        <f>VLOOKUP(E:E,'Product Category'!J:O,6,FALSE)</f>
        <v>115</v>
      </c>
      <c r="E154" s="41" t="s">
        <v>2063</v>
      </c>
      <c r="F154" s="63" t="str">
        <f>VLOOKUP(E:E,'Product Category'!J:K,2,FALSE)</f>
        <v>23-Milk</v>
      </c>
      <c r="G154" s="63" t="str">
        <f>VLOOKUP(F:F,'Product Category'!K:L,2,FALSE)</f>
        <v>3-Beverages</v>
      </c>
      <c r="H154" s="41" t="s">
        <v>3951</v>
      </c>
      <c r="I154" s="41" t="s">
        <v>3952</v>
      </c>
      <c r="J154" s="41" t="s">
        <v>4855</v>
      </c>
      <c r="K154" s="41" t="s">
        <v>4856</v>
      </c>
      <c r="L154" s="41">
        <v>225</v>
      </c>
      <c r="M154" s="41" t="s">
        <v>66</v>
      </c>
      <c r="N154" s="41" t="str">
        <f>VLOOKUP(M:M,Unit!B:C,2,0)</f>
        <v>ml</v>
      </c>
      <c r="O154" s="41" t="s">
        <v>67</v>
      </c>
      <c r="P154" s="41">
        <v>36</v>
      </c>
      <c r="Q154" s="41" t="s">
        <v>104</v>
      </c>
      <c r="R154" s="41" t="str">
        <f>VLOOKUP(Q:Q,Unit!B:D,2,0)</f>
        <v>box</v>
      </c>
      <c r="S154" s="41" t="s">
        <v>75</v>
      </c>
      <c r="T154" s="41" t="str">
        <f>VLOOKUP(S:S,Promo!B:D,2,0)</f>
        <v>Promo EN</v>
      </c>
      <c r="W154" s="41">
        <v>381</v>
      </c>
      <c r="X154" s="41">
        <v>355</v>
      </c>
      <c r="AB154" s="41" t="s">
        <v>2056</v>
      </c>
      <c r="AG154" s="41" t="s">
        <v>71</v>
      </c>
      <c r="AH154" s="41" t="s">
        <v>1846</v>
      </c>
      <c r="AI154" s="41" t="s">
        <v>71</v>
      </c>
      <c r="AJ154" s="41" t="s">
        <v>71</v>
      </c>
      <c r="AK154" s="41" t="s">
        <v>71</v>
      </c>
      <c r="AL154" s="41" t="s">
        <v>71</v>
      </c>
      <c r="AU154" s="41" t="s">
        <v>3953</v>
      </c>
      <c r="AV154" s="41" t="s">
        <v>2156</v>
      </c>
      <c r="BS154" s="41" t="s">
        <v>2058</v>
      </c>
      <c r="BT154" s="41" t="s">
        <v>72</v>
      </c>
      <c r="BW154" s="41" t="s">
        <v>72</v>
      </c>
      <c r="BX154" s="41">
        <f>VLOOKUP(B:B,Brand!B:D,3,0)</f>
        <v>470</v>
      </c>
      <c r="BY154" s="41">
        <f>VLOOKUP(M:M,Unit!B:D,3,0)</f>
        <v>4</v>
      </c>
      <c r="BZ154" s="41">
        <f>VLOOKUP(S:S,Promo!B:D,3,0)</f>
        <v>0</v>
      </c>
    </row>
    <row r="155" spans="1:78" s="41" customFormat="1" ht="15.75" customHeight="1">
      <c r="A155" s="41">
        <v>36790</v>
      </c>
      <c r="B155" s="41" t="s">
        <v>996</v>
      </c>
      <c r="C155" s="65" t="str">
        <f>VLOOKUP(B:B,Brand!B:C,2,0)</f>
        <v>Magnolia</v>
      </c>
      <c r="D155" s="63">
        <f>VLOOKUP(E:E,'Product Category'!J:O,6,FALSE)</f>
        <v>115</v>
      </c>
      <c r="E155" s="41" t="s">
        <v>2063</v>
      </c>
      <c r="F155" s="63" t="str">
        <f>VLOOKUP(E:E,'Product Category'!J:K,2,FALSE)</f>
        <v>23-Milk</v>
      </c>
      <c r="G155" s="63" t="str">
        <f>VLOOKUP(F:F,'Product Category'!K:L,2,FALSE)</f>
        <v>3-Beverages</v>
      </c>
      <c r="H155" s="41" t="s">
        <v>4093</v>
      </c>
      <c r="I155" s="41" t="s">
        <v>4094</v>
      </c>
      <c r="J155" s="41" t="s">
        <v>4979</v>
      </c>
      <c r="K155" s="41" t="s">
        <v>4980</v>
      </c>
      <c r="L155" s="41">
        <v>5</v>
      </c>
      <c r="M155" s="41" t="s">
        <v>94</v>
      </c>
      <c r="N155" s="41" t="str">
        <f>VLOOKUP(M:M,Unit!B:C,2,0)</f>
        <v>L</v>
      </c>
      <c r="O155" s="41" t="s">
        <v>67</v>
      </c>
      <c r="P155" s="41">
        <v>1</v>
      </c>
      <c r="Q155" s="41" t="s">
        <v>2152</v>
      </c>
      <c r="R155" s="41" t="str">
        <f>VLOOKUP(Q:Q,Unit!B:D,2,0)</f>
        <v>gal</v>
      </c>
      <c r="S155" s="41" t="s">
        <v>75</v>
      </c>
      <c r="T155" s="41" t="str">
        <f>VLOOKUP(S:S,Promo!B:D,2,0)</f>
        <v>Promo EN</v>
      </c>
      <c r="W155" s="41">
        <v>203</v>
      </c>
      <c r="X155" s="41">
        <v>195</v>
      </c>
      <c r="AB155" s="41" t="s">
        <v>2062</v>
      </c>
      <c r="AG155" s="41" t="s">
        <v>71</v>
      </c>
      <c r="AH155" s="41" t="s">
        <v>71</v>
      </c>
      <c r="AI155" s="41" t="s">
        <v>71</v>
      </c>
      <c r="AJ155" s="41" t="s">
        <v>71</v>
      </c>
      <c r="AK155" s="41" t="s">
        <v>71</v>
      </c>
      <c r="AL155" s="41" t="s">
        <v>71</v>
      </c>
      <c r="BS155" s="41" t="s">
        <v>2058</v>
      </c>
      <c r="BT155" s="41" t="s">
        <v>72</v>
      </c>
      <c r="BW155" s="41" t="s">
        <v>72</v>
      </c>
      <c r="BX155" s="41">
        <f>VLOOKUP(B:B,Brand!B:D,3,0)</f>
        <v>521</v>
      </c>
      <c r="BY155" s="41">
        <f>VLOOKUP(M:M,Unit!B:D,3,0)</f>
        <v>7</v>
      </c>
      <c r="BZ155" s="41">
        <f>VLOOKUP(S:S,Promo!B:D,3,0)</f>
        <v>0</v>
      </c>
    </row>
    <row r="156" spans="1:78" s="41" customFormat="1" ht="15.75" customHeight="1">
      <c r="A156" s="41">
        <v>160414</v>
      </c>
      <c r="B156" s="41" t="s">
        <v>103</v>
      </c>
      <c r="C156" s="65" t="str">
        <f>VLOOKUP(B:B,Brand!B:C,2,0)</f>
        <v>Foremost</v>
      </c>
      <c r="D156" s="63">
        <f>VLOOKUP(E:E,'Product Category'!J:O,6,FALSE)</f>
        <v>115</v>
      </c>
      <c r="E156" s="41" t="s">
        <v>2063</v>
      </c>
      <c r="F156" s="63" t="str">
        <f>VLOOKUP(E:E,'Product Category'!J:K,2,FALSE)</f>
        <v>23-Milk</v>
      </c>
      <c r="G156" s="63" t="str">
        <f>VLOOKUP(F:F,'Product Category'!K:L,2,FALSE)</f>
        <v>3-Beverages</v>
      </c>
      <c r="H156" s="41" t="s">
        <v>4217</v>
      </c>
      <c r="I156" s="41" t="s">
        <v>4218</v>
      </c>
      <c r="J156" s="41" t="s">
        <v>5057</v>
      </c>
      <c r="K156" s="41" t="s">
        <v>5058</v>
      </c>
      <c r="L156" s="41">
        <v>180</v>
      </c>
      <c r="M156" s="41" t="s">
        <v>66</v>
      </c>
      <c r="N156" s="41" t="str">
        <f>VLOOKUP(M:M,Unit!B:C,2,0)</f>
        <v>ml</v>
      </c>
      <c r="O156" s="41" t="s">
        <v>67</v>
      </c>
      <c r="P156" s="41">
        <v>6</v>
      </c>
      <c r="Q156" s="41" t="s">
        <v>104</v>
      </c>
      <c r="R156" s="41" t="str">
        <f>VLOOKUP(Q:Q,Unit!B:D,2,0)</f>
        <v>box</v>
      </c>
      <c r="S156" s="41" t="s">
        <v>75</v>
      </c>
      <c r="T156" s="41" t="str">
        <f>VLOOKUP(S:S,Promo!B:D,2,0)</f>
        <v>Promo EN</v>
      </c>
      <c r="W156" s="41">
        <v>323</v>
      </c>
      <c r="X156" s="41">
        <v>315</v>
      </c>
      <c r="AB156" s="41" t="s">
        <v>2062</v>
      </c>
      <c r="AG156" s="41" t="s">
        <v>71</v>
      </c>
      <c r="AH156" s="41" t="s">
        <v>1846</v>
      </c>
      <c r="AI156" s="41" t="s">
        <v>71</v>
      </c>
      <c r="AJ156" s="41" t="s">
        <v>71</v>
      </c>
      <c r="AK156" s="41" t="s">
        <v>71</v>
      </c>
      <c r="AL156" s="41" t="s">
        <v>71</v>
      </c>
      <c r="AP156" s="41" t="s">
        <v>4219</v>
      </c>
      <c r="BS156" s="41" t="s">
        <v>2058</v>
      </c>
      <c r="BT156" s="41" t="s">
        <v>72</v>
      </c>
      <c r="BW156" s="41" t="s">
        <v>72</v>
      </c>
      <c r="BX156" s="41">
        <f>VLOOKUP(B:B,Brand!B:D,3,0)</f>
        <v>470</v>
      </c>
      <c r="BY156" s="41">
        <f>VLOOKUP(M:M,Unit!B:D,3,0)</f>
        <v>4</v>
      </c>
      <c r="BZ156" s="41">
        <f>VLOOKUP(S:S,Promo!B:D,3,0)</f>
        <v>0</v>
      </c>
    </row>
    <row r="157" spans="1:78" s="41" customFormat="1" ht="15.75" customHeight="1">
      <c r="A157" s="41">
        <v>820411</v>
      </c>
      <c r="B157" s="41" t="s">
        <v>1114</v>
      </c>
      <c r="C157" s="65" t="str">
        <f>VLOOKUP(B:B,Brand!B:C,2,0)</f>
        <v>Vitamilk</v>
      </c>
      <c r="D157" s="63">
        <f>VLOOKUP(E:E,'Product Category'!J:O,6,FALSE)</f>
        <v>116</v>
      </c>
      <c r="E157" s="41" t="s">
        <v>2111</v>
      </c>
      <c r="F157" s="63" t="str">
        <f>VLOOKUP(E:E,'Product Category'!J:K,2,FALSE)</f>
        <v>23-Milk</v>
      </c>
      <c r="G157" s="63" t="str">
        <f>VLOOKUP(F:F,'Product Category'!K:L,2,FALSE)</f>
        <v>3-Beverages</v>
      </c>
      <c r="H157" s="41" t="s">
        <v>3926</v>
      </c>
      <c r="I157" s="41" t="s">
        <v>3927</v>
      </c>
      <c r="J157" s="41" t="s">
        <v>4833</v>
      </c>
      <c r="K157" s="41" t="s">
        <v>4834</v>
      </c>
      <c r="L157" s="41">
        <v>300</v>
      </c>
      <c r="M157" s="41" t="s">
        <v>66</v>
      </c>
      <c r="N157" s="41" t="str">
        <f>VLOOKUP(M:M,Unit!B:C,2,0)</f>
        <v>ml</v>
      </c>
      <c r="O157" s="41" t="s">
        <v>67</v>
      </c>
      <c r="P157" s="41">
        <v>12</v>
      </c>
      <c r="Q157" s="41" t="s">
        <v>95</v>
      </c>
      <c r="R157" s="41" t="str">
        <f>VLOOKUP(Q:Q,Unit!B:D,2,0)</f>
        <v>bottle</v>
      </c>
      <c r="S157" s="41" t="s">
        <v>75</v>
      </c>
      <c r="T157" s="41" t="str">
        <f>VLOOKUP(S:S,Promo!B:D,2,0)</f>
        <v>Promo EN</v>
      </c>
      <c r="W157" s="41">
        <v>137</v>
      </c>
      <c r="X157" s="41">
        <v>129</v>
      </c>
      <c r="AB157" s="41" t="s">
        <v>91</v>
      </c>
      <c r="AG157" s="41" t="s">
        <v>71</v>
      </c>
      <c r="AH157" s="41" t="s">
        <v>71</v>
      </c>
      <c r="AI157" s="41" t="s">
        <v>71</v>
      </c>
      <c r="AJ157" s="41" t="s">
        <v>71</v>
      </c>
      <c r="AK157" s="41" t="s">
        <v>71</v>
      </c>
      <c r="AL157" s="41" t="s">
        <v>71</v>
      </c>
      <c r="AP157" s="41" t="s">
        <v>3928</v>
      </c>
      <c r="AU157" s="41" t="s">
        <v>3929</v>
      </c>
      <c r="AV157" s="41" t="s">
        <v>2243</v>
      </c>
      <c r="BS157" s="41" t="s">
        <v>2058</v>
      </c>
      <c r="BT157" s="41" t="s">
        <v>72</v>
      </c>
      <c r="BW157" s="41" t="s">
        <v>72</v>
      </c>
      <c r="BX157" s="41">
        <f>VLOOKUP(B:B,Brand!B:D,3,0)</f>
        <v>600</v>
      </c>
      <c r="BY157" s="41">
        <f>VLOOKUP(M:M,Unit!B:D,3,0)</f>
        <v>4</v>
      </c>
      <c r="BZ157" s="41">
        <f>VLOOKUP(S:S,Promo!B:D,3,0)</f>
        <v>0</v>
      </c>
    </row>
    <row r="158" spans="1:78" s="41" customFormat="1" ht="15.75" customHeight="1">
      <c r="A158" s="41">
        <v>122889</v>
      </c>
      <c r="B158" s="41" t="s">
        <v>126</v>
      </c>
      <c r="C158" s="65" t="str">
        <f>VLOOKUP(B:B,Brand!B:C,2,0)</f>
        <v>Lactasoy</v>
      </c>
      <c r="D158" s="63">
        <f>VLOOKUP(E:E,'Product Category'!J:O,6,FALSE)</f>
        <v>116</v>
      </c>
      <c r="E158" s="41" t="s">
        <v>2111</v>
      </c>
      <c r="F158" s="63" t="str">
        <f>VLOOKUP(E:E,'Product Category'!J:K,2,FALSE)</f>
        <v>23-Milk</v>
      </c>
      <c r="G158" s="63" t="str">
        <f>VLOOKUP(F:F,'Product Category'!K:L,2,FALSE)</f>
        <v>3-Beverages</v>
      </c>
      <c r="H158" s="41" t="s">
        <v>3948</v>
      </c>
      <c r="I158" s="41" t="s">
        <v>3949</v>
      </c>
      <c r="J158" s="41" t="s">
        <v>4853</v>
      </c>
      <c r="K158" s="41" t="s">
        <v>4854</v>
      </c>
      <c r="L158" s="41">
        <v>300</v>
      </c>
      <c r="M158" s="41" t="s">
        <v>66</v>
      </c>
      <c r="N158" s="41" t="str">
        <f>VLOOKUP(M:M,Unit!B:C,2,0)</f>
        <v>ml</v>
      </c>
      <c r="O158" s="41" t="s">
        <v>67</v>
      </c>
      <c r="P158" s="41">
        <v>36</v>
      </c>
      <c r="Q158" s="41" t="s">
        <v>104</v>
      </c>
      <c r="R158" s="41" t="str">
        <f>VLOOKUP(Q:Q,Unit!B:D,2,0)</f>
        <v>box</v>
      </c>
      <c r="S158" s="41" t="s">
        <v>75</v>
      </c>
      <c r="T158" s="41" t="str">
        <f>VLOOKUP(S:S,Promo!B:D,2,0)</f>
        <v>Promo EN</v>
      </c>
      <c r="W158" s="41">
        <v>288</v>
      </c>
      <c r="X158" s="41">
        <v>269</v>
      </c>
      <c r="AB158" s="41" t="s">
        <v>2056</v>
      </c>
      <c r="AG158" s="41" t="s">
        <v>71</v>
      </c>
      <c r="AH158" s="41" t="s">
        <v>1846</v>
      </c>
      <c r="AI158" s="41" t="s">
        <v>71</v>
      </c>
      <c r="AJ158" s="41" t="s">
        <v>3388</v>
      </c>
      <c r="AK158" s="41" t="s">
        <v>3950</v>
      </c>
      <c r="AL158" s="41" t="s">
        <v>71</v>
      </c>
      <c r="AU158" s="41" t="s">
        <v>3938</v>
      </c>
      <c r="AV158" s="41" t="s">
        <v>2155</v>
      </c>
      <c r="BS158" s="41" t="s">
        <v>2058</v>
      </c>
      <c r="BT158" s="41" t="s">
        <v>72</v>
      </c>
      <c r="BW158" s="41" t="s">
        <v>72</v>
      </c>
      <c r="BX158" s="41">
        <f>VLOOKUP(B:B,Brand!B:D,3,0)</f>
        <v>581</v>
      </c>
      <c r="BY158" s="41">
        <f>VLOOKUP(M:M,Unit!B:D,3,0)</f>
        <v>4</v>
      </c>
      <c r="BZ158" s="41">
        <f>VLOOKUP(S:S,Promo!B:D,3,0)</f>
        <v>0</v>
      </c>
    </row>
    <row r="159" spans="1:78" s="41" customFormat="1" ht="15.75" customHeight="1">
      <c r="A159" s="41">
        <v>202206</v>
      </c>
      <c r="B159" s="41" t="s">
        <v>2723</v>
      </c>
      <c r="C159" s="65" t="str">
        <f>VLOOKUP(B:B,Brand!B:C,2,0)</f>
        <v>Tofusan</v>
      </c>
      <c r="D159" s="63">
        <f>VLOOKUP(E:E,'Product Category'!J:O,6,FALSE)</f>
        <v>116</v>
      </c>
      <c r="E159" s="41" t="s">
        <v>2111</v>
      </c>
      <c r="F159" s="63" t="str">
        <f>VLOOKUP(E:E,'Product Category'!J:K,2,FALSE)</f>
        <v>23-Milk</v>
      </c>
      <c r="G159" s="63" t="str">
        <f>VLOOKUP(F:F,'Product Category'!K:L,2,FALSE)</f>
        <v>3-Beverages</v>
      </c>
      <c r="H159" s="41" t="s">
        <v>4071</v>
      </c>
      <c r="I159" s="41" t="s">
        <v>4072</v>
      </c>
      <c r="J159" s="41" t="s">
        <v>4958</v>
      </c>
      <c r="K159" s="41" t="s">
        <v>4959</v>
      </c>
      <c r="L159" s="41">
        <v>830</v>
      </c>
      <c r="M159" s="41" t="s">
        <v>66</v>
      </c>
      <c r="N159" s="41" t="str">
        <f>VLOOKUP(M:M,Unit!B:C,2,0)</f>
        <v>ml</v>
      </c>
      <c r="O159" s="41" t="s">
        <v>67</v>
      </c>
      <c r="P159" s="41">
        <v>1</v>
      </c>
      <c r="Q159" s="41" t="s">
        <v>68</v>
      </c>
      <c r="R159" s="41" t="str">
        <f>VLOOKUP(Q:Q,Unit!B:D,2,0)</f>
        <v>pc</v>
      </c>
      <c r="S159" s="41" t="s">
        <v>75</v>
      </c>
      <c r="T159" s="41" t="str">
        <f>VLOOKUP(S:S,Promo!B:D,2,0)</f>
        <v>Promo EN</v>
      </c>
      <c r="W159" s="41">
        <v>48</v>
      </c>
      <c r="X159" s="41">
        <v>39</v>
      </c>
      <c r="AB159" s="41" t="s">
        <v>91</v>
      </c>
      <c r="AG159" s="41" t="s">
        <v>71</v>
      </c>
      <c r="AH159" s="41" t="s">
        <v>71</v>
      </c>
      <c r="AI159" s="41" t="s">
        <v>71</v>
      </c>
      <c r="AJ159" s="41" t="s">
        <v>71</v>
      </c>
      <c r="AK159" s="41" t="s">
        <v>71</v>
      </c>
      <c r="AL159" s="41" t="s">
        <v>71</v>
      </c>
      <c r="AU159" s="41" t="s">
        <v>2112</v>
      </c>
      <c r="AV159" s="41" t="s">
        <v>2156</v>
      </c>
      <c r="BS159" s="41" t="s">
        <v>2058</v>
      </c>
      <c r="BT159" s="41" t="s">
        <v>72</v>
      </c>
      <c r="BW159" s="41" t="s">
        <v>72</v>
      </c>
      <c r="BX159" s="41">
        <f>VLOOKUP(B:B,Brand!B:D,3,0)</f>
        <v>1128</v>
      </c>
      <c r="BY159" s="41">
        <f>VLOOKUP(M:M,Unit!B:D,3,0)</f>
        <v>4</v>
      </c>
      <c r="BZ159" s="41">
        <f>VLOOKUP(S:S,Promo!B:D,3,0)</f>
        <v>0</v>
      </c>
    </row>
    <row r="160" spans="1:78" s="41" customFormat="1" ht="15.75" customHeight="1">
      <c r="A160" s="41">
        <v>202231</v>
      </c>
      <c r="B160" s="41" t="s">
        <v>2723</v>
      </c>
      <c r="C160" s="65" t="str">
        <f>VLOOKUP(B:B,Brand!B:C,2,0)</f>
        <v>Tofusan</v>
      </c>
      <c r="D160" s="63">
        <f>VLOOKUP(E:E,'Product Category'!J:O,6,FALSE)</f>
        <v>116</v>
      </c>
      <c r="E160" s="41" t="s">
        <v>2111</v>
      </c>
      <c r="F160" s="63" t="str">
        <f>VLOOKUP(E:E,'Product Category'!J:K,2,FALSE)</f>
        <v>23-Milk</v>
      </c>
      <c r="G160" s="63" t="str">
        <f>VLOOKUP(F:F,'Product Category'!K:L,2,FALSE)</f>
        <v>3-Beverages</v>
      </c>
      <c r="H160" s="41" t="s">
        <v>4073</v>
      </c>
      <c r="I160" s="41" t="s">
        <v>4074</v>
      </c>
      <c r="J160" s="41" t="s">
        <v>4960</v>
      </c>
      <c r="K160" s="41" t="s">
        <v>4961</v>
      </c>
      <c r="L160" s="41">
        <v>830</v>
      </c>
      <c r="M160" s="41" t="s">
        <v>66</v>
      </c>
      <c r="N160" s="41" t="str">
        <f>VLOOKUP(M:M,Unit!B:C,2,0)</f>
        <v>ml</v>
      </c>
      <c r="O160" s="41" t="s">
        <v>67</v>
      </c>
      <c r="P160" s="41">
        <v>1</v>
      </c>
      <c r="Q160" s="41" t="s">
        <v>68</v>
      </c>
      <c r="R160" s="41" t="str">
        <f>VLOOKUP(Q:Q,Unit!B:D,2,0)</f>
        <v>pc</v>
      </c>
      <c r="S160" s="41" t="s">
        <v>75</v>
      </c>
      <c r="T160" s="41" t="str">
        <f>VLOOKUP(S:S,Promo!B:D,2,0)</f>
        <v>Promo EN</v>
      </c>
      <c r="W160" s="41">
        <v>48</v>
      </c>
      <c r="X160" s="41">
        <v>39</v>
      </c>
      <c r="AB160" s="41" t="s">
        <v>91</v>
      </c>
      <c r="AG160" s="41" t="s">
        <v>71</v>
      </c>
      <c r="AH160" s="41" t="s">
        <v>71</v>
      </c>
      <c r="AI160" s="41" t="s">
        <v>71</v>
      </c>
      <c r="AJ160" s="41" t="s">
        <v>71</v>
      </c>
      <c r="AK160" s="41" t="s">
        <v>71</v>
      </c>
      <c r="AL160" s="41" t="s">
        <v>71</v>
      </c>
      <c r="AU160" s="41" t="s">
        <v>4075</v>
      </c>
      <c r="AV160" s="41" t="s">
        <v>4017</v>
      </c>
      <c r="BS160" s="41" t="s">
        <v>2058</v>
      </c>
      <c r="BT160" s="41" t="s">
        <v>72</v>
      </c>
      <c r="BW160" s="41" t="s">
        <v>72</v>
      </c>
      <c r="BX160" s="41">
        <f>VLOOKUP(B:B,Brand!B:D,3,0)</f>
        <v>1128</v>
      </c>
      <c r="BY160" s="41">
        <f>VLOOKUP(M:M,Unit!B:D,3,0)</f>
        <v>4</v>
      </c>
      <c r="BZ160" s="41">
        <f>VLOOKUP(S:S,Promo!B:D,3,0)</f>
        <v>0</v>
      </c>
    </row>
    <row r="161" spans="1:78" s="41" customFormat="1" ht="15.75" customHeight="1">
      <c r="A161" s="41">
        <v>510406</v>
      </c>
      <c r="B161" s="41" t="s">
        <v>1114</v>
      </c>
      <c r="C161" s="65" t="str">
        <f>VLOOKUP(B:B,Brand!B:C,2,0)</f>
        <v>Vitamilk</v>
      </c>
      <c r="D161" s="63">
        <f>VLOOKUP(E:E,'Product Category'!J:O,6,FALSE)</f>
        <v>116</v>
      </c>
      <c r="E161" s="41" t="s">
        <v>2111</v>
      </c>
      <c r="F161" s="63" t="str">
        <f>VLOOKUP(E:E,'Product Category'!J:K,2,FALSE)</f>
        <v>23-Milk</v>
      </c>
      <c r="G161" s="63" t="str">
        <f>VLOOKUP(F:F,'Product Category'!K:L,2,FALSE)</f>
        <v>3-Beverages</v>
      </c>
      <c r="H161" s="41" t="s">
        <v>4231</v>
      </c>
      <c r="I161" s="41" t="s">
        <v>4232</v>
      </c>
      <c r="J161" s="41" t="s">
        <v>5067</v>
      </c>
      <c r="K161" s="41" t="s">
        <v>5068</v>
      </c>
      <c r="L161" s="41">
        <v>250</v>
      </c>
      <c r="M161" s="41" t="s">
        <v>66</v>
      </c>
      <c r="N161" s="41" t="str">
        <f>VLOOKUP(M:M,Unit!B:C,2,0)</f>
        <v>ml</v>
      </c>
      <c r="O161" s="41" t="s">
        <v>67</v>
      </c>
      <c r="P161" s="41">
        <v>36</v>
      </c>
      <c r="Q161" s="41" t="s">
        <v>104</v>
      </c>
      <c r="R161" s="41" t="str">
        <f>VLOOKUP(Q:Q,Unit!B:D,2,0)</f>
        <v>box</v>
      </c>
      <c r="S161" s="41" t="s">
        <v>75</v>
      </c>
      <c r="T161" s="41" t="str">
        <f>VLOOKUP(S:S,Promo!B:D,2,0)</f>
        <v>Promo EN</v>
      </c>
      <c r="W161" s="41">
        <v>265</v>
      </c>
      <c r="X161" s="41">
        <v>263</v>
      </c>
      <c r="AB161" s="41" t="s">
        <v>2062</v>
      </c>
      <c r="AG161" s="41" t="s">
        <v>71</v>
      </c>
      <c r="AH161" s="41" t="s">
        <v>1846</v>
      </c>
      <c r="AI161" s="41" t="s">
        <v>71</v>
      </c>
      <c r="AJ161" s="41" t="s">
        <v>71</v>
      </c>
      <c r="AK161" s="41" t="s">
        <v>71</v>
      </c>
      <c r="AL161" s="41" t="s">
        <v>71</v>
      </c>
      <c r="BS161" s="41" t="s">
        <v>2058</v>
      </c>
      <c r="BT161" s="41" t="s">
        <v>72</v>
      </c>
      <c r="BW161" s="41" t="s">
        <v>72</v>
      </c>
      <c r="BX161" s="41">
        <f>VLOOKUP(B:B,Brand!B:D,3,0)</f>
        <v>600</v>
      </c>
      <c r="BY161" s="41">
        <f>VLOOKUP(M:M,Unit!B:D,3,0)</f>
        <v>4</v>
      </c>
      <c r="BZ161" s="41">
        <f>VLOOKUP(S:S,Promo!B:D,3,0)</f>
        <v>0</v>
      </c>
    </row>
    <row r="162" spans="1:78" s="41" customFormat="1" ht="15.75" customHeight="1">
      <c r="A162" s="41">
        <v>213583</v>
      </c>
      <c r="B162" s="41" t="s">
        <v>2344</v>
      </c>
      <c r="C162" s="65" t="str">
        <f>VLOOKUP(B:B,Brand!B:C,2,0)</f>
        <v>Calpis Lacto</v>
      </c>
      <c r="D162" s="63">
        <f>VLOOKUP(E:E,'Product Category'!J:O,6,FALSE)</f>
        <v>117</v>
      </c>
      <c r="E162" s="41" t="s">
        <v>2151</v>
      </c>
      <c r="F162" s="63" t="str">
        <f>VLOOKUP(E:E,'Product Category'!J:K,2,FALSE)</f>
        <v>23-Milk</v>
      </c>
      <c r="G162" s="63" t="str">
        <f>VLOOKUP(F:F,'Product Category'!K:L,2,FALSE)</f>
        <v>3-Beverages</v>
      </c>
      <c r="H162" s="41" t="s">
        <v>2179</v>
      </c>
      <c r="I162" s="41" t="s">
        <v>2213</v>
      </c>
      <c r="J162" s="41" t="s">
        <v>4611</v>
      </c>
      <c r="K162" s="41" t="s">
        <v>4612</v>
      </c>
      <c r="L162" s="41">
        <v>350</v>
      </c>
      <c r="M162" s="41" t="s">
        <v>83</v>
      </c>
      <c r="N162" s="41" t="str">
        <f>VLOOKUP(M:M,Unit!B:C,2,0)</f>
        <v>g</v>
      </c>
      <c r="O162" s="41" t="s">
        <v>67</v>
      </c>
      <c r="P162" s="41">
        <v>6</v>
      </c>
      <c r="Q162" s="41" t="s">
        <v>95</v>
      </c>
      <c r="R162" s="41" t="str">
        <f>VLOOKUP(Q:Q,Unit!B:D,2,0)</f>
        <v>bottle</v>
      </c>
      <c r="S162" s="41" t="s">
        <v>75</v>
      </c>
      <c r="T162" s="41" t="str">
        <f>VLOOKUP(S:S,Promo!B:D,2,0)</f>
        <v>Promo EN</v>
      </c>
      <c r="X162" s="41">
        <v>97</v>
      </c>
      <c r="AB162" s="41" t="s">
        <v>91</v>
      </c>
      <c r="AG162" s="41" t="s">
        <v>71</v>
      </c>
      <c r="AH162" s="41" t="s">
        <v>71</v>
      </c>
      <c r="AI162" s="41" t="s">
        <v>71</v>
      </c>
      <c r="AJ162" s="41" t="s">
        <v>71</v>
      </c>
      <c r="AK162" s="41" t="s">
        <v>71</v>
      </c>
      <c r="AL162" s="41" t="s">
        <v>71</v>
      </c>
      <c r="AP162" s="41" t="s">
        <v>3588</v>
      </c>
      <c r="AU162" s="41" t="s">
        <v>2213</v>
      </c>
      <c r="AV162" s="41" t="s">
        <v>2179</v>
      </c>
      <c r="BS162" s="41" t="s">
        <v>2058</v>
      </c>
      <c r="BT162" s="41" t="s">
        <v>72</v>
      </c>
      <c r="BW162" s="41" t="s">
        <v>72</v>
      </c>
      <c r="BX162" s="41">
        <f>VLOOKUP(B:B,Brand!B:D,3,0)</f>
        <v>997</v>
      </c>
      <c r="BY162" s="41">
        <f>VLOOKUP(M:M,Unit!B:D,3,0)</f>
        <v>1</v>
      </c>
      <c r="BZ162" s="41">
        <f>VLOOKUP(S:S,Promo!B:D,3,0)</f>
        <v>0</v>
      </c>
    </row>
    <row r="163" spans="1:78" s="41" customFormat="1" ht="15.75" customHeight="1">
      <c r="A163" s="41">
        <v>210666</v>
      </c>
      <c r="B163" s="41" t="s">
        <v>987</v>
      </c>
      <c r="C163" s="65" t="str">
        <f>VLOOKUP(B:B,Brand!B:C,2,0)</f>
        <v>Meiji Bulgaria</v>
      </c>
      <c r="D163" s="63">
        <f>VLOOKUP(E:E,'Product Category'!J:O,6,FALSE)</f>
        <v>117</v>
      </c>
      <c r="E163" s="41" t="s">
        <v>2151</v>
      </c>
      <c r="F163" s="63" t="str">
        <f>VLOOKUP(E:E,'Product Category'!J:K,2,FALSE)</f>
        <v>23-Milk</v>
      </c>
      <c r="G163" s="63" t="str">
        <f>VLOOKUP(F:F,'Product Category'!K:L,2,FALSE)</f>
        <v>3-Beverages</v>
      </c>
      <c r="H163" s="41" t="s">
        <v>2237</v>
      </c>
      <c r="I163" s="41" t="s">
        <v>2238</v>
      </c>
      <c r="J163" s="41" t="s">
        <v>4952</v>
      </c>
      <c r="K163" s="41" t="s">
        <v>4953</v>
      </c>
      <c r="L163" s="41">
        <v>110</v>
      </c>
      <c r="M163" s="41" t="s">
        <v>66</v>
      </c>
      <c r="N163" s="41" t="str">
        <f>VLOOKUP(M:M,Unit!B:C,2,0)</f>
        <v>ml</v>
      </c>
      <c r="O163" s="41" t="s">
        <v>67</v>
      </c>
      <c r="P163" s="41">
        <v>4</v>
      </c>
      <c r="Q163" s="41" t="s">
        <v>68</v>
      </c>
      <c r="R163" s="41" t="str">
        <f>VLOOKUP(Q:Q,Unit!B:D,2,0)</f>
        <v>pc</v>
      </c>
      <c r="S163" s="41" t="s">
        <v>75</v>
      </c>
      <c r="T163" s="41" t="str">
        <f>VLOOKUP(S:S,Promo!B:D,2,0)</f>
        <v>Promo EN</v>
      </c>
      <c r="W163" s="41">
        <v>78</v>
      </c>
      <c r="X163" s="41">
        <v>75</v>
      </c>
      <c r="AB163" s="41" t="s">
        <v>2056</v>
      </c>
      <c r="AG163" s="41" t="s">
        <v>71</v>
      </c>
      <c r="AH163" s="41" t="s">
        <v>71</v>
      </c>
      <c r="AI163" s="41" t="s">
        <v>71</v>
      </c>
      <c r="AJ163" s="41" t="s">
        <v>71</v>
      </c>
      <c r="AK163" s="41" t="s">
        <v>71</v>
      </c>
      <c r="AL163" s="41" t="s">
        <v>71</v>
      </c>
      <c r="AU163" s="41" t="s">
        <v>2112</v>
      </c>
      <c r="AV163" s="41" t="s">
        <v>2239</v>
      </c>
      <c r="BS163" s="41" t="s">
        <v>2058</v>
      </c>
      <c r="BT163" s="41" t="s">
        <v>72</v>
      </c>
      <c r="BW163" s="41" t="s">
        <v>72</v>
      </c>
      <c r="BX163" s="41">
        <f>VLOOKUP(B:B,Brand!B:D,3,0)</f>
        <v>516</v>
      </c>
      <c r="BY163" s="41">
        <f>VLOOKUP(M:M,Unit!B:D,3,0)</f>
        <v>4</v>
      </c>
      <c r="BZ163" s="41">
        <f>VLOOKUP(S:S,Promo!B:D,3,0)</f>
        <v>0</v>
      </c>
    </row>
    <row r="164" spans="1:78" s="41" customFormat="1" ht="15.75" customHeight="1">
      <c r="A164" s="41">
        <v>210771</v>
      </c>
      <c r="B164" s="41" t="s">
        <v>987</v>
      </c>
      <c r="C164" s="65" t="str">
        <f>VLOOKUP(B:B,Brand!B:C,2,0)</f>
        <v>Meiji Bulgaria</v>
      </c>
      <c r="D164" s="63">
        <f>VLOOKUP(E:E,'Product Category'!J:O,6,FALSE)</f>
        <v>117</v>
      </c>
      <c r="E164" s="41" t="s">
        <v>2151</v>
      </c>
      <c r="F164" s="63" t="str">
        <f>VLOOKUP(E:E,'Product Category'!J:K,2,FALSE)</f>
        <v>23-Milk</v>
      </c>
      <c r="G164" s="63" t="str">
        <f>VLOOKUP(F:F,'Product Category'!K:L,2,FALSE)</f>
        <v>3-Beverages</v>
      </c>
      <c r="H164" s="41" t="s">
        <v>2240</v>
      </c>
      <c r="I164" s="41" t="s">
        <v>2241</v>
      </c>
      <c r="J164" s="41" t="s">
        <v>4954</v>
      </c>
      <c r="K164" s="41" t="s">
        <v>4955</v>
      </c>
      <c r="L164" s="41">
        <v>110</v>
      </c>
      <c r="M164" s="41" t="s">
        <v>66</v>
      </c>
      <c r="N164" s="41" t="str">
        <f>VLOOKUP(M:M,Unit!B:C,2,0)</f>
        <v>ml</v>
      </c>
      <c r="O164" s="41" t="s">
        <v>67</v>
      </c>
      <c r="P164" s="41">
        <v>4</v>
      </c>
      <c r="Q164" s="41" t="s">
        <v>68</v>
      </c>
      <c r="R164" s="41" t="str">
        <f>VLOOKUP(Q:Q,Unit!B:D,2,0)</f>
        <v>pc</v>
      </c>
      <c r="S164" s="41" t="s">
        <v>75</v>
      </c>
      <c r="T164" s="41" t="str">
        <f>VLOOKUP(S:S,Promo!B:D,2,0)</f>
        <v>Promo EN</v>
      </c>
      <c r="W164" s="41">
        <v>78</v>
      </c>
      <c r="X164" s="41">
        <v>75</v>
      </c>
      <c r="AB164" s="41" t="s">
        <v>2056</v>
      </c>
      <c r="AG164" s="41" t="s">
        <v>71</v>
      </c>
      <c r="AH164" s="41" t="s">
        <v>71</v>
      </c>
      <c r="AI164" s="41" t="s">
        <v>71</v>
      </c>
      <c r="AJ164" s="41" t="s">
        <v>71</v>
      </c>
      <c r="AK164" s="41" t="s">
        <v>71</v>
      </c>
      <c r="AL164" s="41" t="s">
        <v>71</v>
      </c>
      <c r="AU164" s="41" t="s">
        <v>2242</v>
      </c>
      <c r="AV164" s="41" t="s">
        <v>2243</v>
      </c>
      <c r="BS164" s="41" t="s">
        <v>2058</v>
      </c>
      <c r="BT164" s="41" t="s">
        <v>72</v>
      </c>
      <c r="BW164" s="41" t="s">
        <v>72</v>
      </c>
      <c r="BX164" s="41">
        <f>VLOOKUP(B:B,Brand!B:D,3,0)</f>
        <v>516</v>
      </c>
      <c r="BY164" s="41">
        <f>VLOOKUP(M:M,Unit!B:D,3,0)</f>
        <v>4</v>
      </c>
      <c r="BZ164" s="41">
        <f>VLOOKUP(S:S,Promo!B:D,3,0)</f>
        <v>0</v>
      </c>
    </row>
    <row r="165" spans="1:78" s="41" customFormat="1" ht="15.75" customHeight="1">
      <c r="A165" s="41">
        <v>229703</v>
      </c>
      <c r="B165" s="41" t="s">
        <v>987</v>
      </c>
      <c r="C165" s="65" t="str">
        <f>VLOOKUP(B:B,Brand!B:C,2,0)</f>
        <v>Meiji Bulgaria</v>
      </c>
      <c r="D165" s="63">
        <f>VLOOKUP(E:E,'Product Category'!J:O,6,FALSE)</f>
        <v>117</v>
      </c>
      <c r="E165" s="41" t="s">
        <v>2151</v>
      </c>
      <c r="F165" s="63" t="str">
        <f>VLOOKUP(E:E,'Product Category'!J:K,2,FALSE)</f>
        <v>23-Milk</v>
      </c>
      <c r="G165" s="63" t="str">
        <f>VLOOKUP(F:F,'Product Category'!K:L,2,FALSE)</f>
        <v>3-Beverages</v>
      </c>
      <c r="H165" s="41" t="s">
        <v>2244</v>
      </c>
      <c r="I165" s="41" t="s">
        <v>2245</v>
      </c>
      <c r="J165" s="41" t="s">
        <v>4956</v>
      </c>
      <c r="K165" s="41" t="s">
        <v>4957</v>
      </c>
      <c r="L165" s="41">
        <v>110</v>
      </c>
      <c r="M165" s="41" t="s">
        <v>66</v>
      </c>
      <c r="N165" s="41" t="str">
        <f>VLOOKUP(M:M,Unit!B:C,2,0)</f>
        <v>ml</v>
      </c>
      <c r="O165" s="41" t="s">
        <v>67</v>
      </c>
      <c r="P165" s="41">
        <v>4</v>
      </c>
      <c r="Q165" s="41" t="s">
        <v>68</v>
      </c>
      <c r="R165" s="41" t="str">
        <f>VLOOKUP(Q:Q,Unit!B:D,2,0)</f>
        <v>pc</v>
      </c>
      <c r="S165" s="41" t="s">
        <v>75</v>
      </c>
      <c r="T165" s="41" t="str">
        <f>VLOOKUP(S:S,Promo!B:D,2,0)</f>
        <v>Promo EN</v>
      </c>
      <c r="W165" s="41">
        <v>78</v>
      </c>
      <c r="X165" s="41">
        <v>75</v>
      </c>
      <c r="AB165" s="41" t="s">
        <v>2056</v>
      </c>
      <c r="AG165" s="41" t="s">
        <v>71</v>
      </c>
      <c r="AH165" s="41" t="s">
        <v>71</v>
      </c>
      <c r="AI165" s="41" t="s">
        <v>71</v>
      </c>
      <c r="AJ165" s="41" t="s">
        <v>71</v>
      </c>
      <c r="AK165" s="41" t="s">
        <v>71</v>
      </c>
      <c r="AL165" s="41" t="s">
        <v>71</v>
      </c>
      <c r="AU165" s="41" t="s">
        <v>2246</v>
      </c>
      <c r="AV165" s="41" t="s">
        <v>2247</v>
      </c>
      <c r="BS165" s="41" t="s">
        <v>2058</v>
      </c>
      <c r="BT165" s="41" t="s">
        <v>72</v>
      </c>
      <c r="BW165" s="41" t="s">
        <v>72</v>
      </c>
      <c r="BX165" s="41">
        <f>VLOOKUP(B:B,Brand!B:D,3,0)</f>
        <v>516</v>
      </c>
      <c r="BY165" s="41">
        <f>VLOOKUP(M:M,Unit!B:D,3,0)</f>
        <v>4</v>
      </c>
      <c r="BZ165" s="41">
        <f>VLOOKUP(S:S,Promo!B:D,3,0)</f>
        <v>0</v>
      </c>
    </row>
    <row r="166" spans="1:78" s="41" customFormat="1" ht="15.75" customHeight="1">
      <c r="A166" s="41">
        <v>109695</v>
      </c>
      <c r="B166" s="41" t="s">
        <v>2550</v>
      </c>
      <c r="C166" s="65" t="str">
        <f>VLOOKUP(B:B,Brand!B:C,2,0)</f>
        <v>Super</v>
      </c>
      <c r="D166" s="63">
        <f>VLOOKUP(E:E,'Product Category'!J:O,6,FALSE)</f>
        <v>118</v>
      </c>
      <c r="E166" s="41" t="s">
        <v>2069</v>
      </c>
      <c r="F166" s="63" t="str">
        <f>VLOOKUP(E:E,'Product Category'!J:K,2,FALSE)</f>
        <v>24-Coffee &amp; Cream</v>
      </c>
      <c r="G166" s="63" t="str">
        <f>VLOOKUP(F:F,'Product Category'!K:L,2,FALSE)</f>
        <v>3-Beverages</v>
      </c>
      <c r="H166" s="41" t="s">
        <v>3488</v>
      </c>
      <c r="I166" s="41" t="s">
        <v>3489</v>
      </c>
      <c r="J166" s="41" t="s">
        <v>4557</v>
      </c>
      <c r="K166" s="41" t="s">
        <v>4558</v>
      </c>
      <c r="L166" s="41">
        <v>20</v>
      </c>
      <c r="M166" s="41" t="s">
        <v>83</v>
      </c>
      <c r="N166" s="41" t="str">
        <f>VLOOKUP(M:M,Unit!B:C,2,0)</f>
        <v>g</v>
      </c>
      <c r="O166" s="41" t="s">
        <v>67</v>
      </c>
      <c r="P166" s="41">
        <v>25</v>
      </c>
      <c r="Q166" s="41" t="s">
        <v>135</v>
      </c>
      <c r="R166" s="41" t="str">
        <f>VLOOKUP(Q:Q,Unit!B:D,2,0)</f>
        <v>g</v>
      </c>
      <c r="S166" s="41" t="s">
        <v>75</v>
      </c>
      <c r="T166" s="41" t="str">
        <f>VLOOKUP(S:S,Promo!B:D,2,0)</f>
        <v>Promo EN</v>
      </c>
      <c r="X166" s="41">
        <v>74</v>
      </c>
      <c r="AB166" s="41" t="s">
        <v>91</v>
      </c>
      <c r="AF166" s="41" t="s">
        <v>3373</v>
      </c>
      <c r="AG166" s="41" t="s">
        <v>71</v>
      </c>
      <c r="AH166" s="41" t="s">
        <v>71</v>
      </c>
      <c r="AI166" s="41" t="s">
        <v>71</v>
      </c>
      <c r="AJ166" s="41" t="s">
        <v>71</v>
      </c>
      <c r="AK166" s="41" t="s">
        <v>71</v>
      </c>
      <c r="AL166" s="41" t="s">
        <v>71</v>
      </c>
      <c r="AP166" s="41" t="s">
        <v>3490</v>
      </c>
      <c r="AU166" s="41" t="s">
        <v>2360</v>
      </c>
      <c r="AV166" s="41" t="s">
        <v>2185</v>
      </c>
      <c r="BS166" s="41" t="s">
        <v>2058</v>
      </c>
      <c r="BT166" s="41" t="s">
        <v>72</v>
      </c>
      <c r="BW166" s="41" t="s">
        <v>72</v>
      </c>
      <c r="BX166" s="41">
        <f>VLOOKUP(B:B,Brand!B:D,3,0)</f>
        <v>1035</v>
      </c>
      <c r="BY166" s="41">
        <f>VLOOKUP(M:M,Unit!B:D,3,0)</f>
        <v>1</v>
      </c>
      <c r="BZ166" s="41">
        <f>VLOOKUP(S:S,Promo!B:D,3,0)</f>
        <v>0</v>
      </c>
    </row>
    <row r="167" spans="1:78" s="41" customFormat="1" ht="15.75" customHeight="1">
      <c r="A167" s="41">
        <v>803173</v>
      </c>
      <c r="B167" s="41" t="s">
        <v>1279</v>
      </c>
      <c r="C167" s="65" t="str">
        <f>VLOOKUP(B:B,Brand!B:C,2,0)</f>
        <v>Essenso</v>
      </c>
      <c r="D167" s="63">
        <f>VLOOKUP(E:E,'Product Category'!J:O,6,FALSE)</f>
        <v>118</v>
      </c>
      <c r="E167" s="41" t="s">
        <v>2069</v>
      </c>
      <c r="F167" s="63" t="str">
        <f>VLOOKUP(E:E,'Product Category'!J:K,2,FALSE)</f>
        <v>24-Coffee &amp; Cream</v>
      </c>
      <c r="G167" s="63" t="str">
        <f>VLOOKUP(F:F,'Product Category'!K:L,2,FALSE)</f>
        <v>3-Beverages</v>
      </c>
      <c r="H167" s="41" t="s">
        <v>3491</v>
      </c>
      <c r="I167" s="41" t="s">
        <v>3492</v>
      </c>
      <c r="J167" s="41" t="s">
        <v>4559</v>
      </c>
      <c r="K167" s="41" t="s">
        <v>4560</v>
      </c>
      <c r="L167" s="41">
        <v>22</v>
      </c>
      <c r="M167" s="41" t="s">
        <v>83</v>
      </c>
      <c r="N167" s="41" t="str">
        <f>VLOOKUP(M:M,Unit!B:C,2,0)</f>
        <v>g</v>
      </c>
      <c r="O167" s="41" t="s">
        <v>67</v>
      </c>
      <c r="P167" s="41">
        <v>25</v>
      </c>
      <c r="Q167" s="41" t="s">
        <v>135</v>
      </c>
      <c r="R167" s="41" t="str">
        <f>VLOOKUP(Q:Q,Unit!B:D,2,0)</f>
        <v>g</v>
      </c>
      <c r="S167" s="41" t="s">
        <v>75</v>
      </c>
      <c r="T167" s="41" t="str">
        <f>VLOOKUP(S:S,Promo!B:D,2,0)</f>
        <v>Promo EN</v>
      </c>
      <c r="X167" s="41">
        <v>135</v>
      </c>
      <c r="AB167" s="41" t="s">
        <v>91</v>
      </c>
      <c r="AF167" s="41" t="s">
        <v>3373</v>
      </c>
      <c r="AG167" s="41" t="s">
        <v>71</v>
      </c>
      <c r="AH167" s="41" t="s">
        <v>71</v>
      </c>
      <c r="AI167" s="41" t="s">
        <v>71</v>
      </c>
      <c r="AJ167" s="41" t="s">
        <v>71</v>
      </c>
      <c r="AK167" s="41" t="s">
        <v>71</v>
      </c>
      <c r="AL167" s="41" t="s">
        <v>71</v>
      </c>
      <c r="AP167" s="41" t="s">
        <v>3490</v>
      </c>
      <c r="BS167" s="41" t="s">
        <v>2058</v>
      </c>
      <c r="BT167" s="41" t="s">
        <v>72</v>
      </c>
      <c r="BW167" s="41" t="s">
        <v>72</v>
      </c>
      <c r="BX167" s="41">
        <f>VLOOKUP(B:B,Brand!B:D,3,0)</f>
        <v>702</v>
      </c>
      <c r="BY167" s="41">
        <f>VLOOKUP(M:M,Unit!B:D,3,0)</f>
        <v>1</v>
      </c>
      <c r="BZ167" s="41">
        <f>VLOOKUP(S:S,Promo!B:D,3,0)</f>
        <v>0</v>
      </c>
    </row>
    <row r="168" spans="1:78" s="41" customFormat="1" ht="15.75" customHeight="1">
      <c r="A168" s="41">
        <v>819199</v>
      </c>
      <c r="B168" s="41" t="s">
        <v>2491</v>
      </c>
      <c r="C168" s="65" t="str">
        <f>VLOOKUP(B:B,Brand!B:C,2,0)</f>
        <v>Kopiko</v>
      </c>
      <c r="D168" s="63">
        <f>VLOOKUP(E:E,'Product Category'!J:O,6,FALSE)</f>
        <v>118</v>
      </c>
      <c r="E168" s="41" t="s">
        <v>2069</v>
      </c>
      <c r="F168" s="63" t="str">
        <f>VLOOKUP(E:E,'Product Category'!J:K,2,FALSE)</f>
        <v>24-Coffee &amp; Cream</v>
      </c>
      <c r="G168" s="63" t="str">
        <f>VLOOKUP(F:F,'Product Category'!K:L,2,FALSE)</f>
        <v>3-Beverages</v>
      </c>
      <c r="H168" s="41" t="s">
        <v>3616</v>
      </c>
      <c r="I168" s="41" t="s">
        <v>3617</v>
      </c>
      <c r="J168" s="41" t="s">
        <v>4627</v>
      </c>
      <c r="K168" s="41" t="s">
        <v>4628</v>
      </c>
      <c r="L168" s="41">
        <v>240</v>
      </c>
      <c r="M168" s="41" t="s">
        <v>66</v>
      </c>
      <c r="N168" s="41" t="str">
        <f>VLOOKUP(M:M,Unit!B:C,2,0)</f>
        <v>ml</v>
      </c>
      <c r="O168" s="41" t="s">
        <v>67</v>
      </c>
      <c r="P168" s="41">
        <v>24</v>
      </c>
      <c r="Q168" s="41" t="s">
        <v>95</v>
      </c>
      <c r="R168" s="41" t="str">
        <f>VLOOKUP(Q:Q,Unit!B:D,2,0)</f>
        <v>bottle</v>
      </c>
      <c r="S168" s="41" t="s">
        <v>75</v>
      </c>
      <c r="T168" s="41" t="str">
        <f>VLOOKUP(S:S,Promo!B:D,2,0)</f>
        <v>Promo EN</v>
      </c>
      <c r="W168" s="41">
        <v>244</v>
      </c>
      <c r="X168" s="41">
        <v>177</v>
      </c>
      <c r="AB168" s="41" t="s">
        <v>91</v>
      </c>
      <c r="AG168" s="41" t="s">
        <v>71</v>
      </c>
      <c r="AH168" s="41" t="s">
        <v>71</v>
      </c>
      <c r="AI168" s="41" t="s">
        <v>71</v>
      </c>
      <c r="AJ168" s="41" t="s">
        <v>71</v>
      </c>
      <c r="AK168" s="41" t="s">
        <v>71</v>
      </c>
      <c r="AL168" s="41" t="s">
        <v>71</v>
      </c>
      <c r="AU168" s="41" t="s">
        <v>3618</v>
      </c>
      <c r="AV168" s="41" t="s">
        <v>3619</v>
      </c>
      <c r="BS168" s="41" t="s">
        <v>2058</v>
      </c>
      <c r="BT168" s="41" t="s">
        <v>72</v>
      </c>
      <c r="BW168" s="41" t="s">
        <v>72</v>
      </c>
      <c r="BX168" s="41">
        <f>VLOOKUP(B:B,Brand!B:D,3,0)</f>
        <v>36</v>
      </c>
      <c r="BY168" s="41">
        <f>VLOOKUP(M:M,Unit!B:D,3,0)</f>
        <v>4</v>
      </c>
      <c r="BZ168" s="41">
        <f>VLOOKUP(S:S,Promo!B:D,3,0)</f>
        <v>0</v>
      </c>
    </row>
    <row r="169" spans="1:78" s="41" customFormat="1" ht="15.75" customHeight="1">
      <c r="A169" s="41">
        <v>150989</v>
      </c>
      <c r="B169" s="41" t="s">
        <v>769</v>
      </c>
      <c r="C169" s="65" t="str">
        <f>VLOOKUP(B:B,Brand!B:C,2,0)</f>
        <v>Birdy</v>
      </c>
      <c r="D169" s="63">
        <f>VLOOKUP(E:E,'Product Category'!J:O,6,FALSE)</f>
        <v>118</v>
      </c>
      <c r="E169" s="41" t="s">
        <v>2069</v>
      </c>
      <c r="F169" s="63" t="str">
        <f>VLOOKUP(E:E,'Product Category'!J:K,2,FALSE)</f>
        <v>24-Coffee &amp; Cream</v>
      </c>
      <c r="G169" s="63" t="str">
        <f>VLOOKUP(F:F,'Product Category'!K:L,2,FALSE)</f>
        <v>3-Beverages</v>
      </c>
      <c r="H169" s="41" t="s">
        <v>3763</v>
      </c>
      <c r="I169" s="41" t="s">
        <v>3764</v>
      </c>
      <c r="J169" s="41" t="s">
        <v>4757</v>
      </c>
      <c r="K169" s="41" t="s">
        <v>4758</v>
      </c>
      <c r="L169" s="41">
        <v>16.5</v>
      </c>
      <c r="M169" s="41" t="s">
        <v>83</v>
      </c>
      <c r="N169" s="41" t="str">
        <f>VLOOKUP(M:M,Unit!B:C,2,0)</f>
        <v>g</v>
      </c>
      <c r="O169" s="41" t="s">
        <v>67</v>
      </c>
      <c r="P169" s="41">
        <v>60</v>
      </c>
      <c r="Q169" s="41" t="s">
        <v>68</v>
      </c>
      <c r="R169" s="41" t="str">
        <f>VLOOKUP(Q:Q,Unit!B:D,2,0)</f>
        <v>pc</v>
      </c>
      <c r="S169" s="41" t="s">
        <v>75</v>
      </c>
      <c r="T169" s="41" t="str">
        <f>VLOOKUP(S:S,Promo!B:D,2,0)</f>
        <v>Promo EN</v>
      </c>
      <c r="W169" s="41">
        <v>159</v>
      </c>
      <c r="X169" s="41">
        <v>157</v>
      </c>
      <c r="AB169" s="41" t="s">
        <v>91</v>
      </c>
      <c r="AG169" s="41" t="s">
        <v>71</v>
      </c>
      <c r="AH169" s="41" t="s">
        <v>1846</v>
      </c>
      <c r="AI169" s="41" t="s">
        <v>71</v>
      </c>
      <c r="AJ169" s="41" t="s">
        <v>71</v>
      </c>
      <c r="AK169" s="41" t="s">
        <v>71</v>
      </c>
      <c r="AL169" s="41" t="s">
        <v>71</v>
      </c>
      <c r="AU169" s="41" t="s">
        <v>3765</v>
      </c>
      <c r="AV169" s="41" t="s">
        <v>3766</v>
      </c>
      <c r="BS169" s="41" t="s">
        <v>2058</v>
      </c>
      <c r="BT169" s="41" t="s">
        <v>72</v>
      </c>
      <c r="BW169" s="41" t="s">
        <v>72</v>
      </c>
      <c r="BX169" s="41">
        <f>VLOOKUP(B:B,Brand!B:D,3,0)</f>
        <v>369</v>
      </c>
      <c r="BY169" s="41">
        <f>VLOOKUP(M:M,Unit!B:D,3,0)</f>
        <v>1</v>
      </c>
      <c r="BZ169" s="41">
        <f>VLOOKUP(S:S,Promo!B:D,3,0)</f>
        <v>0</v>
      </c>
    </row>
    <row r="170" spans="1:78" s="41" customFormat="1" ht="15.75" customHeight="1">
      <c r="A170" s="41">
        <v>811423</v>
      </c>
      <c r="B170" s="41" t="s">
        <v>696</v>
      </c>
      <c r="C170" s="65" t="str">
        <f>VLOOKUP(B:B,Brand!B:C,2,0)</f>
        <v>Nescafe</v>
      </c>
      <c r="D170" s="63">
        <f>VLOOKUP(E:E,'Product Category'!J:O,6,FALSE)</f>
        <v>118</v>
      </c>
      <c r="E170" s="41" t="s">
        <v>2069</v>
      </c>
      <c r="F170" s="63" t="str">
        <f>VLOOKUP(E:E,'Product Category'!J:K,2,FALSE)</f>
        <v>24-Coffee &amp; Cream</v>
      </c>
      <c r="G170" s="63" t="str">
        <f>VLOOKUP(F:F,'Product Category'!K:L,2,FALSE)</f>
        <v>3-Beverages</v>
      </c>
      <c r="H170" s="41" t="s">
        <v>4013</v>
      </c>
      <c r="I170" s="41" t="s">
        <v>4014</v>
      </c>
      <c r="J170" s="41" t="s">
        <v>4893</v>
      </c>
      <c r="K170" s="41" t="s">
        <v>4894</v>
      </c>
      <c r="L170" s="41">
        <v>19.399999999999999</v>
      </c>
      <c r="M170" s="41" t="s">
        <v>83</v>
      </c>
      <c r="N170" s="41" t="str">
        <f>VLOOKUP(M:M,Unit!B:C,2,0)</f>
        <v>g</v>
      </c>
      <c r="O170" s="41" t="s">
        <v>67</v>
      </c>
      <c r="P170" s="41">
        <v>27</v>
      </c>
      <c r="Q170" s="41" t="s">
        <v>135</v>
      </c>
      <c r="R170" s="41" t="str">
        <f>VLOOKUP(Q:Q,Unit!B:D,2,0)</f>
        <v>g</v>
      </c>
      <c r="S170" s="41" t="s">
        <v>75</v>
      </c>
      <c r="T170" s="41" t="str">
        <f>VLOOKUP(S:S,Promo!B:D,2,0)</f>
        <v>Promo EN</v>
      </c>
      <c r="X170" s="41">
        <v>92</v>
      </c>
      <c r="AB170" s="41" t="s">
        <v>91</v>
      </c>
      <c r="AG170" s="41" t="s">
        <v>71</v>
      </c>
      <c r="AH170" s="41" t="s">
        <v>71</v>
      </c>
      <c r="AI170" s="41" t="s">
        <v>71</v>
      </c>
      <c r="AJ170" s="41" t="s">
        <v>71</v>
      </c>
      <c r="AK170" s="41" t="s">
        <v>71</v>
      </c>
      <c r="AL170" s="41" t="s">
        <v>71</v>
      </c>
      <c r="AP170" s="41" t="s">
        <v>4015</v>
      </c>
      <c r="AU170" s="41" t="s">
        <v>4016</v>
      </c>
      <c r="AV170" s="41" t="s">
        <v>4017</v>
      </c>
      <c r="BS170" s="41" t="s">
        <v>2058</v>
      </c>
      <c r="BT170" s="41" t="s">
        <v>72</v>
      </c>
      <c r="BW170" s="41" t="s">
        <v>72</v>
      </c>
      <c r="BX170" s="41">
        <f>VLOOKUP(B:B,Brand!B:D,3,0)</f>
        <v>322</v>
      </c>
      <c r="BY170" s="41">
        <f>VLOOKUP(M:M,Unit!B:D,3,0)</f>
        <v>1</v>
      </c>
      <c r="BZ170" s="41">
        <f>VLOOKUP(S:S,Promo!B:D,3,0)</f>
        <v>0</v>
      </c>
    </row>
    <row r="171" spans="1:78" s="41" customFormat="1" ht="15.75" customHeight="1">
      <c r="A171" s="41">
        <v>173921</v>
      </c>
      <c r="B171" s="41" t="s">
        <v>696</v>
      </c>
      <c r="C171" s="65" t="str">
        <f>VLOOKUP(B:B,Brand!B:C,2,0)</f>
        <v>Nescafe</v>
      </c>
      <c r="D171" s="63">
        <f>VLOOKUP(E:E,'Product Category'!J:O,6,FALSE)</f>
        <v>118</v>
      </c>
      <c r="E171" s="41" t="s">
        <v>2069</v>
      </c>
      <c r="F171" s="63" t="str">
        <f>VLOOKUP(E:E,'Product Category'!J:K,2,FALSE)</f>
        <v>24-Coffee &amp; Cream</v>
      </c>
      <c r="G171" s="63" t="str">
        <f>VLOOKUP(F:F,'Product Category'!K:L,2,FALSE)</f>
        <v>3-Beverages</v>
      </c>
      <c r="H171" s="41" t="s">
        <v>4024</v>
      </c>
      <c r="I171" s="41" t="s">
        <v>4025</v>
      </c>
      <c r="J171" s="41" t="s">
        <v>4899</v>
      </c>
      <c r="K171" s="41" t="s">
        <v>4900</v>
      </c>
      <c r="L171" s="41">
        <v>19.399999999999999</v>
      </c>
      <c r="M171" s="41" t="s">
        <v>83</v>
      </c>
      <c r="N171" s="41" t="str">
        <f>VLOOKUP(M:M,Unit!B:C,2,0)</f>
        <v>g</v>
      </c>
      <c r="O171" s="41" t="s">
        <v>67</v>
      </c>
      <c r="P171" s="41">
        <v>60</v>
      </c>
      <c r="Q171" s="41" t="s">
        <v>135</v>
      </c>
      <c r="R171" s="41" t="str">
        <f>VLOOKUP(Q:Q,Unit!B:D,2,0)</f>
        <v>g</v>
      </c>
      <c r="S171" s="41" t="s">
        <v>75</v>
      </c>
      <c r="T171" s="41" t="str">
        <f>VLOOKUP(S:S,Promo!B:D,2,0)</f>
        <v>Promo EN</v>
      </c>
      <c r="X171" s="41">
        <v>184</v>
      </c>
      <c r="AB171" s="41" t="s">
        <v>91</v>
      </c>
      <c r="AG171" s="41" t="s">
        <v>71</v>
      </c>
      <c r="AH171" s="41" t="s">
        <v>1846</v>
      </c>
      <c r="AI171" s="41" t="s">
        <v>71</v>
      </c>
      <c r="AJ171" s="41" t="s">
        <v>71</v>
      </c>
      <c r="AK171" s="41" t="s">
        <v>71</v>
      </c>
      <c r="AL171" s="41" t="s">
        <v>71</v>
      </c>
      <c r="AP171" s="41" t="s">
        <v>4015</v>
      </c>
      <c r="BS171" s="41" t="s">
        <v>2058</v>
      </c>
      <c r="BT171" s="41" t="s">
        <v>72</v>
      </c>
      <c r="BW171" s="41" t="s">
        <v>72</v>
      </c>
      <c r="BX171" s="41">
        <f>VLOOKUP(B:B,Brand!B:D,3,0)</f>
        <v>322</v>
      </c>
      <c r="BY171" s="41">
        <f>VLOOKUP(M:M,Unit!B:D,3,0)</f>
        <v>1</v>
      </c>
      <c r="BZ171" s="41">
        <f>VLOOKUP(S:S,Promo!B:D,3,0)</f>
        <v>0</v>
      </c>
    </row>
    <row r="172" spans="1:78" s="41" customFormat="1" ht="15.75" customHeight="1">
      <c r="A172" s="41">
        <v>817078</v>
      </c>
      <c r="B172" s="41" t="s">
        <v>696</v>
      </c>
      <c r="C172" s="65" t="str">
        <f>VLOOKUP(B:B,Brand!B:C,2,0)</f>
        <v>Nescafe</v>
      </c>
      <c r="D172" s="63">
        <f>VLOOKUP(E:E,'Product Category'!J:O,6,FALSE)</f>
        <v>118</v>
      </c>
      <c r="E172" s="41" t="s">
        <v>2069</v>
      </c>
      <c r="F172" s="63" t="str">
        <f>VLOOKUP(E:E,'Product Category'!J:K,2,FALSE)</f>
        <v>24-Coffee &amp; Cream</v>
      </c>
      <c r="G172" s="63" t="str">
        <f>VLOOKUP(F:F,'Product Category'!K:L,2,FALSE)</f>
        <v>3-Beverages</v>
      </c>
      <c r="H172" s="41" t="s">
        <v>4028</v>
      </c>
      <c r="I172" s="41" t="s">
        <v>4029</v>
      </c>
      <c r="J172" s="41" t="s">
        <v>4903</v>
      </c>
      <c r="K172" s="41" t="s">
        <v>4904</v>
      </c>
      <c r="L172" s="41">
        <v>20.5</v>
      </c>
      <c r="M172" s="41" t="s">
        <v>83</v>
      </c>
      <c r="N172" s="41" t="str">
        <f>VLOOKUP(M:M,Unit!B:C,2,0)</f>
        <v>g</v>
      </c>
      <c r="O172" s="41" t="s">
        <v>67</v>
      </c>
      <c r="P172" s="41">
        <v>10</v>
      </c>
      <c r="Q172" s="41" t="s">
        <v>135</v>
      </c>
      <c r="R172" s="41" t="str">
        <f>VLOOKUP(Q:Q,Unit!B:D,2,0)</f>
        <v>g</v>
      </c>
      <c r="S172" s="41" t="s">
        <v>75</v>
      </c>
      <c r="T172" s="41" t="str">
        <f>VLOOKUP(S:S,Promo!B:D,2,0)</f>
        <v>Promo EN</v>
      </c>
      <c r="X172" s="41">
        <v>95</v>
      </c>
      <c r="AB172" s="41" t="s">
        <v>91</v>
      </c>
      <c r="AG172" s="41" t="s">
        <v>71</v>
      </c>
      <c r="AH172" s="41" t="s">
        <v>71</v>
      </c>
      <c r="AI172" s="41" t="s">
        <v>71</v>
      </c>
      <c r="AJ172" s="41" t="s">
        <v>71</v>
      </c>
      <c r="AK172" s="41" t="s">
        <v>71</v>
      </c>
      <c r="AL172" s="41" t="s">
        <v>71</v>
      </c>
      <c r="AP172" s="41" t="s">
        <v>4015</v>
      </c>
      <c r="BS172" s="41" t="s">
        <v>2058</v>
      </c>
      <c r="BT172" s="41" t="s">
        <v>72</v>
      </c>
      <c r="BW172" s="41" t="s">
        <v>72</v>
      </c>
      <c r="BX172" s="41">
        <f>VLOOKUP(B:B,Brand!B:D,3,0)</f>
        <v>322</v>
      </c>
      <c r="BY172" s="41">
        <f>VLOOKUP(M:M,Unit!B:D,3,0)</f>
        <v>1</v>
      </c>
      <c r="BZ172" s="41">
        <f>VLOOKUP(S:S,Promo!B:D,3,0)</f>
        <v>0</v>
      </c>
    </row>
    <row r="173" spans="1:78" s="41" customFormat="1" ht="15.75" customHeight="1">
      <c r="A173" s="41">
        <v>817079</v>
      </c>
      <c r="B173" s="41" t="s">
        <v>696</v>
      </c>
      <c r="C173" s="65" t="str">
        <f>VLOOKUP(B:B,Brand!B:C,2,0)</f>
        <v>Nescafe</v>
      </c>
      <c r="D173" s="63">
        <f>VLOOKUP(E:E,'Product Category'!J:O,6,FALSE)</f>
        <v>118</v>
      </c>
      <c r="E173" s="41" t="s">
        <v>2069</v>
      </c>
      <c r="F173" s="63" t="str">
        <f>VLOOKUP(E:E,'Product Category'!J:K,2,FALSE)</f>
        <v>24-Coffee &amp; Cream</v>
      </c>
      <c r="G173" s="63" t="str">
        <f>VLOOKUP(F:F,'Product Category'!K:L,2,FALSE)</f>
        <v>3-Beverages</v>
      </c>
      <c r="H173" s="41" t="s">
        <v>4030</v>
      </c>
      <c r="I173" s="41" t="s">
        <v>4031</v>
      </c>
      <c r="J173" s="41" t="s">
        <v>4905</v>
      </c>
      <c r="K173" s="41" t="s">
        <v>4906</v>
      </c>
      <c r="L173" s="41">
        <v>20.5</v>
      </c>
      <c r="M173" s="41" t="s">
        <v>83</v>
      </c>
      <c r="N173" s="41" t="str">
        <f>VLOOKUP(M:M,Unit!B:C,2,0)</f>
        <v>g</v>
      </c>
      <c r="O173" s="41" t="s">
        <v>67</v>
      </c>
      <c r="P173" s="41">
        <v>10</v>
      </c>
      <c r="Q173" s="41" t="s">
        <v>135</v>
      </c>
      <c r="R173" s="41" t="str">
        <f>VLOOKUP(Q:Q,Unit!B:D,2,0)</f>
        <v>g</v>
      </c>
      <c r="S173" s="41" t="s">
        <v>75</v>
      </c>
      <c r="T173" s="41" t="str">
        <f>VLOOKUP(S:S,Promo!B:D,2,0)</f>
        <v>Promo EN</v>
      </c>
      <c r="X173" s="41">
        <v>95</v>
      </c>
      <c r="AB173" s="41" t="s">
        <v>91</v>
      </c>
      <c r="AG173" s="41" t="s">
        <v>71</v>
      </c>
      <c r="AH173" s="41" t="s">
        <v>71</v>
      </c>
      <c r="AI173" s="41" t="s">
        <v>71</v>
      </c>
      <c r="AJ173" s="41" t="s">
        <v>71</v>
      </c>
      <c r="AK173" s="41" t="s">
        <v>71</v>
      </c>
      <c r="AL173" s="41" t="s">
        <v>71</v>
      </c>
      <c r="AP173" s="41" t="s">
        <v>4015</v>
      </c>
      <c r="BS173" s="41" t="s">
        <v>2058</v>
      </c>
      <c r="BT173" s="41" t="s">
        <v>72</v>
      </c>
      <c r="BW173" s="41" t="s">
        <v>72</v>
      </c>
      <c r="BX173" s="41">
        <f>VLOOKUP(B:B,Brand!B:D,3,0)</f>
        <v>322</v>
      </c>
      <c r="BY173" s="41">
        <f>VLOOKUP(M:M,Unit!B:D,3,0)</f>
        <v>1</v>
      </c>
      <c r="BZ173" s="41">
        <f>VLOOKUP(S:S,Promo!B:D,3,0)</f>
        <v>0</v>
      </c>
    </row>
    <row r="174" spans="1:78" s="41" customFormat="1" ht="15.75" customHeight="1">
      <c r="A174" s="41">
        <v>817080</v>
      </c>
      <c r="B174" s="41" t="s">
        <v>696</v>
      </c>
      <c r="C174" s="65" t="str">
        <f>VLOOKUP(B:B,Brand!B:C,2,0)</f>
        <v>Nescafe</v>
      </c>
      <c r="D174" s="63">
        <f>VLOOKUP(E:E,'Product Category'!J:O,6,FALSE)</f>
        <v>118</v>
      </c>
      <c r="E174" s="41" t="s">
        <v>2069</v>
      </c>
      <c r="F174" s="63" t="str">
        <f>VLOOKUP(E:E,'Product Category'!J:K,2,FALSE)</f>
        <v>24-Coffee &amp; Cream</v>
      </c>
      <c r="G174" s="63" t="str">
        <f>VLOOKUP(F:F,'Product Category'!K:L,2,FALSE)</f>
        <v>3-Beverages</v>
      </c>
      <c r="H174" s="41" t="s">
        <v>4032</v>
      </c>
      <c r="I174" s="41" t="s">
        <v>4033</v>
      </c>
      <c r="J174" s="41" t="s">
        <v>4907</v>
      </c>
      <c r="K174" s="41" t="s">
        <v>4908</v>
      </c>
      <c r="L174" s="41">
        <v>20.5</v>
      </c>
      <c r="M174" s="41" t="s">
        <v>83</v>
      </c>
      <c r="N174" s="41" t="str">
        <f>VLOOKUP(M:M,Unit!B:C,2,0)</f>
        <v>g</v>
      </c>
      <c r="O174" s="41" t="s">
        <v>67</v>
      </c>
      <c r="P174" s="41">
        <v>10</v>
      </c>
      <c r="Q174" s="41" t="s">
        <v>135</v>
      </c>
      <c r="R174" s="41" t="str">
        <f>VLOOKUP(Q:Q,Unit!B:D,2,0)</f>
        <v>g</v>
      </c>
      <c r="S174" s="41" t="s">
        <v>75</v>
      </c>
      <c r="T174" s="41" t="str">
        <f>VLOOKUP(S:S,Promo!B:D,2,0)</f>
        <v>Promo EN</v>
      </c>
      <c r="X174" s="41">
        <v>95</v>
      </c>
      <c r="AB174" s="41" t="s">
        <v>91</v>
      </c>
      <c r="AG174" s="41" t="s">
        <v>71</v>
      </c>
      <c r="AH174" s="41" t="s">
        <v>71</v>
      </c>
      <c r="AI174" s="41" t="s">
        <v>71</v>
      </c>
      <c r="AJ174" s="41" t="s">
        <v>71</v>
      </c>
      <c r="AK174" s="41" t="s">
        <v>71</v>
      </c>
      <c r="AL174" s="41" t="s">
        <v>71</v>
      </c>
      <c r="AP174" s="41" t="s">
        <v>4015</v>
      </c>
      <c r="BS174" s="41" t="s">
        <v>2058</v>
      </c>
      <c r="BT174" s="41" t="s">
        <v>72</v>
      </c>
      <c r="BW174" s="41" t="s">
        <v>72</v>
      </c>
      <c r="BX174" s="41">
        <f>VLOOKUP(B:B,Brand!B:D,3,0)</f>
        <v>322</v>
      </c>
      <c r="BY174" s="41">
        <f>VLOOKUP(M:M,Unit!B:D,3,0)</f>
        <v>1</v>
      </c>
      <c r="BZ174" s="41">
        <f>VLOOKUP(S:S,Promo!B:D,3,0)</f>
        <v>0</v>
      </c>
    </row>
    <row r="175" spans="1:78" s="41" customFormat="1" ht="15.75" customHeight="1">
      <c r="A175" s="41">
        <v>173919</v>
      </c>
      <c r="B175" s="41" t="s">
        <v>696</v>
      </c>
      <c r="C175" s="65" t="str">
        <f>VLOOKUP(B:B,Brand!B:C,2,0)</f>
        <v>Nescafe</v>
      </c>
      <c r="D175" s="63">
        <f>VLOOKUP(E:E,'Product Category'!J:O,6,FALSE)</f>
        <v>118</v>
      </c>
      <c r="E175" s="41" t="s">
        <v>2069</v>
      </c>
      <c r="F175" s="63" t="str">
        <f>VLOOKUP(E:E,'Product Category'!J:K,2,FALSE)</f>
        <v>24-Coffee &amp; Cream</v>
      </c>
      <c r="G175" s="63" t="str">
        <f>VLOOKUP(F:F,'Product Category'!K:L,2,FALSE)</f>
        <v>3-Beverages</v>
      </c>
      <c r="H175" s="41" t="s">
        <v>4037</v>
      </c>
      <c r="I175" s="41" t="s">
        <v>4038</v>
      </c>
      <c r="J175" s="41" t="s">
        <v>4912</v>
      </c>
      <c r="K175" s="41" t="s">
        <v>4913</v>
      </c>
      <c r="L175" s="41">
        <v>19.399999999999999</v>
      </c>
      <c r="M175" s="41" t="s">
        <v>83</v>
      </c>
      <c r="N175" s="41" t="str">
        <f>VLOOKUP(M:M,Unit!B:C,2,0)</f>
        <v>g</v>
      </c>
      <c r="O175" s="41" t="s">
        <v>67</v>
      </c>
      <c r="P175" s="41">
        <v>60</v>
      </c>
      <c r="Q175" s="41" t="s">
        <v>135</v>
      </c>
      <c r="R175" s="41" t="str">
        <f>VLOOKUP(Q:Q,Unit!B:D,2,0)</f>
        <v>g</v>
      </c>
      <c r="S175" s="41" t="s">
        <v>75</v>
      </c>
      <c r="T175" s="41" t="str">
        <f>VLOOKUP(S:S,Promo!B:D,2,0)</f>
        <v>Promo EN</v>
      </c>
      <c r="X175" s="41">
        <v>184</v>
      </c>
      <c r="AB175" s="41" t="s">
        <v>91</v>
      </c>
      <c r="AG175" s="41" t="s">
        <v>71</v>
      </c>
      <c r="AH175" s="41" t="s">
        <v>1846</v>
      </c>
      <c r="AI175" s="41" t="s">
        <v>71</v>
      </c>
      <c r="AJ175" s="41" t="s">
        <v>3388</v>
      </c>
      <c r="AK175" s="41" t="s">
        <v>3950</v>
      </c>
      <c r="AL175" s="41" t="s">
        <v>71</v>
      </c>
      <c r="AP175" s="41" t="s">
        <v>4039</v>
      </c>
      <c r="BS175" s="41" t="s">
        <v>2058</v>
      </c>
      <c r="BT175" s="41" t="s">
        <v>72</v>
      </c>
      <c r="BW175" s="41" t="s">
        <v>72</v>
      </c>
      <c r="BX175" s="41">
        <f>VLOOKUP(B:B,Brand!B:D,3,0)</f>
        <v>322</v>
      </c>
      <c r="BY175" s="41">
        <f>VLOOKUP(M:M,Unit!B:D,3,0)</f>
        <v>1</v>
      </c>
      <c r="BZ175" s="41">
        <f>VLOOKUP(S:S,Promo!B:D,3,0)</f>
        <v>0</v>
      </c>
    </row>
    <row r="176" spans="1:78" s="41" customFormat="1" ht="15.75" customHeight="1">
      <c r="A176" s="41">
        <v>532415</v>
      </c>
      <c r="B176" s="41" t="s">
        <v>696</v>
      </c>
      <c r="C176" s="65" t="str">
        <f>VLOOKUP(B:B,Brand!B:C,2,0)</f>
        <v>Nescafe</v>
      </c>
      <c r="D176" s="63">
        <f>VLOOKUP(E:E,'Product Category'!J:O,6,FALSE)</f>
        <v>118</v>
      </c>
      <c r="E176" s="41" t="s">
        <v>2069</v>
      </c>
      <c r="F176" s="63" t="str">
        <f>VLOOKUP(E:E,'Product Category'!J:K,2,FALSE)</f>
        <v>24-Coffee &amp; Cream</v>
      </c>
      <c r="G176" s="63" t="str">
        <f>VLOOKUP(F:F,'Product Category'!K:L,2,FALSE)</f>
        <v>3-Beverages</v>
      </c>
      <c r="H176" s="41" t="s">
        <v>4040</v>
      </c>
      <c r="I176" s="41" t="s">
        <v>4041</v>
      </c>
      <c r="J176" s="41" t="s">
        <v>4914</v>
      </c>
      <c r="K176" s="41" t="s">
        <v>4915</v>
      </c>
      <c r="L176" s="41">
        <v>25</v>
      </c>
      <c r="M176" s="41" t="s">
        <v>83</v>
      </c>
      <c r="N176" s="41" t="str">
        <f>VLOOKUP(M:M,Unit!B:C,2,0)</f>
        <v>g</v>
      </c>
      <c r="O176" s="41" t="s">
        <v>67</v>
      </c>
      <c r="P176" s="41">
        <v>24</v>
      </c>
      <c r="Q176" s="41" t="s">
        <v>135</v>
      </c>
      <c r="R176" s="41" t="str">
        <f>VLOOKUP(Q:Q,Unit!B:D,2,0)</f>
        <v>g</v>
      </c>
      <c r="S176" s="41" t="s">
        <v>75</v>
      </c>
      <c r="T176" s="41" t="str">
        <f>VLOOKUP(S:S,Promo!B:D,2,0)</f>
        <v>Promo EN</v>
      </c>
      <c r="X176" s="41">
        <v>367</v>
      </c>
      <c r="AB176" s="41" t="s">
        <v>91</v>
      </c>
      <c r="AG176" s="41" t="s">
        <v>71</v>
      </c>
      <c r="AH176" s="41" t="s">
        <v>71</v>
      </c>
      <c r="AI176" s="41" t="s">
        <v>71</v>
      </c>
      <c r="AJ176" s="41" t="s">
        <v>71</v>
      </c>
      <c r="AK176" s="41" t="s">
        <v>71</v>
      </c>
      <c r="AL176" s="41" t="s">
        <v>71</v>
      </c>
      <c r="AP176" s="41" t="s">
        <v>4039</v>
      </c>
      <c r="BS176" s="41" t="s">
        <v>2058</v>
      </c>
      <c r="BT176" s="41" t="s">
        <v>72</v>
      </c>
      <c r="BW176" s="41" t="s">
        <v>72</v>
      </c>
      <c r="BX176" s="41">
        <f>VLOOKUP(B:B,Brand!B:D,3,0)</f>
        <v>322</v>
      </c>
      <c r="BY176" s="41">
        <f>VLOOKUP(M:M,Unit!B:D,3,0)</f>
        <v>1</v>
      </c>
      <c r="BZ176" s="41">
        <f>VLOOKUP(S:S,Promo!B:D,3,0)</f>
        <v>0</v>
      </c>
    </row>
    <row r="177" spans="1:78" s="41" customFormat="1" ht="15.75" customHeight="1">
      <c r="A177" s="41">
        <v>128044</v>
      </c>
      <c r="B177" s="41" t="s">
        <v>696</v>
      </c>
      <c r="C177" s="65" t="str">
        <f>VLOOKUP(B:B,Brand!B:C,2,0)</f>
        <v>Nescafe</v>
      </c>
      <c r="D177" s="63">
        <f>VLOOKUP(E:E,'Product Category'!J:O,6,FALSE)</f>
        <v>118</v>
      </c>
      <c r="E177" s="41" t="s">
        <v>2069</v>
      </c>
      <c r="F177" s="63" t="str">
        <f>VLOOKUP(E:E,'Product Category'!J:K,2,FALSE)</f>
        <v>24-Coffee &amp; Cream</v>
      </c>
      <c r="G177" s="63" t="str">
        <f>VLOOKUP(F:F,'Product Category'!K:L,2,FALSE)</f>
        <v>3-Beverages</v>
      </c>
      <c r="H177" s="41" t="s">
        <v>4037</v>
      </c>
      <c r="I177" s="41" t="s">
        <v>4038</v>
      </c>
      <c r="J177" s="41" t="s">
        <v>4916</v>
      </c>
      <c r="K177" s="41" t="s">
        <v>4917</v>
      </c>
      <c r="L177" s="41">
        <v>19.399999999999999</v>
      </c>
      <c r="M177" s="41" t="s">
        <v>83</v>
      </c>
      <c r="N177" s="41" t="str">
        <f>VLOOKUP(M:M,Unit!B:C,2,0)</f>
        <v>g</v>
      </c>
      <c r="O177" s="41" t="s">
        <v>67</v>
      </c>
      <c r="P177" s="41">
        <v>27</v>
      </c>
      <c r="Q177" s="41" t="s">
        <v>135</v>
      </c>
      <c r="R177" s="41" t="str">
        <f>VLOOKUP(Q:Q,Unit!B:D,2,0)</f>
        <v>g</v>
      </c>
      <c r="S177" s="41" t="s">
        <v>75</v>
      </c>
      <c r="T177" s="41" t="str">
        <f>VLOOKUP(S:S,Promo!B:D,2,0)</f>
        <v>Promo EN</v>
      </c>
      <c r="X177" s="41">
        <v>92</v>
      </c>
      <c r="AB177" s="41" t="s">
        <v>91</v>
      </c>
      <c r="AG177" s="41" t="s">
        <v>71</v>
      </c>
      <c r="AH177" s="41" t="s">
        <v>1846</v>
      </c>
      <c r="AI177" s="41" t="s">
        <v>71</v>
      </c>
      <c r="AJ177" s="41" t="s">
        <v>71</v>
      </c>
      <c r="AK177" s="41" t="s">
        <v>71</v>
      </c>
      <c r="AL177" s="41" t="s">
        <v>71</v>
      </c>
      <c r="AP177" s="41" t="s">
        <v>4039</v>
      </c>
      <c r="BS177" s="41" t="s">
        <v>2058</v>
      </c>
      <c r="BT177" s="41" t="s">
        <v>72</v>
      </c>
      <c r="BW177" s="41" t="s">
        <v>72</v>
      </c>
      <c r="BX177" s="41">
        <f>VLOOKUP(B:B,Brand!B:D,3,0)</f>
        <v>322</v>
      </c>
      <c r="BY177" s="41">
        <f>VLOOKUP(M:M,Unit!B:D,3,0)</f>
        <v>1</v>
      </c>
      <c r="BZ177" s="41">
        <f>VLOOKUP(S:S,Promo!B:D,3,0)</f>
        <v>0</v>
      </c>
    </row>
    <row r="178" spans="1:78" s="41" customFormat="1" ht="15.75" customHeight="1">
      <c r="A178" s="41">
        <v>809063</v>
      </c>
      <c r="B178" s="41" t="s">
        <v>313</v>
      </c>
      <c r="C178" s="65" t="str">
        <f>VLOOKUP(B:B,Brand!B:C,2,0)</f>
        <v>Kafe House</v>
      </c>
      <c r="D178" s="63">
        <f>VLOOKUP(E:E,'Product Category'!J:O,6,FALSE)</f>
        <v>118</v>
      </c>
      <c r="E178" s="41" t="s">
        <v>2069</v>
      </c>
      <c r="F178" s="63" t="str">
        <f>VLOOKUP(E:E,'Product Category'!J:K,2,FALSE)</f>
        <v>24-Coffee &amp; Cream</v>
      </c>
      <c r="G178" s="63" t="str">
        <f>VLOOKUP(F:F,'Product Category'!K:L,2,FALSE)</f>
        <v>3-Beverages</v>
      </c>
      <c r="H178" s="41" t="s">
        <v>4049</v>
      </c>
      <c r="I178" s="41" t="s">
        <v>2376</v>
      </c>
      <c r="J178" s="41" t="s">
        <v>4924</v>
      </c>
      <c r="K178" s="41" t="s">
        <v>4925</v>
      </c>
      <c r="L178" s="41">
        <v>17</v>
      </c>
      <c r="M178" s="41" t="s">
        <v>83</v>
      </c>
      <c r="N178" s="41" t="str">
        <f>VLOOKUP(M:M,Unit!B:C,2,0)</f>
        <v>g</v>
      </c>
      <c r="O178" s="41" t="s">
        <v>67</v>
      </c>
      <c r="P178" s="41">
        <v>100</v>
      </c>
      <c r="Q178" s="41" t="s">
        <v>135</v>
      </c>
      <c r="R178" s="41" t="str">
        <f>VLOOKUP(Q:Q,Unit!B:D,2,0)</f>
        <v>g</v>
      </c>
      <c r="S178" s="41" t="s">
        <v>75</v>
      </c>
      <c r="T178" s="41" t="str">
        <f>VLOOKUP(S:S,Promo!B:D,2,0)</f>
        <v>Promo EN</v>
      </c>
      <c r="X178" s="41">
        <v>249</v>
      </c>
      <c r="AB178" s="41" t="s">
        <v>91</v>
      </c>
      <c r="AG178" s="41" t="s">
        <v>71</v>
      </c>
      <c r="AH178" s="41" t="s">
        <v>71</v>
      </c>
      <c r="AI178" s="41" t="s">
        <v>71</v>
      </c>
      <c r="AJ178" s="41" t="s">
        <v>71</v>
      </c>
      <c r="AK178" s="41" t="s">
        <v>71</v>
      </c>
      <c r="AL178" s="41" t="s">
        <v>71</v>
      </c>
      <c r="AP178" s="41" t="s">
        <v>4050</v>
      </c>
      <c r="BS178" s="41" t="s">
        <v>2058</v>
      </c>
      <c r="BT178" s="41" t="s">
        <v>72</v>
      </c>
      <c r="BW178" s="41" t="s">
        <v>72</v>
      </c>
      <c r="BX178" s="41">
        <f>VLOOKUP(B:B,Brand!B:D,3,0)</f>
        <v>69</v>
      </c>
      <c r="BY178" s="41">
        <f>VLOOKUP(M:M,Unit!B:D,3,0)</f>
        <v>1</v>
      </c>
      <c r="BZ178" s="41">
        <f>VLOOKUP(S:S,Promo!B:D,3,0)</f>
        <v>0</v>
      </c>
    </row>
    <row r="179" spans="1:78" s="41" customFormat="1" ht="15.75" customHeight="1">
      <c r="A179" s="41">
        <v>817570</v>
      </c>
      <c r="B179" s="41" t="s">
        <v>318</v>
      </c>
      <c r="C179" s="65" t="str">
        <f>VLOOKUP(B:B,Brand!B:C,2,0)</f>
        <v>Carabao</v>
      </c>
      <c r="D179" s="63">
        <f>VLOOKUP(E:E,'Product Category'!J:O,6,FALSE)</f>
        <v>118</v>
      </c>
      <c r="E179" s="41" t="s">
        <v>2069</v>
      </c>
      <c r="F179" s="63" t="str">
        <f>VLOOKUP(E:E,'Product Category'!J:K,2,FALSE)</f>
        <v>24-Coffee &amp; Cream</v>
      </c>
      <c r="G179" s="63" t="str">
        <f>VLOOKUP(F:F,'Product Category'!K:L,2,FALSE)</f>
        <v>3-Beverages</v>
      </c>
      <c r="H179" s="41" t="s">
        <v>4228</v>
      </c>
      <c r="I179" s="41" t="s">
        <v>4229</v>
      </c>
      <c r="J179" s="41" t="s">
        <v>5065</v>
      </c>
      <c r="K179" s="41" t="s">
        <v>5066</v>
      </c>
      <c r="L179" s="41">
        <v>180</v>
      </c>
      <c r="M179" s="41" t="s">
        <v>66</v>
      </c>
      <c r="N179" s="41" t="str">
        <f>VLOOKUP(M:M,Unit!B:C,2,0)</f>
        <v>ml</v>
      </c>
      <c r="O179" s="41" t="s">
        <v>67</v>
      </c>
      <c r="P179" s="41">
        <v>30</v>
      </c>
      <c r="Q179" s="41" t="s">
        <v>2154</v>
      </c>
      <c r="R179" s="41" t="str">
        <f>VLOOKUP(Q:Q,Unit!B:D,2,0)</f>
        <v>can</v>
      </c>
      <c r="S179" s="41" t="s">
        <v>75</v>
      </c>
      <c r="T179" s="41" t="str">
        <f>VLOOKUP(S:S,Promo!B:D,2,0)</f>
        <v>Promo EN</v>
      </c>
      <c r="W179" s="41">
        <v>240</v>
      </c>
      <c r="X179" s="41">
        <v>229</v>
      </c>
      <c r="Z179" s="41">
        <v>241249</v>
      </c>
      <c r="AA179" s="41" t="s">
        <v>3659</v>
      </c>
      <c r="AB179" s="41" t="s">
        <v>91</v>
      </c>
      <c r="AF179" s="41" t="s">
        <v>3373</v>
      </c>
      <c r="AG179" s="41" t="s">
        <v>71</v>
      </c>
      <c r="AH179" s="41" t="s">
        <v>71</v>
      </c>
      <c r="AI179" s="41" t="s">
        <v>71</v>
      </c>
      <c r="AJ179" s="41" t="s">
        <v>71</v>
      </c>
      <c r="AK179" s="41" t="s">
        <v>71</v>
      </c>
      <c r="AL179" s="41" t="s">
        <v>71</v>
      </c>
      <c r="AU179" s="41" t="s">
        <v>4230</v>
      </c>
      <c r="AV179" s="41" t="s">
        <v>3561</v>
      </c>
      <c r="BS179" s="41" t="s">
        <v>2058</v>
      </c>
      <c r="BT179" s="41" t="s">
        <v>72</v>
      </c>
      <c r="BW179" s="41" t="s">
        <v>72</v>
      </c>
      <c r="BX179" s="41">
        <f>VLOOKUP(B:B,Brand!B:D,3,0)</f>
        <v>72</v>
      </c>
      <c r="BY179" s="41">
        <f>VLOOKUP(M:M,Unit!B:D,3,0)</f>
        <v>4</v>
      </c>
      <c r="BZ179" s="41">
        <f>VLOOKUP(S:S,Promo!B:D,3,0)</f>
        <v>0</v>
      </c>
    </row>
    <row r="180" spans="1:78" s="41" customFormat="1" ht="15.75" customHeight="1">
      <c r="A180" s="41">
        <v>137272</v>
      </c>
      <c r="B180" s="41" t="s">
        <v>97</v>
      </c>
      <c r="C180" s="65" t="str">
        <f>VLOOKUP(B:B,Brand!B:C,2,0)</f>
        <v>aro</v>
      </c>
      <c r="D180" s="63">
        <f>VLOOKUP(E:E,'Product Category'!J:O,6,FALSE)</f>
        <v>121</v>
      </c>
      <c r="E180" s="41" t="s">
        <v>2061</v>
      </c>
      <c r="F180" s="63" t="str">
        <f>VLOOKUP(E:E,'Product Category'!J:K,2,FALSE)</f>
        <v>24-Coffee &amp; Cream</v>
      </c>
      <c r="G180" s="63" t="str">
        <f>VLOOKUP(F:F,'Product Category'!K:L,2,FALSE)</f>
        <v>3-Beverages</v>
      </c>
      <c r="H180" s="41" t="s">
        <v>3526</v>
      </c>
      <c r="I180" s="41" t="s">
        <v>3527</v>
      </c>
      <c r="J180" s="41" t="s">
        <v>4587</v>
      </c>
      <c r="K180" s="41" t="s">
        <v>4588</v>
      </c>
      <c r="L180" s="41">
        <v>2</v>
      </c>
      <c r="M180" s="41" t="s">
        <v>79</v>
      </c>
      <c r="N180" s="41" t="str">
        <f>VLOOKUP(M:M,Unit!B:C,2,0)</f>
        <v>kg</v>
      </c>
      <c r="O180" s="41" t="s">
        <v>67</v>
      </c>
      <c r="P180" s="41">
        <v>1</v>
      </c>
      <c r="Q180" s="41" t="s">
        <v>179</v>
      </c>
      <c r="R180" s="41" t="str">
        <f>VLOOKUP(Q:Q,Unit!B:D,2,0)</f>
        <v>pack</v>
      </c>
      <c r="S180" s="41" t="s">
        <v>75</v>
      </c>
      <c r="T180" s="41" t="str">
        <f>VLOOKUP(S:S,Promo!B:D,2,0)</f>
        <v>Promo EN</v>
      </c>
      <c r="W180" s="41">
        <v>85</v>
      </c>
      <c r="X180" s="41">
        <v>84</v>
      </c>
      <c r="AB180" s="41" t="s">
        <v>91</v>
      </c>
      <c r="AF180" s="41" t="s">
        <v>3374</v>
      </c>
      <c r="AG180" s="41" t="s">
        <v>1845</v>
      </c>
      <c r="AH180" s="41" t="s">
        <v>71</v>
      </c>
      <c r="AI180" s="41" t="s">
        <v>71</v>
      </c>
      <c r="AJ180" s="41" t="s">
        <v>71</v>
      </c>
      <c r="AK180" s="41" t="s">
        <v>71</v>
      </c>
      <c r="AL180" s="41" t="s">
        <v>71</v>
      </c>
      <c r="AP180" s="41" t="s">
        <v>3528</v>
      </c>
      <c r="BS180" s="41" t="s">
        <v>2058</v>
      </c>
      <c r="BT180" s="41" t="s">
        <v>72</v>
      </c>
      <c r="BW180" s="41" t="s">
        <v>72</v>
      </c>
      <c r="BX180" s="41">
        <f>VLOOKUP(B:B,Brand!B:D,3,0)</f>
        <v>692</v>
      </c>
      <c r="BY180" s="41">
        <f>VLOOKUP(M:M,Unit!B:D,3,0)</f>
        <v>2</v>
      </c>
      <c r="BZ180" s="41">
        <f>VLOOKUP(S:S,Promo!B:D,3,0)</f>
        <v>0</v>
      </c>
    </row>
    <row r="181" spans="1:78" s="41" customFormat="1" ht="15.75" customHeight="1">
      <c r="A181" s="41">
        <v>815390</v>
      </c>
      <c r="B181" s="41" t="s">
        <v>2784</v>
      </c>
      <c r="C181" s="65" t="str">
        <f>VLOOKUP(B:B,Brand!B:C,2,0)</f>
        <v>Coffee Dreamer</v>
      </c>
      <c r="D181" s="63">
        <f>VLOOKUP(E:E,'Product Category'!J:O,6,FALSE)</f>
        <v>121</v>
      </c>
      <c r="E181" s="41" t="s">
        <v>2061</v>
      </c>
      <c r="F181" s="63" t="str">
        <f>VLOOKUP(E:E,'Product Category'!J:K,2,FALSE)</f>
        <v>24-Coffee &amp; Cream</v>
      </c>
      <c r="G181" s="63" t="str">
        <f>VLOOKUP(F:F,'Product Category'!K:L,2,FALSE)</f>
        <v>3-Beverages</v>
      </c>
      <c r="H181" s="41" t="s">
        <v>106</v>
      </c>
      <c r="I181" s="41" t="s">
        <v>2320</v>
      </c>
      <c r="J181" s="41" t="s">
        <v>4595</v>
      </c>
      <c r="K181" s="41" t="s">
        <v>4596</v>
      </c>
      <c r="L181" s="41">
        <v>1000</v>
      </c>
      <c r="M181" s="41" t="s">
        <v>83</v>
      </c>
      <c r="N181" s="41" t="str">
        <f>VLOOKUP(M:M,Unit!B:C,2,0)</f>
        <v>g</v>
      </c>
      <c r="O181" s="41" t="s">
        <v>67</v>
      </c>
      <c r="P181" s="41">
        <v>1</v>
      </c>
      <c r="Q181" s="41" t="s">
        <v>2153</v>
      </c>
      <c r="R181" s="41" t="str">
        <f>VLOOKUP(Q:Q,Unit!B:D,2,0)</f>
        <v>unit</v>
      </c>
      <c r="S181" s="41" t="s">
        <v>75</v>
      </c>
      <c r="T181" s="41" t="str">
        <f>VLOOKUP(S:S,Promo!B:D,2,0)</f>
        <v>Promo EN</v>
      </c>
      <c r="W181" s="41">
        <v>70</v>
      </c>
      <c r="X181" s="41">
        <v>68</v>
      </c>
      <c r="AG181" s="41" t="s">
        <v>71</v>
      </c>
      <c r="AH181" s="41" t="s">
        <v>71</v>
      </c>
      <c r="AI181" s="41" t="s">
        <v>71</v>
      </c>
      <c r="AJ181" s="41" t="s">
        <v>71</v>
      </c>
      <c r="AK181" s="41" t="s">
        <v>71</v>
      </c>
      <c r="AL181" s="41" t="s">
        <v>71</v>
      </c>
      <c r="BS181" s="41" t="s">
        <v>2058</v>
      </c>
      <c r="BT181" s="41" t="s">
        <v>72</v>
      </c>
      <c r="BW181" s="41" t="s">
        <v>72</v>
      </c>
      <c r="BX181" s="41">
        <f>VLOOKUP(B:B,Brand!B:D,3,0)</f>
        <v>1160</v>
      </c>
      <c r="BY181" s="41">
        <f>VLOOKUP(M:M,Unit!B:D,3,0)</f>
        <v>1</v>
      </c>
      <c r="BZ181" s="41">
        <f>VLOOKUP(S:S,Promo!B:D,3,0)</f>
        <v>0</v>
      </c>
    </row>
    <row r="182" spans="1:78" s="41" customFormat="1" ht="15.75" customHeight="1">
      <c r="A182" s="41">
        <v>24362</v>
      </c>
      <c r="B182" s="41" t="s">
        <v>102</v>
      </c>
      <c r="C182" s="65" t="str">
        <f>VLOOKUP(B:B,Brand!B:C,2,0)</f>
        <v>Carnation</v>
      </c>
      <c r="D182" s="63">
        <f>VLOOKUP(E:E,'Product Category'!J:O,6,FALSE)</f>
        <v>121</v>
      </c>
      <c r="E182" s="41" t="s">
        <v>2061</v>
      </c>
      <c r="F182" s="63" t="str">
        <f>VLOOKUP(E:E,'Product Category'!J:K,2,FALSE)</f>
        <v>24-Coffee &amp; Cream</v>
      </c>
      <c r="G182" s="63" t="str">
        <f>VLOOKUP(F:F,'Product Category'!K:L,2,FALSE)</f>
        <v>3-Beverages</v>
      </c>
      <c r="H182" s="41" t="s">
        <v>3642</v>
      </c>
      <c r="I182" s="41" t="s">
        <v>3643</v>
      </c>
      <c r="J182" s="41" t="s">
        <v>4667</v>
      </c>
      <c r="K182" s="41" t="s">
        <v>4668</v>
      </c>
      <c r="L182" s="41">
        <v>405</v>
      </c>
      <c r="M182" s="41" t="s">
        <v>83</v>
      </c>
      <c r="N182" s="41" t="str">
        <f>VLOOKUP(M:M,Unit!B:C,2,0)</f>
        <v>g</v>
      </c>
      <c r="O182" s="41" t="s">
        <v>67</v>
      </c>
      <c r="P182" s="41">
        <v>48</v>
      </c>
      <c r="Q182" s="41" t="s">
        <v>2154</v>
      </c>
      <c r="R182" s="41" t="str">
        <f>VLOOKUP(Q:Q,Unit!B:D,2,0)</f>
        <v>can</v>
      </c>
      <c r="S182" s="41" t="s">
        <v>75</v>
      </c>
      <c r="T182" s="41" t="str">
        <f>VLOOKUP(S:S,Promo!B:D,2,0)</f>
        <v>Promo EN</v>
      </c>
      <c r="W182" s="41">
        <v>1029</v>
      </c>
      <c r="X182" s="41">
        <v>985</v>
      </c>
      <c r="AB182" s="41" t="s">
        <v>91</v>
      </c>
      <c r="AG182" s="41" t="s">
        <v>1845</v>
      </c>
      <c r="AH182" s="41" t="s">
        <v>1846</v>
      </c>
      <c r="AI182" s="41" t="s">
        <v>71</v>
      </c>
      <c r="AJ182" s="41" t="s">
        <v>3388</v>
      </c>
      <c r="AK182" s="41" t="s">
        <v>71</v>
      </c>
      <c r="AL182" s="41" t="s">
        <v>71</v>
      </c>
      <c r="AP182" s="41" t="s">
        <v>3644</v>
      </c>
      <c r="BS182" s="41" t="s">
        <v>2058</v>
      </c>
      <c r="BT182" s="41" t="s">
        <v>72</v>
      </c>
      <c r="BW182" s="41" t="s">
        <v>72</v>
      </c>
      <c r="BX182" s="41">
        <f>VLOOKUP(B:B,Brand!B:D,3,0)</f>
        <v>71</v>
      </c>
      <c r="BY182" s="41">
        <f>VLOOKUP(M:M,Unit!B:D,3,0)</f>
        <v>1</v>
      </c>
      <c r="BZ182" s="41">
        <f>VLOOKUP(S:S,Promo!B:D,3,0)</f>
        <v>0</v>
      </c>
    </row>
    <row r="183" spans="1:78" s="41" customFormat="1" ht="15.75" customHeight="1">
      <c r="A183" s="41">
        <v>174237</v>
      </c>
      <c r="B183" s="41" t="s">
        <v>633</v>
      </c>
      <c r="C183" s="65" t="str">
        <f>VLOOKUP(B:B,Brand!B:C,2,0)</f>
        <v>Tea Pot</v>
      </c>
      <c r="D183" s="63">
        <f>VLOOKUP(E:E,'Product Category'!J:O,6,FALSE)</f>
        <v>121</v>
      </c>
      <c r="E183" s="41" t="s">
        <v>2061</v>
      </c>
      <c r="F183" s="63" t="str">
        <f>VLOOKUP(E:E,'Product Category'!J:K,2,FALSE)</f>
        <v>24-Coffee &amp; Cream</v>
      </c>
      <c r="G183" s="63" t="str">
        <f>VLOOKUP(F:F,'Product Category'!K:L,2,FALSE)</f>
        <v>3-Beverages</v>
      </c>
      <c r="H183" s="41" t="s">
        <v>3652</v>
      </c>
      <c r="I183" s="41" t="s">
        <v>3653</v>
      </c>
      <c r="J183" s="41" t="s">
        <v>4671</v>
      </c>
      <c r="K183" s="41" t="s">
        <v>4672</v>
      </c>
      <c r="L183" s="41">
        <v>385</v>
      </c>
      <c r="M183" s="41" t="s">
        <v>83</v>
      </c>
      <c r="N183" s="41" t="str">
        <f>VLOOKUP(M:M,Unit!B:C,2,0)</f>
        <v>g</v>
      </c>
      <c r="O183" s="41" t="s">
        <v>67</v>
      </c>
      <c r="P183" s="41">
        <v>48</v>
      </c>
      <c r="Q183" s="41" t="s">
        <v>2154</v>
      </c>
      <c r="R183" s="41" t="str">
        <f>VLOOKUP(Q:Q,Unit!B:D,2,0)</f>
        <v>can</v>
      </c>
      <c r="S183" s="41" t="s">
        <v>75</v>
      </c>
      <c r="T183" s="41" t="str">
        <f>VLOOKUP(S:S,Promo!B:D,2,0)</f>
        <v>Promo EN</v>
      </c>
      <c r="W183" s="41">
        <v>852</v>
      </c>
      <c r="X183" s="41">
        <v>795</v>
      </c>
      <c r="AB183" s="41" t="s">
        <v>91</v>
      </c>
      <c r="AG183" s="41" t="s">
        <v>1845</v>
      </c>
      <c r="AH183" s="41" t="s">
        <v>1846</v>
      </c>
      <c r="AI183" s="41" t="s">
        <v>71</v>
      </c>
      <c r="AJ183" s="41" t="s">
        <v>71</v>
      </c>
      <c r="AK183" s="41" t="s">
        <v>71</v>
      </c>
      <c r="AL183" s="41" t="s">
        <v>71</v>
      </c>
      <c r="AP183" s="41" t="s">
        <v>3644</v>
      </c>
      <c r="AU183" s="41" t="s">
        <v>3651</v>
      </c>
      <c r="AV183" s="41" t="s">
        <v>2156</v>
      </c>
      <c r="BS183" s="41" t="s">
        <v>2058</v>
      </c>
      <c r="BT183" s="41" t="s">
        <v>72</v>
      </c>
      <c r="BW183" s="41" t="s">
        <v>72</v>
      </c>
      <c r="BX183" s="41">
        <f>VLOOKUP(B:B,Brand!B:D,3,0)</f>
        <v>280</v>
      </c>
      <c r="BY183" s="41">
        <f>VLOOKUP(M:M,Unit!B:D,3,0)</f>
        <v>1</v>
      </c>
      <c r="BZ183" s="41">
        <f>VLOOKUP(S:S,Promo!B:D,3,0)</f>
        <v>0</v>
      </c>
    </row>
    <row r="184" spans="1:78" s="41" customFormat="1" ht="15.75" customHeight="1">
      <c r="A184" s="41">
        <v>171592</v>
      </c>
      <c r="B184" s="41" t="s">
        <v>97</v>
      </c>
      <c r="C184" s="65" t="str">
        <f>VLOOKUP(B:B,Brand!B:C,2,0)</f>
        <v>aro</v>
      </c>
      <c r="D184" s="63">
        <f>VLOOKUP(E:E,'Product Category'!J:O,6,FALSE)</f>
        <v>121</v>
      </c>
      <c r="E184" s="41" t="s">
        <v>2061</v>
      </c>
      <c r="F184" s="63" t="str">
        <f>VLOOKUP(E:E,'Product Category'!J:K,2,FALSE)</f>
        <v>24-Coffee &amp; Cream</v>
      </c>
      <c r="G184" s="63" t="str">
        <f>VLOOKUP(F:F,'Product Category'!K:L,2,FALSE)</f>
        <v>3-Beverages</v>
      </c>
      <c r="H184" s="41" t="s">
        <v>3654</v>
      </c>
      <c r="I184" s="41" t="s">
        <v>2320</v>
      </c>
      <c r="J184" s="41" t="s">
        <v>4673</v>
      </c>
      <c r="K184" s="41" t="s">
        <v>4674</v>
      </c>
      <c r="L184" s="41">
        <v>1000</v>
      </c>
      <c r="M184" s="41" t="s">
        <v>83</v>
      </c>
      <c r="N184" s="41" t="str">
        <f>VLOOKUP(M:M,Unit!B:C,2,0)</f>
        <v>g</v>
      </c>
      <c r="O184" s="41" t="s">
        <v>67</v>
      </c>
      <c r="P184" s="41">
        <v>1</v>
      </c>
      <c r="Q184" s="41" t="s">
        <v>2153</v>
      </c>
      <c r="R184" s="41" t="str">
        <f>VLOOKUP(Q:Q,Unit!B:D,2,0)</f>
        <v>unit</v>
      </c>
      <c r="S184" s="41" t="s">
        <v>75</v>
      </c>
      <c r="T184" s="41" t="str">
        <f>VLOOKUP(S:S,Promo!B:D,2,0)</f>
        <v>Promo EN</v>
      </c>
      <c r="W184" s="41">
        <v>75</v>
      </c>
      <c r="X184" s="41">
        <v>70</v>
      </c>
      <c r="AB184" s="41" t="s">
        <v>91</v>
      </c>
      <c r="AG184" s="41" t="s">
        <v>71</v>
      </c>
      <c r="AH184" s="41" t="s">
        <v>71</v>
      </c>
      <c r="AI184" s="41" t="s">
        <v>71</v>
      </c>
      <c r="AJ184" s="41" t="s">
        <v>71</v>
      </c>
      <c r="AK184" s="41" t="s">
        <v>71</v>
      </c>
      <c r="AL184" s="41" t="s">
        <v>71</v>
      </c>
      <c r="BS184" s="41" t="s">
        <v>2058</v>
      </c>
      <c r="BT184" s="41" t="s">
        <v>72</v>
      </c>
      <c r="BW184" s="41" t="s">
        <v>72</v>
      </c>
      <c r="BX184" s="41">
        <f>VLOOKUP(B:B,Brand!B:D,3,0)</f>
        <v>692</v>
      </c>
      <c r="BY184" s="41">
        <f>VLOOKUP(M:M,Unit!B:D,3,0)</f>
        <v>1</v>
      </c>
      <c r="BZ184" s="41">
        <f>VLOOKUP(S:S,Promo!B:D,3,0)</f>
        <v>0</v>
      </c>
    </row>
    <row r="185" spans="1:78" s="41" customFormat="1" ht="15.75" customHeight="1">
      <c r="A185" s="41">
        <v>650026</v>
      </c>
      <c r="B185" s="41" t="s">
        <v>105</v>
      </c>
      <c r="C185" s="65" t="str">
        <f>VLOOKUP(B:B,Brand!B:C,2,0)</f>
        <v>Coffee Mate</v>
      </c>
      <c r="D185" s="63">
        <f>VLOOKUP(E:E,'Product Category'!J:O,6,FALSE)</f>
        <v>121</v>
      </c>
      <c r="E185" s="41" t="s">
        <v>2061</v>
      </c>
      <c r="F185" s="63" t="str">
        <f>VLOOKUP(E:E,'Product Category'!J:K,2,FALSE)</f>
        <v>24-Coffee &amp; Cream</v>
      </c>
      <c r="G185" s="63" t="str">
        <f>VLOOKUP(F:F,'Product Category'!K:L,2,FALSE)</f>
        <v>3-Beverages</v>
      </c>
      <c r="H185" s="41" t="s">
        <v>4042</v>
      </c>
      <c r="I185" s="41" t="s">
        <v>4043</v>
      </c>
      <c r="J185" s="41" t="s">
        <v>4918</v>
      </c>
      <c r="K185" s="41" t="s">
        <v>4919</v>
      </c>
      <c r="L185" s="41">
        <v>900</v>
      </c>
      <c r="M185" s="41" t="s">
        <v>83</v>
      </c>
      <c r="N185" s="41" t="str">
        <f>VLOOKUP(M:M,Unit!B:C,2,0)</f>
        <v>g</v>
      </c>
      <c r="O185" s="41" t="s">
        <v>67</v>
      </c>
      <c r="P185" s="41">
        <v>2</v>
      </c>
      <c r="Q185" s="41" t="s">
        <v>68</v>
      </c>
      <c r="R185" s="41" t="str">
        <f>VLOOKUP(Q:Q,Unit!B:D,2,0)</f>
        <v>pc</v>
      </c>
      <c r="S185" s="41" t="s">
        <v>75</v>
      </c>
      <c r="T185" s="41" t="str">
        <f>VLOOKUP(S:S,Promo!B:D,2,0)</f>
        <v>Promo EN</v>
      </c>
      <c r="X185" s="41">
        <v>235</v>
      </c>
      <c r="AB185" s="41" t="s">
        <v>91</v>
      </c>
      <c r="AG185" s="41" t="s">
        <v>71</v>
      </c>
      <c r="AH185" s="41" t="s">
        <v>71</v>
      </c>
      <c r="AI185" s="41" t="s">
        <v>71</v>
      </c>
      <c r="AJ185" s="41" t="s">
        <v>71</v>
      </c>
      <c r="AK185" s="41" t="s">
        <v>71</v>
      </c>
      <c r="AL185" s="41" t="s">
        <v>71</v>
      </c>
      <c r="AP185" s="41" t="s">
        <v>4039</v>
      </c>
      <c r="BS185" s="41" t="s">
        <v>2058</v>
      </c>
      <c r="BT185" s="41" t="s">
        <v>72</v>
      </c>
      <c r="BW185" s="41" t="s">
        <v>72</v>
      </c>
      <c r="BX185" s="41">
        <f>VLOOKUP(B:B,Brand!B:D,3,0)</f>
        <v>930</v>
      </c>
      <c r="BY185" s="41">
        <f>VLOOKUP(M:M,Unit!B:D,3,0)</f>
        <v>1</v>
      </c>
      <c r="BZ185" s="41">
        <f>VLOOKUP(S:S,Promo!B:D,3,0)</f>
        <v>0</v>
      </c>
    </row>
    <row r="186" spans="1:78" s="41" customFormat="1" ht="15.75" customHeight="1">
      <c r="A186" s="41">
        <v>201787</v>
      </c>
      <c r="B186" s="40" t="s">
        <v>3329</v>
      </c>
      <c r="C186" s="65" t="str">
        <f>VLOOKUP(B:B,Brand!B:C,2,0)</f>
        <v>Birdwings</v>
      </c>
      <c r="D186" s="63">
        <f>VLOOKUP(E:E,'Product Category'!J:O,6,FALSE)</f>
        <v>121</v>
      </c>
      <c r="E186" s="41" t="s">
        <v>2061</v>
      </c>
      <c r="F186" s="63" t="str">
        <f>VLOOKUP(E:E,'Product Category'!J:K,2,FALSE)</f>
        <v>24-Coffee &amp; Cream</v>
      </c>
      <c r="G186" s="63" t="str">
        <f>VLOOKUP(F:F,'Product Category'!K:L,2,FALSE)</f>
        <v>3-Beverages</v>
      </c>
      <c r="H186" s="41" t="s">
        <v>4200</v>
      </c>
      <c r="I186" s="41" t="s">
        <v>4201</v>
      </c>
      <c r="J186" s="41" t="s">
        <v>5023</v>
      </c>
      <c r="K186" s="41" t="s">
        <v>5024</v>
      </c>
      <c r="L186" s="41">
        <v>2</v>
      </c>
      <c r="M186" s="41" t="s">
        <v>79</v>
      </c>
      <c r="N186" s="41" t="str">
        <f>VLOOKUP(M:M,Unit!B:C,2,0)</f>
        <v>kg</v>
      </c>
      <c r="O186" s="41" t="s">
        <v>67</v>
      </c>
      <c r="P186" s="41">
        <v>1</v>
      </c>
      <c r="Q186" s="41" t="s">
        <v>2153</v>
      </c>
      <c r="R186" s="41" t="str">
        <f>VLOOKUP(Q:Q,Unit!B:D,2,0)</f>
        <v>unit</v>
      </c>
      <c r="S186" s="41" t="s">
        <v>75</v>
      </c>
      <c r="T186" s="41" t="str">
        <f>VLOOKUP(S:S,Promo!B:D,2,0)</f>
        <v>Promo EN</v>
      </c>
      <c r="W186" s="41">
        <v>89</v>
      </c>
      <c r="X186" s="41">
        <v>79</v>
      </c>
      <c r="AB186" s="41" t="s">
        <v>2054</v>
      </c>
      <c r="AG186" s="41" t="s">
        <v>71</v>
      </c>
      <c r="AH186" s="41" t="s">
        <v>71</v>
      </c>
      <c r="AI186" s="41" t="s">
        <v>71</v>
      </c>
      <c r="AJ186" s="41" t="s">
        <v>71</v>
      </c>
      <c r="AK186" s="41" t="s">
        <v>71</v>
      </c>
      <c r="AL186" s="41" t="s">
        <v>71</v>
      </c>
      <c r="BS186" s="41" t="s">
        <v>2058</v>
      </c>
      <c r="BT186" s="41" t="s">
        <v>72</v>
      </c>
      <c r="BW186" s="41" t="s">
        <v>72</v>
      </c>
      <c r="BX186" s="41">
        <f>VLOOKUP(B:B,Brand!B:D,3,0)</f>
        <v>373</v>
      </c>
      <c r="BY186" s="41">
        <f>VLOOKUP(M:M,Unit!B:D,3,0)</f>
        <v>2</v>
      </c>
      <c r="BZ186" s="41">
        <f>VLOOKUP(S:S,Promo!B:D,3,0)</f>
        <v>0</v>
      </c>
    </row>
    <row r="187" spans="1:78" s="41" customFormat="1" ht="15.75" customHeight="1">
      <c r="A187" s="41">
        <v>24388</v>
      </c>
      <c r="B187" s="41" t="s">
        <v>102</v>
      </c>
      <c r="C187" s="65" t="str">
        <f>VLOOKUP(B:B,Brand!B:C,2,0)</f>
        <v>Carnation</v>
      </c>
      <c r="D187" s="63">
        <f>VLOOKUP(E:E,'Product Category'!J:O,6,FALSE)</f>
        <v>121</v>
      </c>
      <c r="E187" s="41" t="s">
        <v>2061</v>
      </c>
      <c r="F187" s="63" t="str">
        <f>VLOOKUP(E:E,'Product Category'!J:K,2,FALSE)</f>
        <v>24-Coffee &amp; Cream</v>
      </c>
      <c r="G187" s="63" t="str">
        <f>VLOOKUP(F:F,'Product Category'!K:L,2,FALSE)</f>
        <v>3-Beverages</v>
      </c>
      <c r="H187" s="41" t="s">
        <v>2157</v>
      </c>
      <c r="I187" s="41" t="s">
        <v>4202</v>
      </c>
      <c r="J187" s="41" t="s">
        <v>5025</v>
      </c>
      <c r="K187" s="41" t="s">
        <v>5026</v>
      </c>
      <c r="L187" s="41">
        <v>405</v>
      </c>
      <c r="M187" s="41" t="s">
        <v>83</v>
      </c>
      <c r="N187" s="41" t="str">
        <f>VLOOKUP(M:M,Unit!B:C,2,0)</f>
        <v>g</v>
      </c>
      <c r="O187" s="41" t="s">
        <v>67</v>
      </c>
      <c r="P187" s="41">
        <v>6</v>
      </c>
      <c r="Q187" s="41" t="s">
        <v>2154</v>
      </c>
      <c r="R187" s="41" t="str">
        <f>VLOOKUP(Q:Q,Unit!B:D,2,0)</f>
        <v>can</v>
      </c>
      <c r="S187" s="41" t="s">
        <v>75</v>
      </c>
      <c r="T187" s="41" t="str">
        <f>VLOOKUP(S:S,Promo!B:D,2,0)</f>
        <v>Promo EN</v>
      </c>
      <c r="W187" s="41">
        <v>132</v>
      </c>
      <c r="X187" s="41">
        <v>126</v>
      </c>
      <c r="Z187" s="41">
        <v>241249</v>
      </c>
      <c r="AA187" s="41" t="s">
        <v>3659</v>
      </c>
      <c r="AB187" s="41" t="s">
        <v>2054</v>
      </c>
      <c r="AF187" s="41" t="s">
        <v>4203</v>
      </c>
      <c r="AG187" s="41" t="s">
        <v>1845</v>
      </c>
      <c r="AH187" s="41" t="s">
        <v>71</v>
      </c>
      <c r="AI187" s="41" t="s">
        <v>71</v>
      </c>
      <c r="AJ187" s="41" t="s">
        <v>3388</v>
      </c>
      <c r="AK187" s="41" t="s">
        <v>71</v>
      </c>
      <c r="AL187" s="41" t="s">
        <v>71</v>
      </c>
      <c r="AU187" s="41" t="s">
        <v>2112</v>
      </c>
      <c r="AV187" s="41" t="s">
        <v>2156</v>
      </c>
      <c r="BS187" s="41" t="s">
        <v>2058</v>
      </c>
      <c r="BT187" s="41" t="s">
        <v>72</v>
      </c>
      <c r="BW187" s="41" t="s">
        <v>72</v>
      </c>
      <c r="BX187" s="41">
        <f>VLOOKUP(B:B,Brand!B:D,3,0)</f>
        <v>71</v>
      </c>
      <c r="BY187" s="41">
        <f>VLOOKUP(M:M,Unit!B:D,3,0)</f>
        <v>1</v>
      </c>
      <c r="BZ187" s="41">
        <f>VLOOKUP(S:S,Promo!B:D,3,0)</f>
        <v>0</v>
      </c>
    </row>
    <row r="188" spans="1:78" s="41" customFormat="1" ht="15.75" customHeight="1">
      <c r="A188" s="41">
        <v>24856</v>
      </c>
      <c r="B188" s="41" t="s">
        <v>102</v>
      </c>
      <c r="C188" s="65" t="str">
        <f>VLOOKUP(B:B,Brand!B:C,2,0)</f>
        <v>Carnation</v>
      </c>
      <c r="D188" s="63">
        <f>VLOOKUP(E:E,'Product Category'!J:O,6,FALSE)</f>
        <v>121</v>
      </c>
      <c r="E188" s="41" t="s">
        <v>2061</v>
      </c>
      <c r="F188" s="63" t="str">
        <f>VLOOKUP(E:E,'Product Category'!J:K,2,FALSE)</f>
        <v>24-Coffee &amp; Cream</v>
      </c>
      <c r="G188" s="63" t="str">
        <f>VLOOKUP(F:F,'Product Category'!K:L,2,FALSE)</f>
        <v>3-Beverages</v>
      </c>
      <c r="H188" s="41" t="s">
        <v>4223</v>
      </c>
      <c r="I188" s="41" t="s">
        <v>4224</v>
      </c>
      <c r="J188" s="41" t="s">
        <v>5061</v>
      </c>
      <c r="K188" s="41" t="s">
        <v>5062</v>
      </c>
      <c r="L188" s="41">
        <v>388</v>
      </c>
      <c r="M188" s="41" t="s">
        <v>83</v>
      </c>
      <c r="N188" s="41" t="str">
        <f>VLOOKUP(M:M,Unit!B:C,2,0)</f>
        <v>g</v>
      </c>
      <c r="O188" s="41" t="s">
        <v>67</v>
      </c>
      <c r="P188" s="41">
        <v>48</v>
      </c>
      <c r="Q188" s="41" t="s">
        <v>2154</v>
      </c>
      <c r="R188" s="41" t="str">
        <f>VLOOKUP(Q:Q,Unit!B:D,2,0)</f>
        <v>can</v>
      </c>
      <c r="S188" s="41" t="s">
        <v>75</v>
      </c>
      <c r="T188" s="41" t="str">
        <f>VLOOKUP(S:S,Promo!B:D,2,0)</f>
        <v>Promo EN</v>
      </c>
      <c r="W188" s="41">
        <v>979</v>
      </c>
      <c r="X188" s="41">
        <v>925</v>
      </c>
      <c r="AB188" s="41" t="s">
        <v>2062</v>
      </c>
      <c r="AG188" s="41" t="s">
        <v>1845</v>
      </c>
      <c r="AH188" s="41" t="s">
        <v>71</v>
      </c>
      <c r="AI188" s="41" t="s">
        <v>71</v>
      </c>
      <c r="AJ188" s="41" t="s">
        <v>71</v>
      </c>
      <c r="AK188" s="41" t="s">
        <v>71</v>
      </c>
      <c r="AL188" s="41" t="s">
        <v>71</v>
      </c>
      <c r="AP188" s="41" t="s">
        <v>4225</v>
      </c>
      <c r="BS188" s="41" t="s">
        <v>2058</v>
      </c>
      <c r="BT188" s="41" t="s">
        <v>72</v>
      </c>
      <c r="BW188" s="41" t="s">
        <v>72</v>
      </c>
      <c r="BX188" s="41">
        <f>VLOOKUP(B:B,Brand!B:D,3,0)</f>
        <v>71</v>
      </c>
      <c r="BY188" s="41">
        <f>VLOOKUP(M:M,Unit!B:D,3,0)</f>
        <v>1</v>
      </c>
      <c r="BZ188" s="41">
        <f>VLOOKUP(S:S,Promo!B:D,3,0)</f>
        <v>0</v>
      </c>
    </row>
    <row r="189" spans="1:78" s="41" customFormat="1" ht="15.75" customHeight="1">
      <c r="A189" s="41">
        <v>182072</v>
      </c>
      <c r="B189" s="41" t="s">
        <v>85</v>
      </c>
      <c r="C189" s="65" t="str">
        <f>VLOOKUP(B:B,Brand!B:C,2,0)</f>
        <v>Ichitan</v>
      </c>
      <c r="D189" s="63">
        <f>VLOOKUP(E:E,'Product Category'!J:O,6,FALSE)</f>
        <v>123</v>
      </c>
      <c r="E189" s="41" t="s">
        <v>2133</v>
      </c>
      <c r="F189" s="63" t="str">
        <f>VLOOKUP(E:E,'Product Category'!J:K,2,FALSE)</f>
        <v>25-Tea</v>
      </c>
      <c r="G189" s="63" t="str">
        <f>VLOOKUP(F:F,'Product Category'!K:L,2,FALSE)</f>
        <v>3-Beverages</v>
      </c>
      <c r="H189" s="41" t="s">
        <v>3944</v>
      </c>
      <c r="I189" s="41" t="s">
        <v>3945</v>
      </c>
      <c r="J189" s="65" t="str">
        <f>TRIM(CONCATENATE(B189," ",H189," ",L189," ",M189," ",O189,P189," ",Q189))</f>
        <v>อิชิตัน ชาเขียวน้ำผึ้งผสมมะนาว 420 มล. x24 ขวด</v>
      </c>
      <c r="K189" s="80" t="str">
        <f>TRIM(CONCATENATE(C189," ",I189," ",L189," ",N189," ",O189,P189," ",R189))</f>
        <v>Ichitan GREENTEA HONEYLEMON 420 ml x24 bottle</v>
      </c>
      <c r="L189" s="41">
        <v>420</v>
      </c>
      <c r="M189" s="41" t="s">
        <v>66</v>
      </c>
      <c r="N189" s="41" t="str">
        <f>VLOOKUP(M:M,Unit!B:C,2,0)</f>
        <v>ml</v>
      </c>
      <c r="O189" s="41" t="s">
        <v>67</v>
      </c>
      <c r="P189" s="41">
        <v>24</v>
      </c>
      <c r="Q189" s="41" t="s">
        <v>95</v>
      </c>
      <c r="R189" s="41" t="str">
        <f>VLOOKUP(Q:Q,Unit!B:D,2,0)</f>
        <v>bottle</v>
      </c>
      <c r="S189" s="41" t="s">
        <v>75</v>
      </c>
      <c r="T189" s="41" t="str">
        <f>VLOOKUP(S:S,Promo!B:D,2,0)</f>
        <v>Promo EN</v>
      </c>
      <c r="W189" s="41">
        <v>300</v>
      </c>
      <c r="X189" s="41">
        <v>235</v>
      </c>
      <c r="AB189" s="41" t="s">
        <v>2056</v>
      </c>
      <c r="AG189" s="41" t="s">
        <v>71</v>
      </c>
      <c r="AH189" s="41" t="s">
        <v>1846</v>
      </c>
      <c r="AI189" s="41" t="s">
        <v>71</v>
      </c>
      <c r="AJ189" s="41" t="s">
        <v>71</v>
      </c>
      <c r="AK189" s="41" t="s">
        <v>71</v>
      </c>
      <c r="AL189" s="41" t="s">
        <v>71</v>
      </c>
      <c r="AU189" s="41" t="s">
        <v>3946</v>
      </c>
      <c r="AV189" s="41" t="s">
        <v>3947</v>
      </c>
      <c r="BS189" s="41" t="s">
        <v>2058</v>
      </c>
      <c r="BT189" s="41" t="s">
        <v>72</v>
      </c>
      <c r="BW189" s="41" t="s">
        <v>72</v>
      </c>
      <c r="BX189" s="41">
        <f>VLOOKUP(B:B,Brand!B:D,3,0)</f>
        <v>673</v>
      </c>
      <c r="BY189" s="41">
        <f>VLOOKUP(M:M,Unit!B:D,3,0)</f>
        <v>4</v>
      </c>
      <c r="BZ189" s="41">
        <f>VLOOKUP(S:S,Promo!B:D,3,0)</f>
        <v>0</v>
      </c>
    </row>
    <row r="190" spans="1:78" s="41" customFormat="1" ht="15.75" customHeight="1">
      <c r="A190" s="41">
        <v>198599</v>
      </c>
      <c r="B190" s="41" t="s">
        <v>333</v>
      </c>
      <c r="C190" s="65" t="str">
        <f>VLOOKUP(B:B,Brand!B:C,2,0)</f>
        <v>Q-BIZ</v>
      </c>
      <c r="D190" s="63">
        <f>VLOOKUP(E:E,'Product Category'!J:O,6,FALSE)</f>
        <v>123</v>
      </c>
      <c r="E190" s="41" t="s">
        <v>2133</v>
      </c>
      <c r="F190" s="63" t="str">
        <f>VLOOKUP(E:E,'Product Category'!J:K,2,FALSE)</f>
        <v>25-Tea</v>
      </c>
      <c r="G190" s="63" t="str">
        <f>VLOOKUP(F:F,'Product Category'!K:L,2,FALSE)</f>
        <v>3-Beverages</v>
      </c>
      <c r="H190" s="41" t="s">
        <v>4003</v>
      </c>
      <c r="I190" s="41" t="s">
        <v>4004</v>
      </c>
      <c r="J190" s="41" t="s">
        <v>4887</v>
      </c>
      <c r="K190" s="41" t="s">
        <v>4888</v>
      </c>
      <c r="L190" s="41">
        <v>12</v>
      </c>
      <c r="M190" s="41" t="s">
        <v>177</v>
      </c>
      <c r="N190" s="41" t="str">
        <f>VLOOKUP(M:M,Unit!B:C,2,0)</f>
        <v>roll</v>
      </c>
      <c r="O190" s="41" t="s">
        <v>67</v>
      </c>
      <c r="P190" s="41">
        <v>1</v>
      </c>
      <c r="Q190" s="41" t="s">
        <v>179</v>
      </c>
      <c r="R190" s="41" t="str">
        <f>VLOOKUP(Q:Q,Unit!B:D,2,0)</f>
        <v>pack</v>
      </c>
      <c r="S190" s="41" t="s">
        <v>75</v>
      </c>
      <c r="T190" s="41" t="str">
        <f>VLOOKUP(S:S,Promo!B:D,2,0)</f>
        <v>Promo EN</v>
      </c>
      <c r="W190" s="41">
        <v>169</v>
      </c>
      <c r="X190" s="41">
        <v>125</v>
      </c>
      <c r="AB190" s="41" t="s">
        <v>2056</v>
      </c>
      <c r="AG190" s="41" t="s">
        <v>71</v>
      </c>
      <c r="AH190" s="41" t="s">
        <v>71</v>
      </c>
      <c r="AI190" s="41" t="s">
        <v>71</v>
      </c>
      <c r="AJ190" s="41" t="s">
        <v>71</v>
      </c>
      <c r="AK190" s="41" t="s">
        <v>71</v>
      </c>
      <c r="AL190" s="41" t="s">
        <v>71</v>
      </c>
      <c r="BS190" s="41" t="s">
        <v>2058</v>
      </c>
      <c r="BT190" s="41" t="s">
        <v>72</v>
      </c>
      <c r="BW190" s="41" t="s">
        <v>72</v>
      </c>
      <c r="BX190" s="41">
        <f>VLOOKUP(B:B,Brand!B:D,3,0)</f>
        <v>80</v>
      </c>
      <c r="BY190" s="41">
        <f>VLOOKUP(M:M,Unit!B:D,3,0)</f>
        <v>13</v>
      </c>
      <c r="BZ190" s="41">
        <f>VLOOKUP(S:S,Promo!B:D,3,0)</f>
        <v>0</v>
      </c>
    </row>
    <row r="191" spans="1:78" s="41" customFormat="1" ht="15.75" customHeight="1">
      <c r="A191" s="41">
        <v>109346</v>
      </c>
      <c r="B191" s="41" t="s">
        <v>713</v>
      </c>
      <c r="C191" s="65" t="str">
        <f>VLOOKUP(B:B,Brand!B:C,2,0)</f>
        <v>Nestea</v>
      </c>
      <c r="D191" s="63">
        <f>VLOOKUP(E:E,'Product Category'!J:O,6,FALSE)</f>
        <v>123</v>
      </c>
      <c r="E191" s="41" t="s">
        <v>2133</v>
      </c>
      <c r="F191" s="63" t="str">
        <f>VLOOKUP(E:E,'Product Category'!J:K,2,FALSE)</f>
        <v>25-Tea</v>
      </c>
      <c r="G191" s="63" t="str">
        <f>VLOOKUP(F:F,'Product Category'!K:L,2,FALSE)</f>
        <v>3-Beverages</v>
      </c>
      <c r="H191" s="41" t="s">
        <v>4018</v>
      </c>
      <c r="I191" s="41" t="s">
        <v>4019</v>
      </c>
      <c r="J191" s="41" t="s">
        <v>4895</v>
      </c>
      <c r="K191" s="41" t="s">
        <v>4896</v>
      </c>
      <c r="L191" s="41">
        <v>12.5</v>
      </c>
      <c r="M191" s="41" t="s">
        <v>83</v>
      </c>
      <c r="N191" s="41" t="str">
        <f>VLOOKUP(M:M,Unit!B:C,2,0)</f>
        <v>g</v>
      </c>
      <c r="O191" s="41" t="s">
        <v>67</v>
      </c>
      <c r="P191" s="41">
        <v>18</v>
      </c>
      <c r="Q191" s="41" t="s">
        <v>135</v>
      </c>
      <c r="R191" s="41" t="str">
        <f>VLOOKUP(Q:Q,Unit!B:D,2,0)</f>
        <v>g</v>
      </c>
      <c r="S191" s="41" t="s">
        <v>75</v>
      </c>
      <c r="T191" s="41" t="str">
        <f>VLOOKUP(S:S,Promo!B:D,2,0)</f>
        <v>Promo EN</v>
      </c>
      <c r="X191" s="41">
        <v>81</v>
      </c>
      <c r="AB191" s="41" t="s">
        <v>2056</v>
      </c>
      <c r="AF191" s="41" t="s">
        <v>3373</v>
      </c>
      <c r="AG191" s="41" t="s">
        <v>71</v>
      </c>
      <c r="AH191" s="41" t="s">
        <v>71</v>
      </c>
      <c r="AI191" s="41" t="s">
        <v>71</v>
      </c>
      <c r="AJ191" s="41" t="s">
        <v>71</v>
      </c>
      <c r="AK191" s="41" t="s">
        <v>71</v>
      </c>
      <c r="AL191" s="41" t="s">
        <v>71</v>
      </c>
      <c r="AP191" s="41" t="s">
        <v>4015</v>
      </c>
      <c r="AU191" s="41" t="s">
        <v>2216</v>
      </c>
      <c r="AV191" s="41" t="s">
        <v>4020</v>
      </c>
      <c r="BS191" s="41" t="s">
        <v>2058</v>
      </c>
      <c r="BT191" s="41" t="s">
        <v>72</v>
      </c>
      <c r="BW191" s="41" t="s">
        <v>72</v>
      </c>
      <c r="BX191" s="41">
        <f>VLOOKUP(B:B,Brand!B:D,3,0)</f>
        <v>336</v>
      </c>
      <c r="BY191" s="41">
        <f>VLOOKUP(M:M,Unit!B:D,3,0)</f>
        <v>1</v>
      </c>
      <c r="BZ191" s="41">
        <f>VLOOKUP(S:S,Promo!B:D,3,0)</f>
        <v>0</v>
      </c>
    </row>
    <row r="192" spans="1:78" s="41" customFormat="1" ht="15.75" customHeight="1">
      <c r="A192" s="41">
        <v>224356</v>
      </c>
      <c r="B192" s="41" t="s">
        <v>375</v>
      </c>
      <c r="C192" s="65" t="str">
        <f>VLOOKUP(B:B,Brand!B:C,2,0)</f>
        <v>Jub Jai</v>
      </c>
      <c r="D192" s="63">
        <f>VLOOKUP(E:E,'Product Category'!J:O,6,FALSE)</f>
        <v>123</v>
      </c>
      <c r="E192" s="41" t="s">
        <v>2133</v>
      </c>
      <c r="F192" s="63" t="str">
        <f>VLOOKUP(E:E,'Product Category'!J:K,2,FALSE)</f>
        <v>25-Tea</v>
      </c>
      <c r="G192" s="63" t="str">
        <f>VLOOKUP(F:F,'Product Category'!K:L,2,FALSE)</f>
        <v>3-Beverages</v>
      </c>
      <c r="H192" s="41" t="s">
        <v>4240</v>
      </c>
      <c r="I192" s="41" t="s">
        <v>4241</v>
      </c>
      <c r="J192" s="41" t="s">
        <v>5079</v>
      </c>
      <c r="K192" s="41" t="s">
        <v>5080</v>
      </c>
      <c r="L192" s="41">
        <v>400</v>
      </c>
      <c r="M192" s="41" t="s">
        <v>66</v>
      </c>
      <c r="N192" s="41" t="str">
        <f>VLOOKUP(M:M,Unit!B:C,2,0)</f>
        <v>ml</v>
      </c>
      <c r="O192" s="41" t="s">
        <v>67</v>
      </c>
      <c r="P192" s="41">
        <v>24</v>
      </c>
      <c r="Q192" s="41" t="s">
        <v>95</v>
      </c>
      <c r="R192" s="41" t="str">
        <f>VLOOKUP(Q:Q,Unit!B:D,2,0)</f>
        <v>bottle</v>
      </c>
      <c r="S192" s="41" t="s">
        <v>75</v>
      </c>
      <c r="T192" s="41" t="str">
        <f>VLOOKUP(S:S,Promo!B:D,2,0)</f>
        <v>Promo EN</v>
      </c>
      <c r="W192" s="41">
        <v>199</v>
      </c>
      <c r="X192" s="41">
        <v>170</v>
      </c>
      <c r="AB192" s="41" t="s">
        <v>2062</v>
      </c>
      <c r="AG192" s="41" t="s">
        <v>71</v>
      </c>
      <c r="AH192" s="41" t="s">
        <v>1846</v>
      </c>
      <c r="AI192" s="41" t="s">
        <v>71</v>
      </c>
      <c r="AJ192" s="41" t="s">
        <v>71</v>
      </c>
      <c r="AK192" s="41" t="s">
        <v>71</v>
      </c>
      <c r="AL192" s="41" t="s">
        <v>71</v>
      </c>
      <c r="BS192" s="41" t="s">
        <v>2058</v>
      </c>
      <c r="BT192" s="41" t="s">
        <v>72</v>
      </c>
      <c r="BW192" s="41" t="s">
        <v>72</v>
      </c>
      <c r="BX192" s="41">
        <f>VLOOKUP(B:B,Brand!B:D,3,0)</f>
        <v>110</v>
      </c>
      <c r="BY192" s="41">
        <f>VLOOKUP(M:M,Unit!B:D,3,0)</f>
        <v>4</v>
      </c>
      <c r="BZ192" s="41">
        <f>VLOOKUP(S:S,Promo!B:D,3,0)</f>
        <v>0</v>
      </c>
    </row>
    <row r="193" spans="1:78" s="41" customFormat="1" ht="15.75" customHeight="1">
      <c r="A193" s="41">
        <v>978393</v>
      </c>
      <c r="D193" s="63">
        <f>VLOOKUP(E:E,'Product Category'!J:O,6,FALSE)</f>
        <v>123</v>
      </c>
      <c r="E193" s="41" t="s">
        <v>2133</v>
      </c>
      <c r="F193" s="63" t="str">
        <f>VLOOKUP(E:E,'Product Category'!J:K,2,FALSE)</f>
        <v>25-Tea</v>
      </c>
      <c r="G193" s="63" t="str">
        <f>VLOOKUP(F:F,'Product Category'!K:L,2,FALSE)</f>
        <v>3-Beverages</v>
      </c>
      <c r="H193" s="41" t="s">
        <v>4454</v>
      </c>
      <c r="I193" s="41" t="s">
        <v>4455</v>
      </c>
      <c r="J193" s="65" t="str">
        <f>TRIM(CONCATENATE(B193," ",H193," ",L193," ",M193," ",O193,P193," ",Q193))</f>
        <v>ร่มสนามผ้าไนล่อน มีชาย 1.8 ม. 36 น. 1 คัน x1 ชิ้น</v>
      </c>
      <c r="K193" s="80" t="str">
        <f>TRIM(CONCATENATE(C193," ",I193," ",L193," ",N193," ",O193,P193," ",R193))</f>
        <v>UMBELLA 1.8 M. 36" 1 each x1 pc</v>
      </c>
      <c r="L193" s="41">
        <v>1</v>
      </c>
      <c r="M193" s="41" t="s">
        <v>1810</v>
      </c>
      <c r="N193" s="41" t="str">
        <f>VLOOKUP(M:M,Unit!B:C,2,0)</f>
        <v>each</v>
      </c>
      <c r="O193" s="41" t="s">
        <v>67</v>
      </c>
      <c r="P193" s="41">
        <v>1</v>
      </c>
      <c r="Q193" s="41" t="s">
        <v>68</v>
      </c>
      <c r="R193" s="41" t="str">
        <f>VLOOKUP(Q:Q,Unit!B:D,2,0)</f>
        <v>pc</v>
      </c>
      <c r="S193" s="41" t="s">
        <v>75</v>
      </c>
      <c r="T193" s="41" t="str">
        <f>VLOOKUP(S:S,Promo!B:D,2,0)</f>
        <v>Promo EN</v>
      </c>
      <c r="W193" s="41">
        <v>399</v>
      </c>
      <c r="X193" s="41">
        <v>299</v>
      </c>
      <c r="AB193" s="41" t="s">
        <v>2056</v>
      </c>
      <c r="AF193" s="41" t="s">
        <v>3373</v>
      </c>
      <c r="AG193" s="41" t="s">
        <v>71</v>
      </c>
      <c r="AH193" s="41" t="s">
        <v>71</v>
      </c>
      <c r="AI193" s="41" t="s">
        <v>71</v>
      </c>
      <c r="AJ193" s="41" t="s">
        <v>71</v>
      </c>
      <c r="AK193" s="41" t="s">
        <v>71</v>
      </c>
      <c r="AL193" s="41" t="s">
        <v>71</v>
      </c>
      <c r="AS193" s="41" t="s">
        <v>4452</v>
      </c>
      <c r="AT193" s="41" t="s">
        <v>4453</v>
      </c>
      <c r="BS193" s="41" t="s">
        <v>2058</v>
      </c>
      <c r="BT193" s="41" t="s">
        <v>72</v>
      </c>
      <c r="BW193" s="41" t="s">
        <v>72</v>
      </c>
      <c r="BY193" s="41">
        <f>VLOOKUP(M:M,Unit!B:D,3,0)</f>
        <v>32</v>
      </c>
      <c r="BZ193" s="41">
        <f>VLOOKUP(S:S,Promo!B:D,3,0)</f>
        <v>0</v>
      </c>
    </row>
    <row r="194" spans="1:78" s="41" customFormat="1" ht="15.75" customHeight="1">
      <c r="A194" s="41">
        <v>228286</v>
      </c>
      <c r="D194" s="63">
        <f>VLOOKUP(E:E,'Product Category'!J:O,6,FALSE)</f>
        <v>123</v>
      </c>
      <c r="E194" s="41" t="s">
        <v>2133</v>
      </c>
      <c r="F194" s="63" t="str">
        <f>VLOOKUP(E:E,'Product Category'!J:K,2,FALSE)</f>
        <v>25-Tea</v>
      </c>
      <c r="G194" s="63" t="str">
        <f>VLOOKUP(F:F,'Product Category'!K:L,2,FALSE)</f>
        <v>3-Beverages</v>
      </c>
      <c r="H194" s="41" t="s">
        <v>4477</v>
      </c>
      <c r="I194" s="41" t="s">
        <v>4478</v>
      </c>
      <c r="J194" s="65" t="str">
        <f>TRIM(CONCATENATE(B194," ",H194," ",L194," ",M194," ",O194,P194," ",Q194))</f>
        <v>ร่มชายหาด 1.5 เมตร (คละลาย) 1 คัน x1 ชิ้น</v>
      </c>
      <c r="K194" s="80" t="str">
        <f>TRIM(CONCATENATE(C194," ",I194," ",L194," ",N194," ",O194,P194," ",R194))</f>
        <v>BEACH UMBRELLA 1.5 M. ASSORTED 1 each x1 pc</v>
      </c>
      <c r="L194" s="41">
        <v>1</v>
      </c>
      <c r="M194" s="41" t="s">
        <v>1810</v>
      </c>
      <c r="N194" s="41" t="str">
        <f>VLOOKUP(M:M,Unit!B:C,2,0)</f>
        <v>each</v>
      </c>
      <c r="O194" s="41" t="s">
        <v>67</v>
      </c>
      <c r="P194" s="41">
        <v>1</v>
      </c>
      <c r="Q194" s="41" t="s">
        <v>68</v>
      </c>
      <c r="R194" s="41" t="str">
        <f>VLOOKUP(Q:Q,Unit!B:D,2,0)</f>
        <v>pc</v>
      </c>
      <c r="S194" s="41" t="s">
        <v>75</v>
      </c>
      <c r="T194" s="41" t="str">
        <f>VLOOKUP(S:S,Promo!B:D,2,0)</f>
        <v>Promo EN</v>
      </c>
      <c r="W194" s="41">
        <v>149</v>
      </c>
      <c r="X194" s="41">
        <v>99</v>
      </c>
      <c r="AB194" s="41" t="s">
        <v>91</v>
      </c>
      <c r="AG194" s="41" t="s">
        <v>71</v>
      </c>
      <c r="AH194" s="41" t="s">
        <v>71</v>
      </c>
      <c r="AI194" s="41" t="s">
        <v>71</v>
      </c>
      <c r="AJ194" s="41" t="s">
        <v>71</v>
      </c>
      <c r="AK194" s="41" t="s">
        <v>71</v>
      </c>
      <c r="AL194" s="41" t="s">
        <v>71</v>
      </c>
      <c r="AS194" s="41" t="s">
        <v>4479</v>
      </c>
      <c r="AT194" s="41" t="s">
        <v>4480</v>
      </c>
      <c r="BS194" s="41" t="s">
        <v>2058</v>
      </c>
      <c r="BT194" s="41" t="s">
        <v>72</v>
      </c>
      <c r="BW194" s="41" t="s">
        <v>72</v>
      </c>
      <c r="BY194" s="41">
        <f>VLOOKUP(M:M,Unit!B:D,3,0)</f>
        <v>32</v>
      </c>
      <c r="BZ194" s="41">
        <f>VLOOKUP(S:S,Promo!B:D,3,0)</f>
        <v>0</v>
      </c>
    </row>
    <row r="195" spans="1:78" s="41" customFormat="1" ht="15.75" customHeight="1">
      <c r="A195" s="41">
        <v>163474</v>
      </c>
      <c r="B195" s="41" t="s">
        <v>414</v>
      </c>
      <c r="C195" s="65" t="str">
        <f>VLOOKUP(B:B,Brand!B:C,2,0)</f>
        <v>Schweppes</v>
      </c>
      <c r="D195" s="63">
        <f>VLOOKUP(E:E,'Product Category'!J:O,6,FALSE)</f>
        <v>125</v>
      </c>
      <c r="E195" s="41" t="s">
        <v>2205</v>
      </c>
      <c r="F195" s="63" t="str">
        <f>VLOOKUP(E:E,'Product Category'!J:K,2,FALSE)</f>
        <v>26-Soft Drink</v>
      </c>
      <c r="G195" s="63" t="str">
        <f>VLOOKUP(F:F,'Product Category'!K:L,2,FALSE)</f>
        <v>3-Beverages</v>
      </c>
      <c r="H195" s="41" t="s">
        <v>4034</v>
      </c>
      <c r="I195" s="41" t="s">
        <v>4035</v>
      </c>
      <c r="J195" s="41" t="s">
        <v>4909</v>
      </c>
      <c r="K195" s="41" t="s">
        <v>4910</v>
      </c>
      <c r="L195" s="41">
        <v>330</v>
      </c>
      <c r="M195" s="41" t="s">
        <v>66</v>
      </c>
      <c r="N195" s="41" t="str">
        <f>VLOOKUP(M:M,Unit!B:C,2,0)</f>
        <v>ml</v>
      </c>
      <c r="O195" s="41" t="s">
        <v>67</v>
      </c>
      <c r="P195" s="41">
        <v>6</v>
      </c>
      <c r="Q195" s="41" t="s">
        <v>2154</v>
      </c>
      <c r="R195" s="41" t="str">
        <f>VLOOKUP(Q:Q,Unit!B:D,2,0)</f>
        <v>can</v>
      </c>
      <c r="S195" s="41" t="s">
        <v>75</v>
      </c>
      <c r="T195" s="41" t="str">
        <f>VLOOKUP(S:S,Promo!B:D,2,0)</f>
        <v>Promo EN</v>
      </c>
      <c r="X195" s="41">
        <v>74</v>
      </c>
      <c r="AB195" s="41" t="s">
        <v>91</v>
      </c>
      <c r="AG195" s="41" t="s">
        <v>71</v>
      </c>
      <c r="AH195" s="41" t="s">
        <v>71</v>
      </c>
      <c r="AI195" s="41" t="s">
        <v>71</v>
      </c>
      <c r="AJ195" s="41" t="s">
        <v>71</v>
      </c>
      <c r="AK195" s="41" t="s">
        <v>71</v>
      </c>
      <c r="AL195" s="41" t="s">
        <v>71</v>
      </c>
      <c r="AP195" s="41" t="s">
        <v>3483</v>
      </c>
      <c r="AS195" s="41" t="s">
        <v>4036</v>
      </c>
      <c r="AT195" s="41" t="s">
        <v>4034</v>
      </c>
      <c r="BS195" s="41" t="s">
        <v>2058</v>
      </c>
      <c r="BT195" s="41" t="s">
        <v>72</v>
      </c>
      <c r="BW195" s="41" t="s">
        <v>72</v>
      </c>
      <c r="BX195" s="41">
        <f>VLOOKUP(B:B,Brand!B:D,3,0)</f>
        <v>135</v>
      </c>
      <c r="BY195" s="41">
        <f>VLOOKUP(M:M,Unit!B:D,3,0)</f>
        <v>4</v>
      </c>
      <c r="BZ195" s="41">
        <f>VLOOKUP(S:S,Promo!B:D,3,0)</f>
        <v>0</v>
      </c>
    </row>
    <row r="196" spans="1:78" s="41" customFormat="1" ht="15.75" customHeight="1">
      <c r="A196" s="41">
        <v>100516</v>
      </c>
      <c r="B196" s="41" t="s">
        <v>414</v>
      </c>
      <c r="C196" s="65" t="str">
        <f>VLOOKUP(B:B,Brand!B:C,2,0)</f>
        <v>Schweppes</v>
      </c>
      <c r="D196" s="63">
        <f>VLOOKUP(E:E,'Product Category'!J:O,6,FALSE)</f>
        <v>125</v>
      </c>
      <c r="E196" s="41" t="s">
        <v>2205</v>
      </c>
      <c r="F196" s="63" t="str">
        <f>VLOOKUP(E:E,'Product Category'!J:K,2,FALSE)</f>
        <v>26-Soft Drink</v>
      </c>
      <c r="G196" s="63" t="str">
        <f>VLOOKUP(F:F,'Product Category'!K:L,2,FALSE)</f>
        <v>3-Beverages</v>
      </c>
      <c r="H196" s="41" t="s">
        <v>4034</v>
      </c>
      <c r="I196" s="41" t="s">
        <v>4035</v>
      </c>
      <c r="J196" s="41" t="s">
        <v>4911</v>
      </c>
      <c r="K196" s="41" t="s">
        <v>4910</v>
      </c>
      <c r="L196" s="41">
        <v>330</v>
      </c>
      <c r="M196" s="41" t="s">
        <v>66</v>
      </c>
      <c r="N196" s="41" t="str">
        <f>VLOOKUP(M:M,Unit!B:C,2,0)</f>
        <v>ml</v>
      </c>
      <c r="O196" s="41" t="s">
        <v>67</v>
      </c>
      <c r="P196" s="41">
        <v>6</v>
      </c>
      <c r="Q196" s="41" t="s">
        <v>2154</v>
      </c>
      <c r="R196" s="41" t="str">
        <f>VLOOKUP(Q:Q,Unit!B:D,2,0)</f>
        <v>can</v>
      </c>
      <c r="S196" s="41" t="s">
        <v>75</v>
      </c>
      <c r="T196" s="41" t="str">
        <f>VLOOKUP(S:S,Promo!B:D,2,0)</f>
        <v>Promo EN</v>
      </c>
      <c r="X196" s="41">
        <v>74</v>
      </c>
      <c r="AB196" s="41" t="s">
        <v>91</v>
      </c>
      <c r="AG196" s="41" t="s">
        <v>71</v>
      </c>
      <c r="AH196" s="41" t="s">
        <v>71</v>
      </c>
      <c r="AI196" s="41" t="s">
        <v>71</v>
      </c>
      <c r="AJ196" s="41" t="s">
        <v>71</v>
      </c>
      <c r="AK196" s="41" t="s">
        <v>71</v>
      </c>
      <c r="AL196" s="41" t="s">
        <v>71</v>
      </c>
      <c r="AP196" s="41" t="s">
        <v>3483</v>
      </c>
      <c r="AS196" s="41" t="s">
        <v>4036</v>
      </c>
      <c r="BS196" s="41" t="s">
        <v>2058</v>
      </c>
      <c r="BT196" s="41" t="s">
        <v>72</v>
      </c>
      <c r="BW196" s="41" t="s">
        <v>72</v>
      </c>
      <c r="BX196" s="41">
        <f>VLOOKUP(B:B,Brand!B:D,3,0)</f>
        <v>135</v>
      </c>
      <c r="BY196" s="41">
        <f>VLOOKUP(M:M,Unit!B:D,3,0)</f>
        <v>4</v>
      </c>
      <c r="BZ196" s="41">
        <f>VLOOKUP(S:S,Promo!B:D,3,0)</f>
        <v>0</v>
      </c>
    </row>
    <row r="197" spans="1:78" s="41" customFormat="1" ht="15.75" customHeight="1">
      <c r="A197" s="41">
        <v>219560</v>
      </c>
      <c r="B197" s="41" t="s">
        <v>2256</v>
      </c>
      <c r="C197" s="65" t="str">
        <f>VLOOKUP(B:B,Brand!B:C,2,0)</f>
        <v>est</v>
      </c>
      <c r="D197" s="63">
        <f>VLOOKUP(E:E,'Product Category'!J:O,6,FALSE)</f>
        <v>126</v>
      </c>
      <c r="E197" s="41" t="s">
        <v>2057</v>
      </c>
      <c r="F197" s="63" t="str">
        <f>VLOOKUP(E:E,'Product Category'!J:K,2,FALSE)</f>
        <v>26-Soft Drink</v>
      </c>
      <c r="G197" s="63" t="str">
        <f>VLOOKUP(F:F,'Product Category'!K:L,2,FALSE)</f>
        <v>3-Beverages</v>
      </c>
      <c r="H197" s="41" t="s">
        <v>2176</v>
      </c>
      <c r="I197" s="41" t="s">
        <v>2336</v>
      </c>
      <c r="J197" s="41" t="s">
        <v>4543</v>
      </c>
      <c r="K197" s="41" t="s">
        <v>4544</v>
      </c>
      <c r="L197" s="41">
        <v>490</v>
      </c>
      <c r="M197" s="41" t="s">
        <v>66</v>
      </c>
      <c r="N197" s="41" t="str">
        <f>VLOOKUP(M:M,Unit!B:C,2,0)</f>
        <v>ml</v>
      </c>
      <c r="O197" s="41" t="s">
        <v>67</v>
      </c>
      <c r="P197" s="41">
        <v>12</v>
      </c>
      <c r="Q197" s="41" t="s">
        <v>95</v>
      </c>
      <c r="R197" s="41" t="str">
        <f>VLOOKUP(Q:Q,Unit!B:D,2,0)</f>
        <v>bottle</v>
      </c>
      <c r="S197" s="41" t="s">
        <v>75</v>
      </c>
      <c r="T197" s="41" t="str">
        <f>VLOOKUP(S:S,Promo!B:D,2,0)</f>
        <v>Promo EN</v>
      </c>
      <c r="W197" s="41">
        <v>124</v>
      </c>
      <c r="X197" s="41">
        <v>105</v>
      </c>
      <c r="AB197" s="41" t="s">
        <v>2056</v>
      </c>
      <c r="AF197" s="41" t="s">
        <v>3373</v>
      </c>
      <c r="AG197" s="41" t="s">
        <v>71</v>
      </c>
      <c r="AH197" s="41" t="s">
        <v>71</v>
      </c>
      <c r="AI197" s="41" t="s">
        <v>71</v>
      </c>
      <c r="AJ197" s="41" t="s">
        <v>71</v>
      </c>
      <c r="AK197" s="41" t="s">
        <v>71</v>
      </c>
      <c r="AL197" s="41" t="s">
        <v>71</v>
      </c>
      <c r="BS197" s="41" t="s">
        <v>2058</v>
      </c>
      <c r="BT197" s="41" t="s">
        <v>72</v>
      </c>
      <c r="BW197" s="41" t="s">
        <v>72</v>
      </c>
      <c r="BX197" s="41">
        <f>VLOOKUP(B:B,Brand!B:D,3,0)</f>
        <v>992</v>
      </c>
      <c r="BY197" s="41">
        <f>VLOOKUP(M:M,Unit!B:D,3,0)</f>
        <v>4</v>
      </c>
      <c r="BZ197" s="41">
        <f>VLOOKUP(S:S,Promo!B:D,3,0)</f>
        <v>0</v>
      </c>
    </row>
    <row r="198" spans="1:78" s="41" customFormat="1" ht="15.75" customHeight="1">
      <c r="A198" s="41">
        <v>161190</v>
      </c>
      <c r="B198" s="41" t="s">
        <v>73</v>
      </c>
      <c r="C198" s="65" t="str">
        <f>VLOOKUP(B:B,Brand!B:C,2,0)</f>
        <v>Coca-Cola</v>
      </c>
      <c r="D198" s="63">
        <f>VLOOKUP(E:E,'Product Category'!J:O,6,FALSE)</f>
        <v>126</v>
      </c>
      <c r="E198" s="41" t="s">
        <v>2057</v>
      </c>
      <c r="F198" s="63" t="str">
        <f>VLOOKUP(E:E,'Product Category'!J:K,2,FALSE)</f>
        <v>26-Soft Drink</v>
      </c>
      <c r="G198" s="63" t="str">
        <f>VLOOKUP(F:F,'Product Category'!K:L,2,FALSE)</f>
        <v>3-Beverages</v>
      </c>
      <c r="H198" s="41" t="s">
        <v>2176</v>
      </c>
      <c r="I198" s="41" t="s">
        <v>125</v>
      </c>
      <c r="J198" s="41" t="s">
        <v>4553</v>
      </c>
      <c r="K198" s="41" t="s">
        <v>4554</v>
      </c>
      <c r="L198" s="41">
        <v>590</v>
      </c>
      <c r="M198" s="41" t="s">
        <v>66</v>
      </c>
      <c r="N198" s="41" t="str">
        <f>VLOOKUP(M:M,Unit!B:C,2,0)</f>
        <v>ml</v>
      </c>
      <c r="O198" s="41" t="s">
        <v>67</v>
      </c>
      <c r="P198" s="41">
        <v>12</v>
      </c>
      <c r="Q198" s="41" t="s">
        <v>95</v>
      </c>
      <c r="R198" s="41" t="str">
        <f>VLOOKUP(Q:Q,Unit!B:D,2,0)</f>
        <v>bottle</v>
      </c>
      <c r="S198" s="41" t="s">
        <v>75</v>
      </c>
      <c r="T198" s="41" t="str">
        <f>VLOOKUP(S:S,Promo!B:D,2,0)</f>
        <v>Promo EN</v>
      </c>
      <c r="X198" s="41">
        <v>150</v>
      </c>
      <c r="AB198" s="41" t="s">
        <v>91</v>
      </c>
      <c r="AF198" s="41" t="s">
        <v>3415</v>
      </c>
      <c r="AG198" s="41" t="s">
        <v>71</v>
      </c>
      <c r="AH198" s="41" t="s">
        <v>1846</v>
      </c>
      <c r="AI198" s="41" t="s">
        <v>71</v>
      </c>
      <c r="AJ198" s="41" t="s">
        <v>71</v>
      </c>
      <c r="AK198" s="41" t="s">
        <v>71</v>
      </c>
      <c r="AL198" s="41" t="s">
        <v>71</v>
      </c>
      <c r="AP198" s="41" t="s">
        <v>3483</v>
      </c>
      <c r="BS198" s="41" t="s">
        <v>2058</v>
      </c>
      <c r="BT198" s="41" t="s">
        <v>72</v>
      </c>
      <c r="BW198" s="41" t="s">
        <v>72</v>
      </c>
      <c r="BX198" s="41">
        <f>VLOOKUP(B:B,Brand!B:D,3,0)</f>
        <v>98</v>
      </c>
      <c r="BY198" s="41">
        <f>VLOOKUP(M:M,Unit!B:D,3,0)</f>
        <v>4</v>
      </c>
      <c r="BZ198" s="41">
        <f>VLOOKUP(S:S,Promo!B:D,3,0)</f>
        <v>0</v>
      </c>
    </row>
    <row r="199" spans="1:78" s="41" customFormat="1" ht="15.75" customHeight="1">
      <c r="A199" s="41">
        <v>142144</v>
      </c>
      <c r="B199" s="41" t="s">
        <v>73</v>
      </c>
      <c r="C199" s="65" t="str">
        <f>VLOOKUP(B:B,Brand!B:C,2,0)</f>
        <v>Coca-Cola</v>
      </c>
      <c r="D199" s="63">
        <f>VLOOKUP(E:E,'Product Category'!J:O,6,FALSE)</f>
        <v>126</v>
      </c>
      <c r="E199" s="41" t="s">
        <v>2057</v>
      </c>
      <c r="F199" s="63" t="str">
        <f>VLOOKUP(E:E,'Product Category'!J:K,2,FALSE)</f>
        <v>26-Soft Drink</v>
      </c>
      <c r="G199" s="63" t="str">
        <f>VLOOKUP(F:F,'Product Category'!K:L,2,FALSE)</f>
        <v>3-Beverages</v>
      </c>
      <c r="H199" s="41" t="s">
        <v>2176</v>
      </c>
      <c r="I199" s="41" t="s">
        <v>125</v>
      </c>
      <c r="J199" s="41" t="s">
        <v>4553</v>
      </c>
      <c r="K199" s="41" t="s">
        <v>4554</v>
      </c>
      <c r="L199" s="41">
        <v>590</v>
      </c>
      <c r="M199" s="41" t="s">
        <v>66</v>
      </c>
      <c r="N199" s="41" t="str">
        <f>VLOOKUP(M:M,Unit!B:C,2,0)</f>
        <v>ml</v>
      </c>
      <c r="O199" s="41" t="s">
        <v>67</v>
      </c>
      <c r="P199" s="41">
        <v>12</v>
      </c>
      <c r="Q199" s="41" t="s">
        <v>95</v>
      </c>
      <c r="R199" s="41" t="str">
        <f>VLOOKUP(Q:Q,Unit!B:D,2,0)</f>
        <v>bottle</v>
      </c>
      <c r="S199" s="41" t="s">
        <v>75</v>
      </c>
      <c r="T199" s="41" t="str">
        <f>VLOOKUP(S:S,Promo!B:D,2,0)</f>
        <v>Promo EN</v>
      </c>
      <c r="X199" s="41">
        <v>150</v>
      </c>
      <c r="AB199" s="41" t="s">
        <v>91</v>
      </c>
      <c r="AF199" s="41" t="s">
        <v>3484</v>
      </c>
      <c r="AG199" s="41" t="s">
        <v>71</v>
      </c>
      <c r="AH199" s="41" t="s">
        <v>1846</v>
      </c>
      <c r="AI199" s="41" t="s">
        <v>71</v>
      </c>
      <c r="AJ199" s="41" t="s">
        <v>3388</v>
      </c>
      <c r="AK199" s="41" t="s">
        <v>71</v>
      </c>
      <c r="AL199" s="41" t="s">
        <v>71</v>
      </c>
      <c r="AP199" s="41" t="s">
        <v>3483</v>
      </c>
      <c r="BS199" s="41" t="s">
        <v>2058</v>
      </c>
      <c r="BT199" s="41" t="s">
        <v>72</v>
      </c>
      <c r="BW199" s="41" t="s">
        <v>72</v>
      </c>
      <c r="BX199" s="41">
        <f>VLOOKUP(B:B,Brand!B:D,3,0)</f>
        <v>98</v>
      </c>
      <c r="BY199" s="41">
        <f>VLOOKUP(M:M,Unit!B:D,3,0)</f>
        <v>4</v>
      </c>
      <c r="BZ199" s="41">
        <f>VLOOKUP(S:S,Promo!B:D,3,0)</f>
        <v>0</v>
      </c>
    </row>
    <row r="200" spans="1:78" s="41" customFormat="1" ht="15.75" customHeight="1">
      <c r="A200" s="41">
        <v>219555</v>
      </c>
      <c r="B200" s="41" t="s">
        <v>2256</v>
      </c>
      <c r="C200" s="65" t="str">
        <f>VLOOKUP(B:B,Brand!B:C,2,0)</f>
        <v>est</v>
      </c>
      <c r="D200" s="63">
        <f>VLOOKUP(E:E,'Product Category'!J:O,6,FALSE)</f>
        <v>126</v>
      </c>
      <c r="E200" s="41" t="s">
        <v>2057</v>
      </c>
      <c r="F200" s="63" t="str">
        <f>VLOOKUP(E:E,'Product Category'!J:K,2,FALSE)</f>
        <v>26-Soft Drink</v>
      </c>
      <c r="G200" s="63" t="str">
        <f>VLOOKUP(F:F,'Product Category'!K:L,2,FALSE)</f>
        <v>3-Beverages</v>
      </c>
      <c r="H200" s="41" t="s">
        <v>3612</v>
      </c>
      <c r="I200" s="41" t="s">
        <v>3613</v>
      </c>
      <c r="J200" s="41" t="s">
        <v>4625</v>
      </c>
      <c r="K200" s="41" t="s">
        <v>4626</v>
      </c>
      <c r="L200" s="41">
        <v>1</v>
      </c>
      <c r="M200" s="41" t="s">
        <v>94</v>
      </c>
      <c r="N200" s="41" t="str">
        <f>VLOOKUP(M:M,Unit!B:C,2,0)</f>
        <v>L</v>
      </c>
      <c r="O200" s="41" t="s">
        <v>67</v>
      </c>
      <c r="P200" s="41">
        <v>12</v>
      </c>
      <c r="Q200" s="41" t="s">
        <v>95</v>
      </c>
      <c r="R200" s="41" t="str">
        <f>VLOOKUP(Q:Q,Unit!B:D,2,0)</f>
        <v>bottle</v>
      </c>
      <c r="S200" s="41" t="s">
        <v>75</v>
      </c>
      <c r="T200" s="41" t="str">
        <f>VLOOKUP(S:S,Promo!B:D,2,0)</f>
        <v>Promo EN</v>
      </c>
      <c r="W200" s="41">
        <v>205</v>
      </c>
      <c r="X200" s="41">
        <v>182</v>
      </c>
      <c r="AB200" s="41" t="s">
        <v>91</v>
      </c>
      <c r="AG200" s="41" t="s">
        <v>71</v>
      </c>
      <c r="AH200" s="41" t="s">
        <v>71</v>
      </c>
      <c r="AI200" s="41" t="s">
        <v>71</v>
      </c>
      <c r="AJ200" s="41" t="s">
        <v>71</v>
      </c>
      <c r="AK200" s="41" t="s">
        <v>71</v>
      </c>
      <c r="AL200" s="41" t="s">
        <v>71</v>
      </c>
      <c r="AU200" s="41" t="s">
        <v>3614</v>
      </c>
      <c r="AV200" s="41" t="s">
        <v>3615</v>
      </c>
      <c r="BS200" s="41" t="s">
        <v>2058</v>
      </c>
      <c r="BT200" s="41" t="s">
        <v>72</v>
      </c>
      <c r="BW200" s="41" t="s">
        <v>72</v>
      </c>
      <c r="BX200" s="41">
        <f>VLOOKUP(B:B,Brand!B:D,3,0)</f>
        <v>992</v>
      </c>
      <c r="BY200" s="41">
        <f>VLOOKUP(M:M,Unit!B:D,3,0)</f>
        <v>7</v>
      </c>
      <c r="BZ200" s="41">
        <f>VLOOKUP(S:S,Promo!B:D,3,0)</f>
        <v>0</v>
      </c>
    </row>
    <row r="201" spans="1:78" s="41" customFormat="1" ht="15.75" customHeight="1">
      <c r="A201" s="41">
        <v>59215</v>
      </c>
      <c r="B201" s="41" t="s">
        <v>73</v>
      </c>
      <c r="C201" s="65" t="str">
        <f>VLOOKUP(B:B,Brand!B:C,2,0)</f>
        <v>Coca-Cola</v>
      </c>
      <c r="D201" s="63">
        <f>VLOOKUP(E:E,'Product Category'!J:O,6,FALSE)</f>
        <v>126</v>
      </c>
      <c r="E201" s="41" t="s">
        <v>2057</v>
      </c>
      <c r="F201" s="63" t="str">
        <f>VLOOKUP(E:E,'Product Category'!J:K,2,FALSE)</f>
        <v>26-Soft Drink</v>
      </c>
      <c r="G201" s="63" t="str">
        <f>VLOOKUP(F:F,'Product Category'!K:L,2,FALSE)</f>
        <v>3-Beverages</v>
      </c>
      <c r="H201" s="41" t="s">
        <v>3940</v>
      </c>
      <c r="I201" s="41" t="s">
        <v>3941</v>
      </c>
      <c r="J201" s="41" t="s">
        <v>4849</v>
      </c>
      <c r="K201" s="41" t="s">
        <v>4850</v>
      </c>
      <c r="L201" s="41">
        <v>325</v>
      </c>
      <c r="M201" s="41" t="s">
        <v>66</v>
      </c>
      <c r="N201" s="41" t="str">
        <f>VLOOKUP(M:M,Unit!B:C,2,0)</f>
        <v>ml</v>
      </c>
      <c r="O201" s="41" t="s">
        <v>67</v>
      </c>
      <c r="P201" s="41">
        <v>24</v>
      </c>
      <c r="Q201" s="41" t="s">
        <v>2154</v>
      </c>
      <c r="R201" s="41" t="str">
        <f>VLOOKUP(Q:Q,Unit!B:D,2,0)</f>
        <v>can</v>
      </c>
      <c r="S201" s="41" t="s">
        <v>75</v>
      </c>
      <c r="T201" s="41" t="str">
        <f>VLOOKUP(S:S,Promo!B:D,2,0)</f>
        <v>Promo EN</v>
      </c>
      <c r="W201" s="41">
        <v>268</v>
      </c>
      <c r="X201" s="41">
        <v>262</v>
      </c>
      <c r="AB201" s="41" t="s">
        <v>2056</v>
      </c>
      <c r="AG201" s="41" t="s">
        <v>71</v>
      </c>
      <c r="AH201" s="41" t="s">
        <v>71</v>
      </c>
      <c r="AI201" s="41" t="s">
        <v>71</v>
      </c>
      <c r="AJ201" s="41" t="s">
        <v>71</v>
      </c>
      <c r="AK201" s="41" t="s">
        <v>71</v>
      </c>
      <c r="AL201" s="41" t="s">
        <v>71</v>
      </c>
      <c r="BS201" s="41" t="s">
        <v>2058</v>
      </c>
      <c r="BT201" s="41" t="s">
        <v>72</v>
      </c>
      <c r="BW201" s="41" t="s">
        <v>72</v>
      </c>
      <c r="BX201" s="41">
        <f>VLOOKUP(B:B,Brand!B:D,3,0)</f>
        <v>98</v>
      </c>
      <c r="BY201" s="41">
        <f>VLOOKUP(M:M,Unit!B:D,3,0)</f>
        <v>4</v>
      </c>
      <c r="BZ201" s="41">
        <f>VLOOKUP(S:S,Promo!B:D,3,0)</f>
        <v>0</v>
      </c>
    </row>
    <row r="202" spans="1:78" s="41" customFormat="1" ht="15.75" customHeight="1">
      <c r="A202" s="41">
        <v>358579</v>
      </c>
      <c r="B202" s="41" t="s">
        <v>73</v>
      </c>
      <c r="C202" s="65" t="str">
        <f>VLOOKUP(B:B,Brand!B:C,2,0)</f>
        <v>Coca-Cola</v>
      </c>
      <c r="D202" s="63">
        <f>VLOOKUP(E:E,'Product Category'!J:O,6,FALSE)</f>
        <v>126</v>
      </c>
      <c r="E202" s="41" t="s">
        <v>2057</v>
      </c>
      <c r="F202" s="63" t="str">
        <f>VLOOKUP(E:E,'Product Category'!J:K,2,FALSE)</f>
        <v>26-Soft Drink</v>
      </c>
      <c r="G202" s="63" t="str">
        <f>VLOOKUP(F:F,'Product Category'!K:L,2,FALSE)</f>
        <v>3-Beverages</v>
      </c>
      <c r="H202" s="41" t="s">
        <v>3942</v>
      </c>
      <c r="I202" s="41" t="s">
        <v>3943</v>
      </c>
      <c r="J202" s="41" t="s">
        <v>4851</v>
      </c>
      <c r="K202" s="41" t="s">
        <v>4852</v>
      </c>
      <c r="L202" s="41">
        <v>325</v>
      </c>
      <c r="M202" s="41" t="s">
        <v>66</v>
      </c>
      <c r="N202" s="41" t="str">
        <f>VLOOKUP(M:M,Unit!B:C,2,0)</f>
        <v>ml</v>
      </c>
      <c r="O202" s="41" t="s">
        <v>67</v>
      </c>
      <c r="P202" s="41">
        <v>24</v>
      </c>
      <c r="Q202" s="41" t="s">
        <v>2154</v>
      </c>
      <c r="R202" s="41" t="str">
        <f>VLOOKUP(Q:Q,Unit!B:D,2,0)</f>
        <v>can</v>
      </c>
      <c r="S202" s="41" t="s">
        <v>75</v>
      </c>
      <c r="T202" s="41" t="str">
        <f>VLOOKUP(S:S,Promo!B:D,2,0)</f>
        <v>Promo EN</v>
      </c>
      <c r="W202" s="41">
        <v>268</v>
      </c>
      <c r="X202" s="41">
        <v>262</v>
      </c>
      <c r="AB202" s="41" t="s">
        <v>2056</v>
      </c>
      <c r="AG202" s="41" t="s">
        <v>71</v>
      </c>
      <c r="AH202" s="41" t="s">
        <v>71</v>
      </c>
      <c r="AI202" s="41" t="s">
        <v>71</v>
      </c>
      <c r="AJ202" s="41" t="s">
        <v>71</v>
      </c>
      <c r="AK202" s="41" t="s">
        <v>71</v>
      </c>
      <c r="AL202" s="41" t="s">
        <v>71</v>
      </c>
      <c r="BS202" s="41" t="s">
        <v>2058</v>
      </c>
      <c r="BT202" s="41" t="s">
        <v>72</v>
      </c>
      <c r="BW202" s="41" t="s">
        <v>72</v>
      </c>
      <c r="BX202" s="41">
        <f>VLOOKUP(B:B,Brand!B:D,3,0)</f>
        <v>98</v>
      </c>
      <c r="BY202" s="41">
        <f>VLOOKUP(M:M,Unit!B:D,3,0)</f>
        <v>4</v>
      </c>
      <c r="BZ202" s="41">
        <f>VLOOKUP(S:S,Promo!B:D,3,0)</f>
        <v>0</v>
      </c>
    </row>
    <row r="203" spans="1:78" s="41" customFormat="1" ht="15.75" customHeight="1">
      <c r="A203" s="41">
        <v>212514</v>
      </c>
      <c r="B203" s="41" t="s">
        <v>132</v>
      </c>
      <c r="C203" s="65" t="str">
        <f>VLOOKUP(B:B,Brand!B:C,2,0)</f>
        <v>Pepsi</v>
      </c>
      <c r="D203" s="63">
        <f>VLOOKUP(E:E,'Product Category'!J:O,6,FALSE)</f>
        <v>126</v>
      </c>
      <c r="E203" s="41" t="s">
        <v>2057</v>
      </c>
      <c r="F203" s="63" t="str">
        <f>VLOOKUP(E:E,'Product Category'!J:K,2,FALSE)</f>
        <v>26-Soft Drink</v>
      </c>
      <c r="G203" s="63" t="str">
        <f>VLOOKUP(F:F,'Product Category'!K:L,2,FALSE)</f>
        <v>3-Beverages</v>
      </c>
      <c r="H203" s="41" t="s">
        <v>2176</v>
      </c>
      <c r="I203" s="41" t="s">
        <v>125</v>
      </c>
      <c r="J203" s="41" t="s">
        <v>5043</v>
      </c>
      <c r="K203" s="41" t="s">
        <v>5044</v>
      </c>
      <c r="L203" s="41">
        <v>1.26</v>
      </c>
      <c r="M203" s="41" t="s">
        <v>94</v>
      </c>
      <c r="N203" s="41" t="str">
        <f>VLOOKUP(M:M,Unit!B:C,2,0)</f>
        <v>L</v>
      </c>
      <c r="O203" s="41" t="s">
        <v>67</v>
      </c>
      <c r="P203" s="41">
        <v>12</v>
      </c>
      <c r="Q203" s="41" t="s">
        <v>95</v>
      </c>
      <c r="R203" s="41" t="str">
        <f>VLOOKUP(Q:Q,Unit!B:D,2,0)</f>
        <v>bottle</v>
      </c>
      <c r="S203" s="41" t="s">
        <v>75</v>
      </c>
      <c r="T203" s="41" t="str">
        <f>VLOOKUP(S:S,Promo!B:D,2,0)</f>
        <v>Promo EN</v>
      </c>
      <c r="W203" s="41">
        <v>264</v>
      </c>
      <c r="X203" s="41">
        <v>247</v>
      </c>
      <c r="AB203" s="41" t="s">
        <v>91</v>
      </c>
      <c r="AG203" s="41" t="s">
        <v>71</v>
      </c>
      <c r="AH203" s="41" t="s">
        <v>1846</v>
      </c>
      <c r="AI203" s="41" t="s">
        <v>71</v>
      </c>
      <c r="AJ203" s="41" t="s">
        <v>71</v>
      </c>
      <c r="AK203" s="41" t="s">
        <v>71</v>
      </c>
      <c r="AL203" s="41" t="s">
        <v>71</v>
      </c>
      <c r="BS203" s="41" t="s">
        <v>2058</v>
      </c>
      <c r="BT203" s="41" t="s">
        <v>72</v>
      </c>
      <c r="BW203" s="41" t="s">
        <v>72</v>
      </c>
      <c r="BX203" s="41">
        <f>VLOOKUP(B:B,Brand!B:D,3,0)</f>
        <v>402</v>
      </c>
      <c r="BY203" s="41">
        <f>VLOOKUP(M:M,Unit!B:D,3,0)</f>
        <v>7</v>
      </c>
      <c r="BZ203" s="41">
        <f>VLOOKUP(S:S,Promo!B:D,3,0)</f>
        <v>0</v>
      </c>
    </row>
    <row r="204" spans="1:78" s="41" customFormat="1" ht="15.75" customHeight="1">
      <c r="A204" s="41">
        <v>197852</v>
      </c>
      <c r="B204" s="41" t="s">
        <v>132</v>
      </c>
      <c r="C204" s="65" t="str">
        <f>VLOOKUP(B:B,Brand!B:C,2,0)</f>
        <v>Pepsi</v>
      </c>
      <c r="D204" s="63">
        <f>VLOOKUP(E:E,'Product Category'!J:O,6,FALSE)</f>
        <v>126</v>
      </c>
      <c r="E204" s="41" t="s">
        <v>2057</v>
      </c>
      <c r="F204" s="63" t="str">
        <f>VLOOKUP(E:E,'Product Category'!J:K,2,FALSE)</f>
        <v>26-Soft Drink</v>
      </c>
      <c r="G204" s="63" t="str">
        <f>VLOOKUP(F:F,'Product Category'!K:L,2,FALSE)</f>
        <v>3-Beverages</v>
      </c>
      <c r="H204" s="41" t="s">
        <v>4213</v>
      </c>
      <c r="I204" s="41" t="s">
        <v>4214</v>
      </c>
      <c r="J204" s="41" t="s">
        <v>5053</v>
      </c>
      <c r="K204" s="41" t="s">
        <v>5054</v>
      </c>
      <c r="L204" s="41">
        <v>245</v>
      </c>
      <c r="M204" s="41" t="s">
        <v>66</v>
      </c>
      <c r="N204" s="41" t="str">
        <f>VLOOKUP(M:M,Unit!B:C,2,0)</f>
        <v>ml</v>
      </c>
      <c r="O204" s="41" t="s">
        <v>67</v>
      </c>
      <c r="P204" s="41">
        <v>24</v>
      </c>
      <c r="Q204" s="41" t="s">
        <v>68</v>
      </c>
      <c r="R204" s="41" t="str">
        <f>VLOOKUP(Q:Q,Unit!B:D,2,0)</f>
        <v>pc</v>
      </c>
      <c r="S204" s="41" t="s">
        <v>75</v>
      </c>
      <c r="T204" s="41" t="str">
        <f>VLOOKUP(S:S,Promo!B:D,2,0)</f>
        <v>Promo EN</v>
      </c>
      <c r="W204" s="41">
        <v>232</v>
      </c>
      <c r="X204" s="41">
        <v>219</v>
      </c>
      <c r="AB204" s="41" t="s">
        <v>91</v>
      </c>
      <c r="AG204" s="41" t="s">
        <v>71</v>
      </c>
      <c r="AH204" s="41" t="s">
        <v>1846</v>
      </c>
      <c r="AI204" s="41" t="s">
        <v>71</v>
      </c>
      <c r="AJ204" s="41" t="s">
        <v>71</v>
      </c>
      <c r="AK204" s="41" t="s">
        <v>71</v>
      </c>
      <c r="AL204" s="41" t="s">
        <v>71</v>
      </c>
      <c r="BS204" s="41" t="s">
        <v>2058</v>
      </c>
      <c r="BT204" s="41" t="s">
        <v>72</v>
      </c>
      <c r="BW204" s="41" t="s">
        <v>72</v>
      </c>
      <c r="BX204" s="41">
        <f>VLOOKUP(B:B,Brand!B:D,3,0)</f>
        <v>402</v>
      </c>
      <c r="BY204" s="41">
        <f>VLOOKUP(M:M,Unit!B:D,3,0)</f>
        <v>4</v>
      </c>
      <c r="BZ204" s="41">
        <f>VLOOKUP(S:S,Promo!B:D,3,0)</f>
        <v>0</v>
      </c>
    </row>
    <row r="205" spans="1:78" s="41" customFormat="1" ht="15.75" customHeight="1">
      <c r="A205" s="41">
        <v>223284</v>
      </c>
      <c r="B205" s="41" t="s">
        <v>132</v>
      </c>
      <c r="C205" s="65" t="str">
        <f>VLOOKUP(B:B,Brand!B:C,2,0)</f>
        <v>Pepsi</v>
      </c>
      <c r="D205" s="63">
        <f>VLOOKUP(E:E,'Product Category'!J:O,6,FALSE)</f>
        <v>126</v>
      </c>
      <c r="E205" s="41" t="s">
        <v>2057</v>
      </c>
      <c r="F205" s="63" t="str">
        <f>VLOOKUP(E:E,'Product Category'!J:K,2,FALSE)</f>
        <v>26-Soft Drink</v>
      </c>
      <c r="G205" s="63" t="str">
        <f>VLOOKUP(F:F,'Product Category'!K:L,2,FALSE)</f>
        <v>3-Beverages</v>
      </c>
      <c r="H205" s="41" t="s">
        <v>2176</v>
      </c>
      <c r="I205" s="41" t="s">
        <v>4439</v>
      </c>
      <c r="J205" s="41" t="s">
        <v>5222</v>
      </c>
      <c r="K205" s="41" t="s">
        <v>5223</v>
      </c>
      <c r="L205" s="41">
        <v>430</v>
      </c>
      <c r="M205" s="41" t="s">
        <v>66</v>
      </c>
      <c r="N205" s="41" t="str">
        <f>VLOOKUP(M:M,Unit!B:C,2,0)</f>
        <v>ml</v>
      </c>
      <c r="O205" s="41" t="s">
        <v>67</v>
      </c>
      <c r="P205" s="41">
        <v>24</v>
      </c>
      <c r="Q205" s="41" t="s">
        <v>95</v>
      </c>
      <c r="R205" s="41" t="str">
        <f>VLOOKUP(Q:Q,Unit!B:D,2,0)</f>
        <v>bottle</v>
      </c>
      <c r="S205" s="41" t="s">
        <v>75</v>
      </c>
      <c r="T205" s="41" t="str">
        <f>VLOOKUP(S:S,Promo!B:D,2,0)</f>
        <v>Promo EN</v>
      </c>
      <c r="W205" s="41">
        <v>261</v>
      </c>
      <c r="X205" s="41">
        <v>246</v>
      </c>
      <c r="AB205" s="41" t="s">
        <v>91</v>
      </c>
      <c r="AG205" s="41" t="s">
        <v>1845</v>
      </c>
      <c r="AH205" s="41" t="s">
        <v>1846</v>
      </c>
      <c r="AI205" s="41" t="s">
        <v>71</v>
      </c>
      <c r="AJ205" s="41" t="s">
        <v>3388</v>
      </c>
      <c r="AK205" s="41" t="s">
        <v>71</v>
      </c>
      <c r="AL205" s="41" t="s">
        <v>71</v>
      </c>
      <c r="BS205" s="41" t="s">
        <v>2058</v>
      </c>
      <c r="BT205" s="41" t="s">
        <v>72</v>
      </c>
      <c r="BW205" s="41" t="s">
        <v>72</v>
      </c>
      <c r="BX205" s="41">
        <f>VLOOKUP(B:B,Brand!B:D,3,0)</f>
        <v>402</v>
      </c>
      <c r="BY205" s="41">
        <f>VLOOKUP(M:M,Unit!B:D,3,0)</f>
        <v>4</v>
      </c>
      <c r="BZ205" s="41">
        <f>VLOOKUP(S:S,Promo!B:D,3,0)</f>
        <v>0</v>
      </c>
    </row>
    <row r="206" spans="1:78" s="41" customFormat="1" ht="15.75" customHeight="1">
      <c r="A206" s="41">
        <v>146131</v>
      </c>
      <c r="B206" s="41" t="s">
        <v>2692</v>
      </c>
      <c r="C206" s="65" t="str">
        <f>VLOOKUP(B:B,Brand!B:C,2,0)</f>
        <v>DM</v>
      </c>
      <c r="D206" s="63">
        <f>VLOOKUP(E:E,'Product Category'!J:O,6,FALSE)</f>
        <v>129</v>
      </c>
      <c r="E206" s="41" t="s">
        <v>2140</v>
      </c>
      <c r="F206" s="63" t="str">
        <f>VLOOKUP(E:E,'Product Category'!J:K,2,FALSE)</f>
        <v>27-Health Supplement</v>
      </c>
      <c r="G206" s="63" t="str">
        <f>VLOOKUP(F:F,'Product Category'!K:L,2,FALSE)</f>
        <v>3-Beverages</v>
      </c>
      <c r="H206" s="41" t="s">
        <v>4055</v>
      </c>
      <c r="I206" s="41" t="s">
        <v>4056</v>
      </c>
      <c r="J206" s="41" t="s">
        <v>4934</v>
      </c>
      <c r="K206" s="41" t="s">
        <v>4935</v>
      </c>
      <c r="L206" s="41">
        <v>1</v>
      </c>
      <c r="M206" s="41" t="s">
        <v>79</v>
      </c>
      <c r="N206" s="41" t="str">
        <f>VLOOKUP(M:M,Unit!B:C,2,0)</f>
        <v>kg</v>
      </c>
      <c r="O206" s="41" t="s">
        <v>67</v>
      </c>
      <c r="P206" s="41">
        <v>1</v>
      </c>
      <c r="Q206" s="41" t="s">
        <v>68</v>
      </c>
      <c r="R206" s="41" t="str">
        <f>VLOOKUP(Q:Q,Unit!B:D,2,0)</f>
        <v>pc</v>
      </c>
      <c r="S206" s="41" t="s">
        <v>75</v>
      </c>
      <c r="T206" s="41" t="str">
        <f>VLOOKUP(S:S,Promo!B:D,2,0)</f>
        <v>Promo EN</v>
      </c>
      <c r="W206" s="41">
        <v>59</v>
      </c>
      <c r="X206" s="41">
        <v>57</v>
      </c>
      <c r="AB206" s="41" t="s">
        <v>2056</v>
      </c>
      <c r="AG206" s="41" t="s">
        <v>71</v>
      </c>
      <c r="AH206" s="41" t="s">
        <v>71</v>
      </c>
      <c r="AI206" s="41" t="s">
        <v>71</v>
      </c>
      <c r="AJ206" s="41" t="s">
        <v>71</v>
      </c>
      <c r="AK206" s="41" t="s">
        <v>71</v>
      </c>
      <c r="AL206" s="41" t="s">
        <v>71</v>
      </c>
      <c r="BS206" s="41" t="s">
        <v>2058</v>
      </c>
      <c r="BT206" s="41" t="s">
        <v>72</v>
      </c>
      <c r="BW206" s="41" t="s">
        <v>72</v>
      </c>
      <c r="BX206" s="41">
        <f>VLOOKUP(B:B,Brand!B:D,3,0)</f>
        <v>1111</v>
      </c>
      <c r="BY206" s="41">
        <f>VLOOKUP(M:M,Unit!B:D,3,0)</f>
        <v>2</v>
      </c>
      <c r="BZ206" s="41">
        <f>VLOOKUP(S:S,Promo!B:D,3,0)</f>
        <v>0</v>
      </c>
    </row>
    <row r="207" spans="1:78" s="41" customFormat="1" ht="15.75" customHeight="1">
      <c r="A207" s="41">
        <v>146128</v>
      </c>
      <c r="B207" s="41" t="s">
        <v>2692</v>
      </c>
      <c r="C207" s="65" t="str">
        <f>VLOOKUP(B:B,Brand!B:C,2,0)</f>
        <v>DM</v>
      </c>
      <c r="D207" s="63">
        <f>VLOOKUP(E:E,'Product Category'!J:O,6,FALSE)</f>
        <v>129</v>
      </c>
      <c r="E207" s="41" t="s">
        <v>2140</v>
      </c>
      <c r="F207" s="63" t="str">
        <f>VLOOKUP(E:E,'Product Category'!J:K,2,FALSE)</f>
        <v>27-Health Supplement</v>
      </c>
      <c r="G207" s="63" t="str">
        <f>VLOOKUP(F:F,'Product Category'!K:L,2,FALSE)</f>
        <v>3-Beverages</v>
      </c>
      <c r="H207" s="41" t="s">
        <v>4057</v>
      </c>
      <c r="I207" s="41" t="s">
        <v>4058</v>
      </c>
      <c r="J207" s="41" t="s">
        <v>4936</v>
      </c>
      <c r="K207" s="41" t="s">
        <v>4937</v>
      </c>
      <c r="L207" s="41">
        <v>1</v>
      </c>
      <c r="M207" s="41" t="s">
        <v>79</v>
      </c>
      <c r="N207" s="41" t="str">
        <f>VLOOKUP(M:M,Unit!B:C,2,0)</f>
        <v>kg</v>
      </c>
      <c r="O207" s="41" t="s">
        <v>67</v>
      </c>
      <c r="P207" s="41">
        <v>1</v>
      </c>
      <c r="Q207" s="41" t="s">
        <v>68</v>
      </c>
      <c r="R207" s="41" t="str">
        <f>VLOOKUP(Q:Q,Unit!B:D,2,0)</f>
        <v>pc</v>
      </c>
      <c r="S207" s="41" t="s">
        <v>75</v>
      </c>
      <c r="T207" s="41" t="str">
        <f>VLOOKUP(S:S,Promo!B:D,2,0)</f>
        <v>Promo EN</v>
      </c>
      <c r="W207" s="41">
        <v>59</v>
      </c>
      <c r="X207" s="41">
        <v>57</v>
      </c>
      <c r="AB207" s="41" t="s">
        <v>2056</v>
      </c>
      <c r="AG207" s="41" t="s">
        <v>71</v>
      </c>
      <c r="AH207" s="41" t="s">
        <v>71</v>
      </c>
      <c r="AI207" s="41" t="s">
        <v>71</v>
      </c>
      <c r="AJ207" s="41" t="s">
        <v>71</v>
      </c>
      <c r="AK207" s="41" t="s">
        <v>71</v>
      </c>
      <c r="AL207" s="41" t="s">
        <v>71</v>
      </c>
      <c r="BS207" s="41" t="s">
        <v>2058</v>
      </c>
      <c r="BT207" s="41" t="s">
        <v>72</v>
      </c>
      <c r="BW207" s="41" t="s">
        <v>72</v>
      </c>
      <c r="BX207" s="41">
        <f>VLOOKUP(B:B,Brand!B:D,3,0)</f>
        <v>1111</v>
      </c>
      <c r="BY207" s="41">
        <f>VLOOKUP(M:M,Unit!B:D,3,0)</f>
        <v>2</v>
      </c>
      <c r="BZ207" s="41">
        <f>VLOOKUP(S:S,Promo!B:D,3,0)</f>
        <v>0</v>
      </c>
    </row>
    <row r="208" spans="1:78" s="41" customFormat="1" ht="15.75" customHeight="1">
      <c r="A208" s="41">
        <v>173820</v>
      </c>
      <c r="B208" s="41" t="s">
        <v>1870</v>
      </c>
      <c r="C208" s="65" t="str">
        <f>VLOOKUP(B:B,Brand!B:C,2,0)</f>
        <v>Scotch</v>
      </c>
      <c r="D208" s="63">
        <f>VLOOKUP(E:E,'Product Category'!J:O,6,FALSE)</f>
        <v>130</v>
      </c>
      <c r="E208" s="41" t="s">
        <v>2206</v>
      </c>
      <c r="F208" s="63" t="str">
        <f>VLOOKUP(E:E,'Product Category'!J:K,2,FALSE)</f>
        <v>27-Health Supplement</v>
      </c>
      <c r="G208" s="63" t="str">
        <f>VLOOKUP(F:F,'Product Category'!K:L,2,FALSE)</f>
        <v>3-Beverages</v>
      </c>
      <c r="H208" s="41" t="s">
        <v>3645</v>
      </c>
      <c r="I208" s="41" t="s">
        <v>3646</v>
      </c>
      <c r="J208" s="65" t="str">
        <f>TRIM(CONCATENATE(B208," ",H208," ",L208," ",M208," ",O208,P208," ",Q208))</f>
        <v>สก๊อต รังนกแท้ รอยัลพรีเมี่ยม สูตรไซลิทอล 45 มล. x6 ชิ้น</v>
      </c>
      <c r="K208" s="80" t="str">
        <f>TRIM(CONCATENATE(C208," ",I208," ",L208," ",N208," ",O208,P208," ",R208))</f>
        <v>Scotch ROYALE PREMIUM XYLITOL 45 ml x6 pc</v>
      </c>
      <c r="L208" s="41">
        <v>45</v>
      </c>
      <c r="M208" s="41" t="s">
        <v>66</v>
      </c>
      <c r="N208" s="41" t="str">
        <f>VLOOKUP(M:M,Unit!B:C,2,0)</f>
        <v>ml</v>
      </c>
      <c r="O208" s="41" t="s">
        <v>67</v>
      </c>
      <c r="P208" s="41">
        <v>6</v>
      </c>
      <c r="Q208" s="41" t="s">
        <v>68</v>
      </c>
      <c r="R208" s="41" t="str">
        <f>VLOOKUP(Q:Q,Unit!B:D,2,0)</f>
        <v>pc</v>
      </c>
      <c r="S208" s="41" t="s">
        <v>75</v>
      </c>
      <c r="T208" s="41" t="str">
        <f>VLOOKUP(S:S,Promo!B:D,2,0)</f>
        <v>Promo EN</v>
      </c>
      <c r="W208" s="41">
        <v>529</v>
      </c>
      <c r="X208" s="41">
        <v>499</v>
      </c>
      <c r="AB208" s="41" t="s">
        <v>91</v>
      </c>
      <c r="AG208" s="41" t="s">
        <v>71</v>
      </c>
      <c r="AH208" s="41" t="s">
        <v>71</v>
      </c>
      <c r="AI208" s="41" t="s">
        <v>71</v>
      </c>
      <c r="AJ208" s="41" t="s">
        <v>71</v>
      </c>
      <c r="AK208" s="41" t="s">
        <v>71</v>
      </c>
      <c r="AL208" s="41" t="s">
        <v>71</v>
      </c>
      <c r="AP208" s="41" t="s">
        <v>3647</v>
      </c>
      <c r="BS208" s="41" t="s">
        <v>2058</v>
      </c>
      <c r="BT208" s="41" t="s">
        <v>72</v>
      </c>
      <c r="BW208" s="41" t="s">
        <v>72</v>
      </c>
      <c r="BX208" s="41">
        <f>VLOOKUP(B:B,Brand!B:D,3,0)</f>
        <v>877</v>
      </c>
      <c r="BY208" s="41">
        <f>VLOOKUP(M:M,Unit!B:D,3,0)</f>
        <v>4</v>
      </c>
      <c r="BZ208" s="41">
        <f>VLOOKUP(S:S,Promo!B:D,3,0)</f>
        <v>0</v>
      </c>
    </row>
    <row r="209" spans="1:78" s="41" customFormat="1" ht="15.75" customHeight="1">
      <c r="A209" s="41">
        <v>179087</v>
      </c>
      <c r="B209" s="41" t="s">
        <v>320</v>
      </c>
      <c r="C209" s="65" t="str">
        <f>VLOOKUP(B:B,Brand!B:C,2,0)</f>
        <v>Carabao Dang</v>
      </c>
      <c r="D209" s="63">
        <f>VLOOKUP(E:E,'Product Category'!J:O,6,FALSE)</f>
        <v>131</v>
      </c>
      <c r="E209" s="41" t="s">
        <v>2130</v>
      </c>
      <c r="F209" s="63" t="str">
        <f>VLOOKUP(E:E,'Product Category'!J:K,2,FALSE)</f>
        <v>27-Health Supplement</v>
      </c>
      <c r="G209" s="63" t="str">
        <f>VLOOKUP(F:F,'Product Category'!K:L,2,FALSE)</f>
        <v>3-Beverages</v>
      </c>
      <c r="H209" s="41" t="s">
        <v>3930</v>
      </c>
      <c r="I209" s="41" t="s">
        <v>3931</v>
      </c>
      <c r="J209" s="41" t="s">
        <v>4835</v>
      </c>
      <c r="K209" s="41" t="s">
        <v>4836</v>
      </c>
      <c r="L209" s="41">
        <v>150</v>
      </c>
      <c r="M209" s="41" t="s">
        <v>66</v>
      </c>
      <c r="N209" s="41" t="str">
        <f>VLOOKUP(M:M,Unit!B:C,2,0)</f>
        <v>ml</v>
      </c>
      <c r="O209" s="41" t="s">
        <v>67</v>
      </c>
      <c r="P209" s="41">
        <v>50</v>
      </c>
      <c r="Q209" s="41" t="s">
        <v>95</v>
      </c>
      <c r="R209" s="41" t="str">
        <f>VLOOKUP(Q:Q,Unit!B:D,2,0)</f>
        <v>bottle</v>
      </c>
      <c r="S209" s="41" t="s">
        <v>75</v>
      </c>
      <c r="T209" s="41" t="str">
        <f>VLOOKUP(S:S,Promo!B:D,2,0)</f>
        <v>Promo EN</v>
      </c>
      <c r="W209" s="41">
        <v>420</v>
      </c>
      <c r="X209" s="41">
        <v>415</v>
      </c>
      <c r="AB209" s="41" t="s">
        <v>91</v>
      </c>
      <c r="AG209" s="41" t="s">
        <v>71</v>
      </c>
      <c r="AH209" s="41" t="s">
        <v>1846</v>
      </c>
      <c r="AI209" s="41" t="s">
        <v>71</v>
      </c>
      <c r="AJ209" s="41" t="s">
        <v>3388</v>
      </c>
      <c r="AK209" s="41" t="s">
        <v>71</v>
      </c>
      <c r="AL209" s="41" t="s">
        <v>71</v>
      </c>
      <c r="BS209" s="41" t="s">
        <v>2058</v>
      </c>
      <c r="BT209" s="41" t="s">
        <v>72</v>
      </c>
      <c r="BW209" s="41" t="s">
        <v>72</v>
      </c>
      <c r="BX209" s="41">
        <f>VLOOKUP(B:B,Brand!B:D,3,0)</f>
        <v>73</v>
      </c>
      <c r="BY209" s="41">
        <f>VLOOKUP(M:M,Unit!B:D,3,0)</f>
        <v>4</v>
      </c>
      <c r="BZ209" s="41">
        <f>VLOOKUP(S:S,Promo!B:D,3,0)</f>
        <v>0</v>
      </c>
    </row>
    <row r="210" spans="1:78" s="41" customFormat="1" ht="15.75" customHeight="1">
      <c r="A210" s="41">
        <v>820676</v>
      </c>
      <c r="B210" s="41" t="s">
        <v>2609</v>
      </c>
      <c r="C210" s="65" t="str">
        <f>VLOOKUP(B:B,Brand!B:C,2,0)</f>
        <v>Nesvita</v>
      </c>
      <c r="D210" s="63">
        <f>VLOOKUP(E:E,'Product Category'!J:O,6,FALSE)</f>
        <v>133</v>
      </c>
      <c r="E210" s="41" t="s">
        <v>2132</v>
      </c>
      <c r="F210" s="63" t="str">
        <f>VLOOKUP(E:E,'Product Category'!J:K,2,FALSE)</f>
        <v>28-Power drink</v>
      </c>
      <c r="G210" s="63" t="str">
        <f>VLOOKUP(F:F,'Product Category'!K:L,2,FALSE)</f>
        <v>3-Beverages</v>
      </c>
      <c r="H210" s="41" t="s">
        <v>3485</v>
      </c>
      <c r="I210" s="41" t="s">
        <v>3486</v>
      </c>
      <c r="J210" s="41" t="s">
        <v>4555</v>
      </c>
      <c r="K210" s="41" t="s">
        <v>4556</v>
      </c>
      <c r="L210" s="41">
        <v>23</v>
      </c>
      <c r="M210" s="41" t="s">
        <v>83</v>
      </c>
      <c r="N210" s="41" t="str">
        <f>VLOOKUP(M:M,Unit!B:C,2,0)</f>
        <v>g</v>
      </c>
      <c r="O210" s="41" t="s">
        <v>67</v>
      </c>
      <c r="P210" s="41">
        <v>10</v>
      </c>
      <c r="Q210" s="41" t="s">
        <v>135</v>
      </c>
      <c r="R210" s="41" t="str">
        <f>VLOOKUP(Q:Q,Unit!B:D,2,0)</f>
        <v>g</v>
      </c>
      <c r="S210" s="41" t="s">
        <v>212</v>
      </c>
      <c r="T210" s="41" t="str">
        <f>VLOOKUP(S:S,Promo!B:D,2,0)</f>
        <v>New</v>
      </c>
      <c r="X210" s="41">
        <v>95</v>
      </c>
      <c r="AB210" s="41" t="s">
        <v>91</v>
      </c>
      <c r="AF210" s="41" t="s">
        <v>3373</v>
      </c>
      <c r="AG210" s="41" t="s">
        <v>71</v>
      </c>
      <c r="AH210" s="41" t="s">
        <v>71</v>
      </c>
      <c r="AI210" s="41" t="s">
        <v>71</v>
      </c>
      <c r="AJ210" s="41" t="s">
        <v>71</v>
      </c>
      <c r="AK210" s="41" t="s">
        <v>71</v>
      </c>
      <c r="AL210" s="41" t="s">
        <v>71</v>
      </c>
      <c r="AP210" s="41" t="s">
        <v>3487</v>
      </c>
      <c r="BS210" s="41" t="s">
        <v>2058</v>
      </c>
      <c r="BT210" s="41" t="s">
        <v>72</v>
      </c>
      <c r="BW210" s="41" t="s">
        <v>72</v>
      </c>
      <c r="BX210" s="41">
        <f>VLOOKUP(B:B,Brand!B:D,3,0)</f>
        <v>1067</v>
      </c>
      <c r="BY210" s="41">
        <f>VLOOKUP(M:M,Unit!B:D,3,0)</f>
        <v>1</v>
      </c>
      <c r="BZ210" s="41">
        <f>VLOOKUP(S:S,Promo!B:D,3,0)</f>
        <v>29</v>
      </c>
    </row>
    <row r="211" spans="1:78" s="41" customFormat="1" ht="15.75" customHeight="1">
      <c r="A211" s="41">
        <v>141413</v>
      </c>
      <c r="B211" s="41" t="s">
        <v>1324</v>
      </c>
      <c r="C211" s="65" t="str">
        <f>VLOOKUP(B:B,Brand!B:C,2,0)</f>
        <v>Ovaltine</v>
      </c>
      <c r="D211" s="63">
        <f>VLOOKUP(E:E,'Product Category'!J:O,6,FALSE)</f>
        <v>134</v>
      </c>
      <c r="E211" s="41" t="s">
        <v>2199</v>
      </c>
      <c r="F211" s="63" t="str">
        <f>VLOOKUP(E:E,'Product Category'!J:K,2,FALSE)</f>
        <v>28-Power drink</v>
      </c>
      <c r="G211" s="63" t="str">
        <f>VLOOKUP(F:F,'Product Category'!K:L,2,FALSE)</f>
        <v>3-Beverages</v>
      </c>
      <c r="H211" s="41" t="s">
        <v>2298</v>
      </c>
      <c r="I211" s="41" t="s">
        <v>2299</v>
      </c>
      <c r="J211" s="41" t="s">
        <v>4659</v>
      </c>
      <c r="K211" s="41" t="s">
        <v>4660</v>
      </c>
      <c r="L211" s="41">
        <v>20</v>
      </c>
      <c r="M211" s="41" t="s">
        <v>83</v>
      </c>
      <c r="N211" s="41" t="str">
        <f>VLOOKUP(M:M,Unit!B:C,2,0)</f>
        <v>g</v>
      </c>
      <c r="O211" s="41" t="s">
        <v>67</v>
      </c>
      <c r="P211" s="41">
        <v>24</v>
      </c>
      <c r="Q211" s="41" t="s">
        <v>68</v>
      </c>
      <c r="R211" s="41" t="str">
        <f>VLOOKUP(Q:Q,Unit!B:D,2,0)</f>
        <v>pc</v>
      </c>
      <c r="S211" s="41" t="s">
        <v>75</v>
      </c>
      <c r="T211" s="41" t="str">
        <f>VLOOKUP(S:S,Promo!B:D,2,0)</f>
        <v>Promo EN</v>
      </c>
      <c r="W211" s="41">
        <v>103</v>
      </c>
      <c r="X211" s="41">
        <v>94</v>
      </c>
      <c r="AB211" s="41" t="s">
        <v>91</v>
      </c>
      <c r="AG211" s="41" t="s">
        <v>71</v>
      </c>
      <c r="AH211" s="41" t="s">
        <v>1846</v>
      </c>
      <c r="AI211" s="41" t="s">
        <v>71</v>
      </c>
      <c r="AJ211" s="41" t="s">
        <v>71</v>
      </c>
      <c r="AK211" s="41" t="s">
        <v>71</v>
      </c>
      <c r="AL211" s="41" t="s">
        <v>71</v>
      </c>
      <c r="AP211" s="41" t="s">
        <v>3641</v>
      </c>
      <c r="AU211" s="41" t="s">
        <v>2108</v>
      </c>
      <c r="AV211" s="41" t="s">
        <v>2168</v>
      </c>
      <c r="BS211" s="41" t="s">
        <v>2058</v>
      </c>
      <c r="BT211" s="41" t="s">
        <v>72</v>
      </c>
      <c r="BW211" s="41" t="s">
        <v>72</v>
      </c>
      <c r="BX211" s="41">
        <f>VLOOKUP(B:B,Brand!B:D,3,0)</f>
        <v>729</v>
      </c>
      <c r="BY211" s="41">
        <f>VLOOKUP(M:M,Unit!B:D,3,0)</f>
        <v>1</v>
      </c>
      <c r="BZ211" s="41">
        <f>VLOOKUP(S:S,Promo!B:D,3,0)</f>
        <v>0</v>
      </c>
    </row>
    <row r="212" spans="1:78" s="41" customFormat="1" ht="15.75" customHeight="1">
      <c r="A212" s="41">
        <v>124964</v>
      </c>
      <c r="B212" s="41" t="s">
        <v>1324</v>
      </c>
      <c r="C212" s="65" t="str">
        <f>VLOOKUP(B:B,Brand!B:C,2,0)</f>
        <v>Ovaltine</v>
      </c>
      <c r="D212" s="63">
        <f>VLOOKUP(E:E,'Product Category'!J:O,6,FALSE)</f>
        <v>134</v>
      </c>
      <c r="E212" s="41" t="s">
        <v>2199</v>
      </c>
      <c r="F212" s="63" t="str">
        <f>VLOOKUP(E:E,'Product Category'!J:K,2,FALSE)</f>
        <v>28-Power drink</v>
      </c>
      <c r="G212" s="63" t="str">
        <f>VLOOKUP(F:F,'Product Category'!K:L,2,FALSE)</f>
        <v>3-Beverages</v>
      </c>
      <c r="H212" s="41" t="s">
        <v>3934</v>
      </c>
      <c r="I212" s="41" t="s">
        <v>3935</v>
      </c>
      <c r="J212" s="41" t="s">
        <v>4843</v>
      </c>
      <c r="K212" s="41" t="s">
        <v>4844</v>
      </c>
      <c r="L212" s="41">
        <v>33</v>
      </c>
      <c r="M212" s="41" t="s">
        <v>83</v>
      </c>
      <c r="N212" s="41" t="str">
        <f>VLOOKUP(M:M,Unit!B:C,2,0)</f>
        <v>g</v>
      </c>
      <c r="O212" s="41" t="s">
        <v>67</v>
      </c>
      <c r="P212" s="41">
        <v>48</v>
      </c>
      <c r="Q212" s="41" t="s">
        <v>68</v>
      </c>
      <c r="R212" s="41" t="str">
        <f>VLOOKUP(Q:Q,Unit!B:D,2,0)</f>
        <v>pc</v>
      </c>
      <c r="S212" s="41" t="s">
        <v>75</v>
      </c>
      <c r="T212" s="41" t="str">
        <f>VLOOKUP(S:S,Promo!B:D,2,0)</f>
        <v>Promo EN</v>
      </c>
      <c r="W212" s="41">
        <v>265</v>
      </c>
      <c r="X212" s="41">
        <v>258</v>
      </c>
      <c r="AB212" s="41" t="s">
        <v>91</v>
      </c>
      <c r="AG212" s="41" t="s">
        <v>71</v>
      </c>
      <c r="AH212" s="41" t="s">
        <v>1846</v>
      </c>
      <c r="AI212" s="41" t="s">
        <v>71</v>
      </c>
      <c r="AJ212" s="41" t="s">
        <v>71</v>
      </c>
      <c r="AK212" s="41" t="s">
        <v>71</v>
      </c>
      <c r="AL212" s="41" t="s">
        <v>71</v>
      </c>
      <c r="AU212" s="41" t="s">
        <v>2108</v>
      </c>
      <c r="AV212" s="41" t="s">
        <v>2168</v>
      </c>
      <c r="BS212" s="41" t="s">
        <v>2058</v>
      </c>
      <c r="BT212" s="41" t="s">
        <v>72</v>
      </c>
      <c r="BW212" s="41" t="s">
        <v>72</v>
      </c>
      <c r="BX212" s="41">
        <f>VLOOKUP(B:B,Brand!B:D,3,0)</f>
        <v>729</v>
      </c>
      <c r="BY212" s="41">
        <f>VLOOKUP(M:M,Unit!B:D,3,0)</f>
        <v>1</v>
      </c>
      <c r="BZ212" s="41">
        <f>VLOOKUP(S:S,Promo!B:D,3,0)</f>
        <v>0</v>
      </c>
    </row>
    <row r="213" spans="1:78" s="41" customFormat="1" ht="15.75" customHeight="1">
      <c r="A213" s="41">
        <v>218760</v>
      </c>
      <c r="B213" s="41" t="s">
        <v>2637</v>
      </c>
      <c r="C213" s="65" t="str">
        <f>VLOOKUP(B:B,Brand!B:C,2,0)</f>
        <v>Olay</v>
      </c>
      <c r="D213" s="63">
        <f>VLOOKUP(E:E,'Product Category'!J:O,6,FALSE)</f>
        <v>135</v>
      </c>
      <c r="E213" s="41" t="s">
        <v>2119</v>
      </c>
      <c r="F213" s="63" t="str">
        <f>VLOOKUP(E:E,'Product Category'!J:K,2,FALSE)</f>
        <v>29-Snack</v>
      </c>
      <c r="G213" s="63" t="str">
        <f>VLOOKUP(F:F,'Product Category'!K:L,2,FALSE)</f>
        <v>4-Snack &amp; Sweets</v>
      </c>
      <c r="H213" s="41" t="s">
        <v>3718</v>
      </c>
      <c r="I213" s="41" t="s">
        <v>3719</v>
      </c>
      <c r="J213" s="41" t="s">
        <v>4721</v>
      </c>
      <c r="K213" s="41" t="s">
        <v>4722</v>
      </c>
      <c r="L213" s="41">
        <v>7.5</v>
      </c>
      <c r="M213" s="41" t="s">
        <v>83</v>
      </c>
      <c r="N213" s="41" t="str">
        <f>VLOOKUP(M:M,Unit!B:C,2,0)</f>
        <v>g</v>
      </c>
      <c r="O213" s="41" t="s">
        <v>67</v>
      </c>
      <c r="P213" s="41">
        <v>6</v>
      </c>
      <c r="Q213" s="41" t="s">
        <v>135</v>
      </c>
      <c r="R213" s="41" t="str">
        <f>VLOOKUP(Q:Q,Unit!B:D,2,0)</f>
        <v>g</v>
      </c>
      <c r="S213" s="41" t="s">
        <v>212</v>
      </c>
      <c r="T213" s="41" t="str">
        <f>VLOOKUP(S:S,Promo!B:D,2,0)</f>
        <v>New</v>
      </c>
      <c r="W213" s="41">
        <v>67</v>
      </c>
      <c r="X213" s="41">
        <v>64</v>
      </c>
      <c r="Z213" s="41" t="s">
        <v>3573</v>
      </c>
      <c r="AA213" s="41" t="s">
        <v>3574</v>
      </c>
      <c r="AB213" s="41" t="s">
        <v>91</v>
      </c>
      <c r="AG213" s="41" t="s">
        <v>71</v>
      </c>
      <c r="AH213" s="41" t="s">
        <v>71</v>
      </c>
      <c r="AI213" s="41" t="s">
        <v>71</v>
      </c>
      <c r="AJ213" s="41" t="s">
        <v>71</v>
      </c>
      <c r="AK213" s="41" t="s">
        <v>71</v>
      </c>
      <c r="AL213" s="41" t="s">
        <v>71</v>
      </c>
      <c r="BS213" s="41" t="s">
        <v>2058</v>
      </c>
      <c r="BT213" s="41" t="s">
        <v>72</v>
      </c>
      <c r="BW213" s="41" t="s">
        <v>72</v>
      </c>
      <c r="BX213" s="41">
        <f>VLOOKUP(B:B,Brand!B:D,3,0)</f>
        <v>1082</v>
      </c>
      <c r="BY213" s="41">
        <f>VLOOKUP(M:M,Unit!B:D,3,0)</f>
        <v>1</v>
      </c>
      <c r="BZ213" s="41">
        <f>VLOOKUP(S:S,Promo!B:D,3,0)</f>
        <v>29</v>
      </c>
    </row>
    <row r="214" spans="1:78" s="41" customFormat="1" ht="15.75" customHeight="1">
      <c r="A214" s="41">
        <v>128267</v>
      </c>
      <c r="B214" s="41" t="s">
        <v>352</v>
      </c>
      <c r="C214" s="65" t="str">
        <f>VLOOKUP(B:B,Brand!B:C,2,0)</f>
        <v>Campus</v>
      </c>
      <c r="D214" s="63">
        <f>VLOOKUP(E:E,'Product Category'!J:O,6,FALSE)</f>
        <v>136</v>
      </c>
      <c r="E214" s="41" t="s">
        <v>2102</v>
      </c>
      <c r="F214" s="63" t="str">
        <f>VLOOKUP(E:E,'Product Category'!J:K,2,FALSE)</f>
        <v>29-Snack</v>
      </c>
      <c r="G214" s="63" t="str">
        <f>VLOOKUP(F:F,'Product Category'!K:L,2,FALSE)</f>
        <v>4-Snack &amp; Sweets</v>
      </c>
      <c r="H214" s="41" t="s">
        <v>3509</v>
      </c>
      <c r="I214" s="41" t="s">
        <v>3510</v>
      </c>
      <c r="J214" s="41" t="s">
        <v>4573</v>
      </c>
      <c r="K214" s="41" t="s">
        <v>4574</v>
      </c>
      <c r="L214" s="41">
        <v>13</v>
      </c>
      <c r="M214" s="41" t="s">
        <v>83</v>
      </c>
      <c r="N214" s="41" t="str">
        <f>VLOOKUP(M:M,Unit!B:C,2,0)</f>
        <v>g</v>
      </c>
      <c r="O214" s="41" t="s">
        <v>67</v>
      </c>
      <c r="P214" s="41">
        <v>12</v>
      </c>
      <c r="Q214" s="41" t="s">
        <v>135</v>
      </c>
      <c r="R214" s="41" t="str">
        <f>VLOOKUP(Q:Q,Unit!B:D,2,0)</f>
        <v>g</v>
      </c>
      <c r="S214" s="41" t="s">
        <v>75</v>
      </c>
      <c r="T214" s="41" t="str">
        <f>VLOOKUP(S:S,Promo!B:D,2,0)</f>
        <v>Promo EN</v>
      </c>
      <c r="W214" s="41">
        <v>50</v>
      </c>
      <c r="X214" s="41">
        <v>47</v>
      </c>
      <c r="AB214" s="41" t="s">
        <v>2062</v>
      </c>
      <c r="AF214" s="41" t="s">
        <v>3415</v>
      </c>
      <c r="AG214" s="41" t="s">
        <v>71</v>
      </c>
      <c r="AH214" s="41" t="s">
        <v>1846</v>
      </c>
      <c r="AI214" s="41" t="s">
        <v>71</v>
      </c>
      <c r="AJ214" s="41" t="s">
        <v>71</v>
      </c>
      <c r="AK214" s="41" t="s">
        <v>71</v>
      </c>
      <c r="AL214" s="41" t="s">
        <v>71</v>
      </c>
      <c r="AP214" s="41" t="s">
        <v>3511</v>
      </c>
      <c r="AU214" s="41" t="s">
        <v>2214</v>
      </c>
      <c r="AV214" s="41" t="s">
        <v>2168</v>
      </c>
      <c r="BS214" s="41" t="s">
        <v>2058</v>
      </c>
      <c r="BT214" s="41" t="s">
        <v>72</v>
      </c>
      <c r="BW214" s="41" t="s">
        <v>72</v>
      </c>
      <c r="BX214" s="41">
        <f>VLOOKUP(B:B,Brand!B:D,3,0)</f>
        <v>92</v>
      </c>
      <c r="BY214" s="41">
        <f>VLOOKUP(M:M,Unit!B:D,3,0)</f>
        <v>1</v>
      </c>
      <c r="BZ214" s="41">
        <f>VLOOKUP(S:S,Promo!B:D,3,0)</f>
        <v>0</v>
      </c>
    </row>
    <row r="215" spans="1:78" s="41" customFormat="1" ht="15.75" customHeight="1">
      <c r="A215" s="41">
        <v>150200</v>
      </c>
      <c r="B215" s="41" t="s">
        <v>181</v>
      </c>
      <c r="C215" s="65" t="str">
        <f>VLOOKUP(B:B,Brand!B:C,2,0)</f>
        <v>Lotus</v>
      </c>
      <c r="D215" s="63">
        <f>VLOOKUP(E:E,'Product Category'!J:O,6,FALSE)</f>
        <v>136</v>
      </c>
      <c r="E215" s="41" t="s">
        <v>2102</v>
      </c>
      <c r="F215" s="63" t="str">
        <f>VLOOKUP(E:E,'Product Category'!J:K,2,FALSE)</f>
        <v>29-Snack</v>
      </c>
      <c r="G215" s="63" t="str">
        <f>VLOOKUP(F:F,'Product Category'!K:L,2,FALSE)</f>
        <v>4-Snack &amp; Sweets</v>
      </c>
      <c r="H215" s="41" t="s">
        <v>3584</v>
      </c>
      <c r="I215" s="41" t="s">
        <v>3585</v>
      </c>
      <c r="J215" s="41" t="s">
        <v>4609</v>
      </c>
      <c r="K215" s="41" t="s">
        <v>4610</v>
      </c>
      <c r="L215" s="41">
        <v>18</v>
      </c>
      <c r="M215" s="41" t="s">
        <v>83</v>
      </c>
      <c r="N215" s="41" t="str">
        <f>VLOOKUP(M:M,Unit!B:C,2,0)</f>
        <v>g</v>
      </c>
      <c r="O215" s="41" t="s">
        <v>67</v>
      </c>
      <c r="P215" s="41">
        <v>6</v>
      </c>
      <c r="Q215" s="41" t="s">
        <v>154</v>
      </c>
      <c r="R215" s="41" t="str">
        <f>VLOOKUP(Q:Q,Unit!B:D,2,0)</f>
        <v>pack</v>
      </c>
      <c r="S215" s="41" t="s">
        <v>75</v>
      </c>
      <c r="T215" s="41" t="str">
        <f>VLOOKUP(S:S,Promo!B:D,2,0)</f>
        <v>Promo EN</v>
      </c>
      <c r="W215" s="41">
        <v>25</v>
      </c>
      <c r="X215" s="41">
        <v>24</v>
      </c>
      <c r="AB215" s="41" t="s">
        <v>91</v>
      </c>
      <c r="AG215" s="41" t="s">
        <v>71</v>
      </c>
      <c r="AH215" s="41" t="s">
        <v>71</v>
      </c>
      <c r="AI215" s="41" t="s">
        <v>71</v>
      </c>
      <c r="AJ215" s="41" t="s">
        <v>71</v>
      </c>
      <c r="AK215" s="41" t="s">
        <v>71</v>
      </c>
      <c r="AL215" s="41" t="s">
        <v>71</v>
      </c>
      <c r="AU215" s="41" t="s">
        <v>3586</v>
      </c>
      <c r="AV215" s="41" t="s">
        <v>3587</v>
      </c>
      <c r="BS215" s="41" t="s">
        <v>2058</v>
      </c>
      <c r="BT215" s="41" t="s">
        <v>72</v>
      </c>
      <c r="BW215" s="41" t="s">
        <v>72</v>
      </c>
      <c r="BX215" s="41">
        <f>VLOOKUP(B:B,Brand!B:D,3,0)</f>
        <v>583</v>
      </c>
      <c r="BY215" s="41">
        <f>VLOOKUP(M:M,Unit!B:D,3,0)</f>
        <v>1</v>
      </c>
      <c r="BZ215" s="41">
        <f>VLOOKUP(S:S,Promo!B:D,3,0)</f>
        <v>0</v>
      </c>
    </row>
    <row r="216" spans="1:78" s="41" customFormat="1" ht="15.75" customHeight="1">
      <c r="A216" s="41">
        <v>200887</v>
      </c>
      <c r="B216" s="41" t="s">
        <v>811</v>
      </c>
      <c r="C216" s="65" t="str">
        <f>VLOOKUP(B:B,Brand!B:C,2,0)</f>
        <v>PuThai</v>
      </c>
      <c r="D216" s="63">
        <f>VLOOKUP(E:E,'Product Category'!J:O,6,FALSE)</f>
        <v>136</v>
      </c>
      <c r="E216" s="41" t="s">
        <v>2102</v>
      </c>
      <c r="F216" s="63" t="str">
        <f>VLOOKUP(E:E,'Product Category'!J:K,2,FALSE)</f>
        <v>29-Snack</v>
      </c>
      <c r="G216" s="63" t="str">
        <f>VLOOKUP(F:F,'Product Category'!K:L,2,FALSE)</f>
        <v>4-Snack &amp; Sweets</v>
      </c>
      <c r="H216" s="41" t="s">
        <v>3599</v>
      </c>
      <c r="I216" s="41" t="s">
        <v>3600</v>
      </c>
      <c r="J216" s="41" t="s">
        <v>4619</v>
      </c>
      <c r="K216" s="41" t="s">
        <v>4620</v>
      </c>
      <c r="L216" s="41">
        <v>14</v>
      </c>
      <c r="M216" s="41" t="s">
        <v>83</v>
      </c>
      <c r="N216" s="41" t="str">
        <f>VLOOKUP(M:M,Unit!B:C,2,0)</f>
        <v>g</v>
      </c>
      <c r="O216" s="41" t="s">
        <v>67</v>
      </c>
      <c r="P216" s="41">
        <v>12</v>
      </c>
      <c r="Q216" s="41" t="s">
        <v>68</v>
      </c>
      <c r="R216" s="41" t="str">
        <f>VLOOKUP(Q:Q,Unit!B:D,2,0)</f>
        <v>pc</v>
      </c>
      <c r="S216" s="41" t="s">
        <v>75</v>
      </c>
      <c r="T216" s="41" t="str">
        <f>VLOOKUP(S:S,Promo!B:D,2,0)</f>
        <v>Promo EN</v>
      </c>
      <c r="W216" s="41">
        <v>49.5</v>
      </c>
      <c r="X216" s="41">
        <v>47.5</v>
      </c>
      <c r="AB216" s="41" t="s">
        <v>91</v>
      </c>
      <c r="AG216" s="41" t="s">
        <v>71</v>
      </c>
      <c r="AH216" s="41" t="s">
        <v>71</v>
      </c>
      <c r="AI216" s="41" t="s">
        <v>71</v>
      </c>
      <c r="AJ216" s="41" t="s">
        <v>71</v>
      </c>
      <c r="AK216" s="41" t="s">
        <v>71</v>
      </c>
      <c r="AL216" s="41" t="s">
        <v>71</v>
      </c>
      <c r="AU216" s="41" t="s">
        <v>3601</v>
      </c>
      <c r="AV216" s="41" t="s">
        <v>3602</v>
      </c>
      <c r="BS216" s="41" t="s">
        <v>2058</v>
      </c>
      <c r="BT216" s="41" t="s">
        <v>72</v>
      </c>
      <c r="BW216" s="41" t="s">
        <v>72</v>
      </c>
      <c r="BX216" s="41">
        <f>VLOOKUP(B:B,Brand!B:D,3,0)</f>
        <v>397</v>
      </c>
      <c r="BY216" s="41">
        <f>VLOOKUP(M:M,Unit!B:D,3,0)</f>
        <v>1</v>
      </c>
      <c r="BZ216" s="41">
        <f>VLOOKUP(S:S,Promo!B:D,3,0)</f>
        <v>0</v>
      </c>
    </row>
    <row r="217" spans="1:78" s="41" customFormat="1" ht="15.75" customHeight="1">
      <c r="A217" s="41">
        <v>111757</v>
      </c>
      <c r="B217" s="41" t="s">
        <v>1855</v>
      </c>
      <c r="C217" s="65" t="str">
        <f>VLOOKUP(B:B,Brand!B:C,2,0)</f>
        <v>TORO</v>
      </c>
      <c r="D217" s="63">
        <f>VLOOKUP(E:E,'Product Category'!J:O,6,FALSE)</f>
        <v>136</v>
      </c>
      <c r="E217" s="41" t="s">
        <v>2102</v>
      </c>
      <c r="F217" s="63" t="str">
        <f>VLOOKUP(E:E,'Product Category'!J:K,2,FALSE)</f>
        <v>29-Snack</v>
      </c>
      <c r="G217" s="63" t="str">
        <f>VLOOKUP(F:F,'Product Category'!K:L,2,FALSE)</f>
        <v>4-Snack &amp; Sweets</v>
      </c>
      <c r="H217" s="41" t="s">
        <v>3603</v>
      </c>
      <c r="I217" s="41" t="s">
        <v>3604</v>
      </c>
      <c r="J217" s="41" t="s">
        <v>4621</v>
      </c>
      <c r="K217" s="41" t="s">
        <v>4622</v>
      </c>
      <c r="L217" s="41">
        <v>25</v>
      </c>
      <c r="M217" s="41" t="s">
        <v>83</v>
      </c>
      <c r="N217" s="41" t="str">
        <f>VLOOKUP(M:M,Unit!B:C,2,0)</f>
        <v>g</v>
      </c>
      <c r="O217" s="41" t="s">
        <v>67</v>
      </c>
      <c r="P217" s="41">
        <v>12</v>
      </c>
      <c r="Q217" s="41" t="s">
        <v>68</v>
      </c>
      <c r="R217" s="41" t="str">
        <f>VLOOKUP(Q:Q,Unit!B:D,2,0)</f>
        <v>pc</v>
      </c>
      <c r="S217" s="41" t="s">
        <v>75</v>
      </c>
      <c r="T217" s="41" t="str">
        <f>VLOOKUP(S:S,Promo!B:D,2,0)</f>
        <v>Promo EN</v>
      </c>
      <c r="W217" s="41">
        <v>50</v>
      </c>
      <c r="X217" s="41">
        <v>48</v>
      </c>
      <c r="AB217" s="41" t="s">
        <v>91</v>
      </c>
      <c r="AG217" s="41" t="s">
        <v>71</v>
      </c>
      <c r="AH217" s="41" t="s">
        <v>71</v>
      </c>
      <c r="AI217" s="41" t="s">
        <v>71</v>
      </c>
      <c r="AJ217" s="41" t="s">
        <v>71</v>
      </c>
      <c r="AK217" s="41" t="s">
        <v>71</v>
      </c>
      <c r="AL217" s="41" t="s">
        <v>71</v>
      </c>
      <c r="AU217" s="41" t="s">
        <v>3605</v>
      </c>
      <c r="AV217" s="41" t="s">
        <v>3606</v>
      </c>
      <c r="BS217" s="41" t="s">
        <v>2058</v>
      </c>
      <c r="BT217" s="41" t="s">
        <v>72</v>
      </c>
      <c r="BW217" s="41" t="s">
        <v>72</v>
      </c>
      <c r="BX217" s="41">
        <f>VLOOKUP(B:B,Brand!B:D,3,0)</f>
        <v>869</v>
      </c>
      <c r="BY217" s="41">
        <f>VLOOKUP(M:M,Unit!B:D,3,0)</f>
        <v>1</v>
      </c>
      <c r="BZ217" s="41">
        <f>VLOOKUP(S:S,Promo!B:D,3,0)</f>
        <v>0</v>
      </c>
    </row>
    <row r="218" spans="1:78" s="41" customFormat="1" ht="15.75" customHeight="1">
      <c r="A218" s="41">
        <v>140647</v>
      </c>
      <c r="B218" s="41" t="s">
        <v>346</v>
      </c>
      <c r="C218" s="65" t="str">
        <f>VLOOKUP(B:B,Brand!B:C,2,0)</f>
        <v>Quaker</v>
      </c>
      <c r="D218" s="63">
        <f>VLOOKUP(E:E,'Product Category'!J:O,6,FALSE)</f>
        <v>136</v>
      </c>
      <c r="E218" s="41" t="s">
        <v>2102</v>
      </c>
      <c r="F218" s="63" t="str">
        <f>VLOOKUP(E:E,'Product Category'!J:K,2,FALSE)</f>
        <v>29-Snack</v>
      </c>
      <c r="G218" s="63" t="str">
        <f>VLOOKUP(F:F,'Product Category'!K:L,2,FALSE)</f>
        <v>4-Snack &amp; Sweets</v>
      </c>
      <c r="H218" s="41" t="s">
        <v>3626</v>
      </c>
      <c r="I218" s="41" t="s">
        <v>3627</v>
      </c>
      <c r="J218" s="41" t="s">
        <v>4635</v>
      </c>
      <c r="K218" s="41" t="s">
        <v>4636</v>
      </c>
      <c r="L218" s="41">
        <v>800</v>
      </c>
      <c r="M218" s="41" t="s">
        <v>83</v>
      </c>
      <c r="N218" s="41" t="str">
        <f>VLOOKUP(M:M,Unit!B:C,2,0)</f>
        <v>g</v>
      </c>
      <c r="O218" s="41" t="s">
        <v>67</v>
      </c>
      <c r="P218" s="41">
        <v>1</v>
      </c>
      <c r="Q218" s="41" t="s">
        <v>2154</v>
      </c>
      <c r="R218" s="41" t="str">
        <f>VLOOKUP(Q:Q,Unit!B:D,2,0)</f>
        <v>can</v>
      </c>
      <c r="S218" s="41" t="s">
        <v>75</v>
      </c>
      <c r="T218" s="41" t="str">
        <f>VLOOKUP(S:S,Promo!B:D,2,0)</f>
        <v>Promo EN</v>
      </c>
      <c r="W218" s="41">
        <v>107</v>
      </c>
      <c r="X218" s="41">
        <v>95</v>
      </c>
      <c r="AB218" s="41" t="s">
        <v>91</v>
      </c>
      <c r="AF218" s="41" t="s">
        <v>3373</v>
      </c>
      <c r="AG218" s="41" t="s">
        <v>71</v>
      </c>
      <c r="AH218" s="41" t="s">
        <v>71</v>
      </c>
      <c r="AI218" s="41" t="s">
        <v>71</v>
      </c>
      <c r="AJ218" s="41" t="s">
        <v>71</v>
      </c>
      <c r="AK218" s="41" t="s">
        <v>71</v>
      </c>
      <c r="AL218" s="41" t="s">
        <v>71</v>
      </c>
      <c r="BS218" s="41" t="s">
        <v>2058</v>
      </c>
      <c r="BT218" s="41" t="s">
        <v>72</v>
      </c>
      <c r="BW218" s="41" t="s">
        <v>72</v>
      </c>
      <c r="BX218" s="41">
        <f>VLOOKUP(B:B,Brand!B:D,3,0)</f>
        <v>87</v>
      </c>
      <c r="BY218" s="41">
        <f>VLOOKUP(M:M,Unit!B:D,3,0)</f>
        <v>1</v>
      </c>
      <c r="BZ218" s="41">
        <f>VLOOKUP(S:S,Promo!B:D,3,0)</f>
        <v>0</v>
      </c>
    </row>
    <row r="219" spans="1:78" s="41" customFormat="1" ht="15.75" customHeight="1">
      <c r="A219" s="41">
        <v>182997</v>
      </c>
      <c r="B219" s="41" t="s">
        <v>97</v>
      </c>
      <c r="C219" s="65" t="str">
        <f>VLOOKUP(B:B,Brand!B:C,2,0)</f>
        <v>aro</v>
      </c>
      <c r="D219" s="63">
        <f>VLOOKUP(E:E,'Product Category'!J:O,6,FALSE)</f>
        <v>136</v>
      </c>
      <c r="E219" s="41" t="s">
        <v>2102</v>
      </c>
      <c r="F219" s="63" t="str">
        <f>VLOOKUP(E:E,'Product Category'!J:K,2,FALSE)</f>
        <v>29-Snack</v>
      </c>
      <c r="G219" s="63" t="str">
        <f>VLOOKUP(F:F,'Product Category'!K:L,2,FALSE)</f>
        <v>4-Snack &amp; Sweets</v>
      </c>
      <c r="H219" s="41" t="s">
        <v>2323</v>
      </c>
      <c r="I219" s="41" t="s">
        <v>2307</v>
      </c>
      <c r="J219" s="41" t="s">
        <v>5051</v>
      </c>
      <c r="K219" s="41" t="s">
        <v>5052</v>
      </c>
      <c r="L219" s="41">
        <v>1000</v>
      </c>
      <c r="M219" s="41" t="s">
        <v>83</v>
      </c>
      <c r="N219" s="41" t="str">
        <f>VLOOKUP(M:M,Unit!B:C,2,0)</f>
        <v>g</v>
      </c>
      <c r="O219" s="41" t="s">
        <v>67</v>
      </c>
      <c r="P219" s="41">
        <v>1</v>
      </c>
      <c r="Q219" s="41" t="s">
        <v>2153</v>
      </c>
      <c r="R219" s="41" t="str">
        <f>VLOOKUP(Q:Q,Unit!B:D,2,0)</f>
        <v>unit</v>
      </c>
      <c r="S219" s="41" t="s">
        <v>75</v>
      </c>
      <c r="T219" s="41" t="str">
        <f>VLOOKUP(S:S,Promo!B:D,2,0)</f>
        <v>Promo EN</v>
      </c>
      <c r="W219" s="41">
        <v>60</v>
      </c>
      <c r="X219" s="41">
        <v>57</v>
      </c>
      <c r="AB219" s="41" t="s">
        <v>2054</v>
      </c>
      <c r="AG219" s="41" t="s">
        <v>71</v>
      </c>
      <c r="AH219" s="41" t="s">
        <v>71</v>
      </c>
      <c r="AI219" s="41" t="s">
        <v>71</v>
      </c>
      <c r="AJ219" s="41" t="s">
        <v>71</v>
      </c>
      <c r="AK219" s="41" t="s">
        <v>71</v>
      </c>
      <c r="AL219" s="41" t="s">
        <v>71</v>
      </c>
      <c r="BS219" s="41" t="s">
        <v>2058</v>
      </c>
      <c r="BT219" s="41" t="s">
        <v>72</v>
      </c>
      <c r="BW219" s="41" t="s">
        <v>72</v>
      </c>
      <c r="BX219" s="41">
        <f>VLOOKUP(B:B,Brand!B:D,3,0)</f>
        <v>692</v>
      </c>
      <c r="BY219" s="41">
        <f>VLOOKUP(M:M,Unit!B:D,3,0)</f>
        <v>1</v>
      </c>
      <c r="BZ219" s="41">
        <f>VLOOKUP(S:S,Promo!B:D,3,0)</f>
        <v>0</v>
      </c>
    </row>
    <row r="220" spans="1:78" s="41" customFormat="1" ht="15.75" customHeight="1">
      <c r="A220" s="41">
        <v>111642</v>
      </c>
      <c r="B220" s="41" t="s">
        <v>758</v>
      </c>
      <c r="C220" s="65" t="str">
        <f>VLOOKUP(B:B,Brand!B:C,2,0)</f>
        <v>Bento</v>
      </c>
      <c r="D220" s="63">
        <f>VLOOKUP(E:E,'Product Category'!J:O,6,FALSE)</f>
        <v>138</v>
      </c>
      <c r="E220" s="41" t="s">
        <v>2068</v>
      </c>
      <c r="F220" s="63" t="str">
        <f>VLOOKUP(E:E,'Product Category'!J:K,2,FALSE)</f>
        <v>29-Snack</v>
      </c>
      <c r="G220" s="63" t="str">
        <f>VLOOKUP(F:F,'Product Category'!K:L,2,FALSE)</f>
        <v>4-Snack &amp; Sweets</v>
      </c>
      <c r="H220" s="41" t="s">
        <v>3462</v>
      </c>
      <c r="I220" s="41" t="s">
        <v>3463</v>
      </c>
      <c r="J220" s="41" t="s">
        <v>4541</v>
      </c>
      <c r="K220" s="41" t="s">
        <v>4542</v>
      </c>
      <c r="L220" s="41">
        <v>5</v>
      </c>
      <c r="M220" s="41" t="s">
        <v>83</v>
      </c>
      <c r="N220" s="41" t="str">
        <f>VLOOKUP(M:M,Unit!B:C,2,0)</f>
        <v>g</v>
      </c>
      <c r="O220" s="41" t="s">
        <v>67</v>
      </c>
      <c r="P220" s="41">
        <v>12</v>
      </c>
      <c r="Q220" s="41" t="s">
        <v>135</v>
      </c>
      <c r="R220" s="41" t="str">
        <f>VLOOKUP(Q:Q,Unit!B:D,2,0)</f>
        <v>g</v>
      </c>
      <c r="S220" s="41" t="s">
        <v>75</v>
      </c>
      <c r="T220" s="41" t="str">
        <f>VLOOKUP(S:S,Promo!B:D,2,0)</f>
        <v>Promo EN</v>
      </c>
      <c r="W220" s="41">
        <v>49.5</v>
      </c>
      <c r="X220" s="41">
        <v>44</v>
      </c>
      <c r="AB220" s="41" t="s">
        <v>2056</v>
      </c>
      <c r="AF220" s="41" t="s">
        <v>3415</v>
      </c>
      <c r="AG220" s="41" t="s">
        <v>71</v>
      </c>
      <c r="AH220" s="41" t="s">
        <v>1846</v>
      </c>
      <c r="AI220" s="41" t="s">
        <v>71</v>
      </c>
      <c r="AJ220" s="41" t="s">
        <v>71</v>
      </c>
      <c r="AK220" s="41" t="s">
        <v>71</v>
      </c>
      <c r="AL220" s="41" t="s">
        <v>71</v>
      </c>
      <c r="AP220" s="41" t="s">
        <v>3464</v>
      </c>
      <c r="BS220" s="41" t="s">
        <v>2058</v>
      </c>
      <c r="BT220" s="41" t="s">
        <v>72</v>
      </c>
      <c r="BW220" s="41" t="s">
        <v>72</v>
      </c>
      <c r="BX220" s="41">
        <f>VLOOKUP(B:B,Brand!B:D,3,0)</f>
        <v>362</v>
      </c>
      <c r="BY220" s="41">
        <f>VLOOKUP(M:M,Unit!B:D,3,0)</f>
        <v>1</v>
      </c>
      <c r="BZ220" s="41">
        <f>VLOOKUP(S:S,Promo!B:D,3,0)</f>
        <v>0</v>
      </c>
    </row>
    <row r="221" spans="1:78" s="41" customFormat="1" ht="15.75" customHeight="1">
      <c r="A221" s="41">
        <v>58851</v>
      </c>
      <c r="B221" s="41" t="s">
        <v>619</v>
      </c>
      <c r="C221" s="65" t="str">
        <f>VLOOKUP(B:B,Brand!B:C,2,0)</f>
        <v>Taro</v>
      </c>
      <c r="D221" s="63">
        <f>VLOOKUP(E:E,'Product Category'!J:O,6,FALSE)</f>
        <v>138</v>
      </c>
      <c r="E221" s="41" t="s">
        <v>2068</v>
      </c>
      <c r="F221" s="63" t="str">
        <f>VLOOKUP(E:E,'Product Category'!J:K,2,FALSE)</f>
        <v>29-Snack</v>
      </c>
      <c r="G221" s="63" t="str">
        <f>VLOOKUP(F:F,'Product Category'!K:L,2,FALSE)</f>
        <v>4-Snack &amp; Sweets</v>
      </c>
      <c r="H221" s="41" t="s">
        <v>3607</v>
      </c>
      <c r="I221" s="41" t="s">
        <v>3608</v>
      </c>
      <c r="J221" s="41" t="s">
        <v>4623</v>
      </c>
      <c r="K221" s="41" t="s">
        <v>4624</v>
      </c>
      <c r="L221" s="41">
        <v>7.5</v>
      </c>
      <c r="M221" s="41" t="s">
        <v>83</v>
      </c>
      <c r="N221" s="41" t="str">
        <f>VLOOKUP(M:M,Unit!B:C,2,0)</f>
        <v>g</v>
      </c>
      <c r="O221" s="41" t="s">
        <v>67</v>
      </c>
      <c r="P221" s="41">
        <v>12</v>
      </c>
      <c r="Q221" s="41" t="s">
        <v>68</v>
      </c>
      <c r="R221" s="41" t="str">
        <f>VLOOKUP(Q:Q,Unit!B:D,2,0)</f>
        <v>pc</v>
      </c>
      <c r="S221" s="41" t="s">
        <v>75</v>
      </c>
      <c r="T221" s="41" t="str">
        <f>VLOOKUP(S:S,Promo!B:D,2,0)</f>
        <v>Promo EN</v>
      </c>
      <c r="W221" s="41">
        <v>49</v>
      </c>
      <c r="X221" s="41">
        <v>47</v>
      </c>
      <c r="AB221" s="41" t="s">
        <v>91</v>
      </c>
      <c r="AG221" s="41" t="s">
        <v>71</v>
      </c>
      <c r="AH221" s="41" t="s">
        <v>71</v>
      </c>
      <c r="AI221" s="41" t="s">
        <v>71</v>
      </c>
      <c r="AJ221" s="41" t="s">
        <v>71</v>
      </c>
      <c r="AK221" s="41" t="s">
        <v>71</v>
      </c>
      <c r="AL221" s="41" t="s">
        <v>71</v>
      </c>
      <c r="AP221" s="41" t="s">
        <v>3609</v>
      </c>
      <c r="AU221" s="41" t="s">
        <v>3610</v>
      </c>
      <c r="AV221" s="41" t="s">
        <v>3611</v>
      </c>
      <c r="BS221" s="41" t="s">
        <v>2058</v>
      </c>
      <c r="BT221" s="41" t="s">
        <v>72</v>
      </c>
      <c r="BW221" s="41" t="s">
        <v>72</v>
      </c>
      <c r="BX221" s="41">
        <f>VLOOKUP(B:B,Brand!B:D,3,0)</f>
        <v>272</v>
      </c>
      <c r="BY221" s="41">
        <f>VLOOKUP(M:M,Unit!B:D,3,0)</f>
        <v>1</v>
      </c>
      <c r="BZ221" s="41">
        <f>VLOOKUP(S:S,Promo!B:D,3,0)</f>
        <v>0</v>
      </c>
    </row>
    <row r="222" spans="1:78" s="41" customFormat="1" ht="15.75" customHeight="1">
      <c r="A222" s="41">
        <v>99281</v>
      </c>
      <c r="B222" s="41" t="s">
        <v>602</v>
      </c>
      <c r="C222" s="65" t="str">
        <f>VLOOKUP(B:B,Brand!B:C,2,0)</f>
        <v>Taokaenoi</v>
      </c>
      <c r="D222" s="63">
        <f>VLOOKUP(E:E,'Product Category'!J:O,6,FALSE)</f>
        <v>139</v>
      </c>
      <c r="E222" s="41" t="s">
        <v>2147</v>
      </c>
      <c r="F222" s="63" t="str">
        <f>VLOOKUP(E:E,'Product Category'!J:K,2,FALSE)</f>
        <v>29-Snack</v>
      </c>
      <c r="G222" s="63" t="str">
        <f>VLOOKUP(F:F,'Product Category'!K:L,2,FALSE)</f>
        <v>4-Snack &amp; Sweets</v>
      </c>
      <c r="H222" s="41" t="s">
        <v>3591</v>
      </c>
      <c r="I222" s="41" t="s">
        <v>3592</v>
      </c>
      <c r="J222" s="41" t="s">
        <v>4615</v>
      </c>
      <c r="K222" s="41" t="s">
        <v>4616</v>
      </c>
      <c r="L222" s="41">
        <v>3.5</v>
      </c>
      <c r="M222" s="41" t="s">
        <v>83</v>
      </c>
      <c r="N222" s="41" t="str">
        <f>VLOOKUP(M:M,Unit!B:C,2,0)</f>
        <v>g</v>
      </c>
      <c r="O222" s="41" t="s">
        <v>67</v>
      </c>
      <c r="P222" s="41">
        <v>12</v>
      </c>
      <c r="Q222" s="41" t="s">
        <v>68</v>
      </c>
      <c r="R222" s="41" t="str">
        <f>VLOOKUP(Q:Q,Unit!B:D,2,0)</f>
        <v>pc</v>
      </c>
      <c r="S222" s="41" t="s">
        <v>75</v>
      </c>
      <c r="T222" s="41" t="str">
        <f>VLOOKUP(S:S,Promo!B:D,2,0)</f>
        <v>Promo EN</v>
      </c>
      <c r="W222" s="41">
        <v>49.5</v>
      </c>
      <c r="X222" s="41">
        <v>48</v>
      </c>
      <c r="AB222" s="41" t="s">
        <v>91</v>
      </c>
      <c r="AG222" s="41" t="s">
        <v>71</v>
      </c>
      <c r="AH222" s="41" t="s">
        <v>1846</v>
      </c>
      <c r="AI222" s="41" t="s">
        <v>71</v>
      </c>
      <c r="AJ222" s="41" t="s">
        <v>71</v>
      </c>
      <c r="AK222" s="41" t="s">
        <v>71</v>
      </c>
      <c r="AL222" s="41" t="s">
        <v>71</v>
      </c>
      <c r="AP222" s="41" t="s">
        <v>3593</v>
      </c>
      <c r="AU222" s="41" t="s">
        <v>3594</v>
      </c>
      <c r="AV222" s="41" t="s">
        <v>3595</v>
      </c>
      <c r="BS222" s="41" t="s">
        <v>2058</v>
      </c>
      <c r="BT222" s="41" t="s">
        <v>72</v>
      </c>
      <c r="BW222" s="41" t="s">
        <v>72</v>
      </c>
      <c r="BX222" s="41">
        <f>VLOOKUP(B:B,Brand!B:D,3,0)</f>
        <v>262</v>
      </c>
      <c r="BY222" s="41">
        <f>VLOOKUP(M:M,Unit!B:D,3,0)</f>
        <v>1</v>
      </c>
      <c r="BZ222" s="41">
        <f>VLOOKUP(S:S,Promo!B:D,3,0)</f>
        <v>0</v>
      </c>
    </row>
    <row r="223" spans="1:78" s="41" customFormat="1" ht="15.75" customHeight="1">
      <c r="A223" s="41">
        <v>45344</v>
      </c>
      <c r="B223" s="41" t="s">
        <v>1144</v>
      </c>
      <c r="C223" s="65" t="str">
        <f>VLOOKUP(B:B,Brand!B:C,2,0)</f>
        <v>Snack Jack</v>
      </c>
      <c r="D223" s="63">
        <f>VLOOKUP(E:E,'Product Category'!J:O,6,FALSE)</f>
        <v>143</v>
      </c>
      <c r="E223" s="41" t="s">
        <v>2207</v>
      </c>
      <c r="F223" s="63" t="str">
        <f>VLOOKUP(E:E,'Product Category'!J:K,2,FALSE)</f>
        <v>29-Snack</v>
      </c>
      <c r="G223" s="63" t="str">
        <f>VLOOKUP(F:F,'Product Category'!K:L,2,FALSE)</f>
        <v>4-Snack &amp; Sweets</v>
      </c>
      <c r="H223" s="41" t="s">
        <v>3580</v>
      </c>
      <c r="I223" s="41" t="s">
        <v>3581</v>
      </c>
      <c r="J223" s="65" t="str">
        <f>TRIM(CONCATENATE(B223," ",H223," ",L223," ",M223," ",O223,P223," ",Q223))</f>
        <v>สแน็คแจ๊ค ถั่วลันเตาอบกรอบ 17 กรัม x12 ชิ้น</v>
      </c>
      <c r="K223" s="80" t="str">
        <f>TRIM(CONCATENATE(C223," ",I223," ",L223," ",N223," ",O223,P223," ",R223))</f>
        <v>Snack Jack PEA EXTRUDE 17 g x12 pc</v>
      </c>
      <c r="L223" s="41">
        <v>17</v>
      </c>
      <c r="M223" s="41" t="s">
        <v>83</v>
      </c>
      <c r="N223" s="41" t="str">
        <f>VLOOKUP(M:M,Unit!B:C,2,0)</f>
        <v>g</v>
      </c>
      <c r="O223" s="41" t="s">
        <v>67</v>
      </c>
      <c r="P223" s="41">
        <v>12</v>
      </c>
      <c r="Q223" s="41" t="s">
        <v>68</v>
      </c>
      <c r="R223" s="41" t="str">
        <f>VLOOKUP(Q:Q,Unit!B:D,2,0)</f>
        <v>pc</v>
      </c>
      <c r="S223" s="41" t="s">
        <v>75</v>
      </c>
      <c r="T223" s="41" t="str">
        <f>VLOOKUP(S:S,Promo!B:D,2,0)</f>
        <v>Promo EN</v>
      </c>
      <c r="W223" s="41">
        <v>48</v>
      </c>
      <c r="X223" s="41">
        <v>46</v>
      </c>
      <c r="AB223" s="41" t="s">
        <v>91</v>
      </c>
      <c r="AG223" s="41" t="s">
        <v>71</v>
      </c>
      <c r="AH223" s="41" t="s">
        <v>71</v>
      </c>
      <c r="AI223" s="41" t="s">
        <v>71</v>
      </c>
      <c r="AJ223" s="41" t="s">
        <v>71</v>
      </c>
      <c r="AK223" s="41" t="s">
        <v>71</v>
      </c>
      <c r="AL223" s="41" t="s">
        <v>71</v>
      </c>
      <c r="AP223" s="41" t="s">
        <v>3582</v>
      </c>
      <c r="BS223" s="41" t="s">
        <v>2058</v>
      </c>
      <c r="BT223" s="41" t="s">
        <v>72</v>
      </c>
      <c r="BW223" s="41" t="s">
        <v>72</v>
      </c>
      <c r="BX223" s="41">
        <f>VLOOKUP(B:B,Brand!B:D,3,0)</f>
        <v>620</v>
      </c>
      <c r="BY223" s="41">
        <f>VLOOKUP(M:M,Unit!B:D,3,0)</f>
        <v>1</v>
      </c>
      <c r="BZ223" s="41">
        <f>VLOOKUP(S:S,Promo!B:D,3,0)</f>
        <v>0</v>
      </c>
    </row>
    <row r="224" spans="1:78" s="41" customFormat="1" ht="15.75" customHeight="1">
      <c r="A224" s="41">
        <v>162753</v>
      </c>
      <c r="B224" s="41" t="s">
        <v>255</v>
      </c>
      <c r="C224" s="65" t="str">
        <f>VLOOKUP(B:B,Brand!B:C,2,0)</f>
        <v>Kaset</v>
      </c>
      <c r="D224" s="63">
        <f>VLOOKUP(E:E,'Product Category'!J:O,6,FALSE)</f>
        <v>143</v>
      </c>
      <c r="E224" s="41" t="s">
        <v>2207</v>
      </c>
      <c r="F224" s="63" t="str">
        <f>VLOOKUP(E:E,'Product Category'!J:K,2,FALSE)</f>
        <v>29-Snack</v>
      </c>
      <c r="G224" s="63" t="str">
        <f>VLOOKUP(F:F,'Product Category'!K:L,2,FALSE)</f>
        <v>4-Snack &amp; Sweets</v>
      </c>
      <c r="H224" s="41" t="s">
        <v>4066</v>
      </c>
      <c r="I224" s="41" t="s">
        <v>4067</v>
      </c>
      <c r="J224" s="41" t="s">
        <v>4946</v>
      </c>
      <c r="K224" s="41" t="s">
        <v>4947</v>
      </c>
      <c r="L224" s="41">
        <v>220</v>
      </c>
      <c r="M224" s="41" t="s">
        <v>83</v>
      </c>
      <c r="N224" s="41" t="str">
        <f>VLOOKUP(M:M,Unit!B:C,2,0)</f>
        <v>g</v>
      </c>
      <c r="O224" s="41" t="s">
        <v>67</v>
      </c>
      <c r="P224" s="41">
        <v>10</v>
      </c>
      <c r="Q224" s="41" t="s">
        <v>68</v>
      </c>
      <c r="R224" s="41" t="str">
        <f>VLOOKUP(Q:Q,Unit!B:D,2,0)</f>
        <v>pc</v>
      </c>
      <c r="S224" s="41" t="s">
        <v>75</v>
      </c>
      <c r="T224" s="41" t="str">
        <f>VLOOKUP(S:S,Promo!B:D,2,0)</f>
        <v>Promo EN</v>
      </c>
      <c r="W224" s="41">
        <v>80</v>
      </c>
      <c r="X224" s="41">
        <v>77</v>
      </c>
      <c r="AB224" s="41" t="s">
        <v>2056</v>
      </c>
      <c r="AG224" s="41" t="s">
        <v>71</v>
      </c>
      <c r="AH224" s="41" t="s">
        <v>71</v>
      </c>
      <c r="AI224" s="41" t="s">
        <v>71</v>
      </c>
      <c r="AJ224" s="41" t="s">
        <v>71</v>
      </c>
      <c r="AK224" s="41" t="s">
        <v>71</v>
      </c>
      <c r="AL224" s="41" t="s">
        <v>71</v>
      </c>
      <c r="BS224" s="41" t="s">
        <v>2058</v>
      </c>
      <c r="BT224" s="41" t="s">
        <v>72</v>
      </c>
      <c r="BW224" s="41" t="s">
        <v>72</v>
      </c>
      <c r="BX224" s="41">
        <f>VLOOKUP(B:B,Brand!B:D,3,0)</f>
        <v>30</v>
      </c>
      <c r="BY224" s="41">
        <f>VLOOKUP(M:M,Unit!B:D,3,0)</f>
        <v>1</v>
      </c>
      <c r="BZ224" s="41">
        <f>VLOOKUP(S:S,Promo!B:D,3,0)</f>
        <v>0</v>
      </c>
    </row>
    <row r="225" spans="1:78" s="41" customFormat="1" ht="15.75" customHeight="1">
      <c r="A225" s="41">
        <v>227651</v>
      </c>
      <c r="B225" s="41" t="s">
        <v>97</v>
      </c>
      <c r="C225" s="65" t="str">
        <f>VLOOKUP(B:B,Brand!B:C,2,0)</f>
        <v>aro</v>
      </c>
      <c r="D225" s="63">
        <f>VLOOKUP(E:E,'Product Category'!J:O,6,FALSE)</f>
        <v>143</v>
      </c>
      <c r="E225" s="41" t="s">
        <v>2207</v>
      </c>
      <c r="F225" s="63" t="str">
        <f>VLOOKUP(E:E,'Product Category'!J:K,2,FALSE)</f>
        <v>29-Snack</v>
      </c>
      <c r="G225" s="63" t="str">
        <f>VLOOKUP(F:F,'Product Category'!K:L,2,FALSE)</f>
        <v>4-Snack &amp; Sweets</v>
      </c>
      <c r="H225" s="41" t="s">
        <v>2300</v>
      </c>
      <c r="I225" s="41" t="s">
        <v>2301</v>
      </c>
      <c r="J225" s="41" t="s">
        <v>4968</v>
      </c>
      <c r="K225" s="41" t="s">
        <v>4969</v>
      </c>
      <c r="L225" s="41">
        <v>500</v>
      </c>
      <c r="M225" s="41" t="s">
        <v>83</v>
      </c>
      <c r="N225" s="41" t="str">
        <f>VLOOKUP(M:M,Unit!B:C,2,0)</f>
        <v>g</v>
      </c>
      <c r="O225" s="41" t="s">
        <v>67</v>
      </c>
      <c r="P225" s="41">
        <v>1</v>
      </c>
      <c r="Q225" s="41" t="s">
        <v>68</v>
      </c>
      <c r="R225" s="41" t="str">
        <f>VLOOKUP(Q:Q,Unit!B:D,2,0)</f>
        <v>pc</v>
      </c>
      <c r="S225" s="41" t="s">
        <v>75</v>
      </c>
      <c r="T225" s="41" t="str">
        <f>VLOOKUP(S:S,Promo!B:D,2,0)</f>
        <v>Promo EN</v>
      </c>
      <c r="X225" s="41">
        <v>45</v>
      </c>
      <c r="AB225" s="41" t="s">
        <v>2054</v>
      </c>
      <c r="AG225" s="41" t="s">
        <v>71</v>
      </c>
      <c r="AH225" s="41" t="s">
        <v>71</v>
      </c>
      <c r="AI225" s="41" t="s">
        <v>71</v>
      </c>
      <c r="AJ225" s="41" t="s">
        <v>71</v>
      </c>
      <c r="AK225" s="41" t="s">
        <v>71</v>
      </c>
      <c r="AL225" s="41" t="s">
        <v>71</v>
      </c>
      <c r="BS225" s="41" t="s">
        <v>2058</v>
      </c>
      <c r="BT225" s="41" t="s">
        <v>72</v>
      </c>
      <c r="BW225" s="41" t="s">
        <v>72</v>
      </c>
      <c r="BX225" s="41">
        <f>VLOOKUP(B:B,Brand!B:D,3,0)</f>
        <v>692</v>
      </c>
      <c r="BY225" s="41">
        <f>VLOOKUP(M:M,Unit!B:D,3,0)</f>
        <v>1</v>
      </c>
      <c r="BZ225" s="41">
        <f>VLOOKUP(S:S,Promo!B:D,3,0)</f>
        <v>0</v>
      </c>
    </row>
    <row r="226" spans="1:78" s="41" customFormat="1" ht="15.75" customHeight="1">
      <c r="A226" s="41">
        <v>164598</v>
      </c>
      <c r="B226" s="41" t="s">
        <v>97</v>
      </c>
      <c r="C226" s="65" t="str">
        <f>VLOOKUP(B:B,Brand!B:C,2,0)</f>
        <v>aro</v>
      </c>
      <c r="D226" s="63">
        <f>VLOOKUP(E:E,'Product Category'!J:O,6,FALSE)</f>
        <v>143</v>
      </c>
      <c r="E226" s="41" t="s">
        <v>2207</v>
      </c>
      <c r="F226" s="63" t="str">
        <f>VLOOKUP(E:E,'Product Category'!J:K,2,FALSE)</f>
        <v>29-Snack</v>
      </c>
      <c r="G226" s="63" t="str">
        <f>VLOOKUP(F:F,'Product Category'!K:L,2,FALSE)</f>
        <v>4-Snack &amp; Sweets</v>
      </c>
      <c r="H226" s="41" t="s">
        <v>4429</v>
      </c>
      <c r="I226" s="41" t="s">
        <v>4430</v>
      </c>
      <c r="J226" s="41" t="s">
        <v>5210</v>
      </c>
      <c r="K226" s="41" t="s">
        <v>5211</v>
      </c>
      <c r="L226" s="41">
        <v>13.75</v>
      </c>
      <c r="M226" s="41" t="s">
        <v>94</v>
      </c>
      <c r="N226" s="41" t="str">
        <f>VLOOKUP(M:M,Unit!B:C,2,0)</f>
        <v>L</v>
      </c>
      <c r="O226" s="41" t="s">
        <v>67</v>
      </c>
      <c r="P226" s="41">
        <v>1</v>
      </c>
      <c r="Q226" s="41" t="s">
        <v>68</v>
      </c>
      <c r="R226" s="41" t="str">
        <f>VLOOKUP(Q:Q,Unit!B:D,2,0)</f>
        <v>pc</v>
      </c>
      <c r="S226" s="41" t="s">
        <v>75</v>
      </c>
      <c r="T226" s="41" t="str">
        <f>VLOOKUP(S:S,Promo!B:D,2,0)</f>
        <v>Promo EN</v>
      </c>
      <c r="W226" s="41">
        <v>630</v>
      </c>
      <c r="X226" s="41">
        <v>600</v>
      </c>
      <c r="AB226" s="41" t="s">
        <v>91</v>
      </c>
      <c r="AG226" s="41" t="s">
        <v>71</v>
      </c>
      <c r="AH226" s="41" t="s">
        <v>71</v>
      </c>
      <c r="AI226" s="41" t="s">
        <v>71</v>
      </c>
      <c r="AJ226" s="41" t="s">
        <v>71</v>
      </c>
      <c r="AK226" s="41" t="s">
        <v>71</v>
      </c>
      <c r="AL226" s="41" t="s">
        <v>71</v>
      </c>
      <c r="BS226" s="41" t="s">
        <v>2058</v>
      </c>
      <c r="BT226" s="41" t="s">
        <v>72</v>
      </c>
      <c r="BW226" s="41" t="s">
        <v>72</v>
      </c>
      <c r="BX226" s="41">
        <f>VLOOKUP(B:B,Brand!B:D,3,0)</f>
        <v>692</v>
      </c>
      <c r="BY226" s="41">
        <f>VLOOKUP(M:M,Unit!B:D,3,0)</f>
        <v>7</v>
      </c>
      <c r="BZ226" s="41">
        <f>VLOOKUP(S:S,Promo!B:D,3,0)</f>
        <v>0</v>
      </c>
    </row>
    <row r="227" spans="1:78" s="41" customFormat="1" ht="15.75" customHeight="1">
      <c r="A227" s="41">
        <v>217985</v>
      </c>
      <c r="B227" s="41" t="s">
        <v>2050</v>
      </c>
      <c r="C227" s="65" t="str">
        <f>VLOOKUP(B:B,Brand!B:C,2,0)</f>
        <v>Glico</v>
      </c>
      <c r="D227" s="63">
        <f>VLOOKUP(E:E,'Product Category'!J:O,6,FALSE)</f>
        <v>144</v>
      </c>
      <c r="E227" s="41" t="s">
        <v>2208</v>
      </c>
      <c r="F227" s="63" t="str">
        <f>VLOOKUP(E:E,'Product Category'!J:K,2,FALSE)</f>
        <v>30-Chocolate &amp; Sweet</v>
      </c>
      <c r="G227" s="63" t="str">
        <f>VLOOKUP(F:F,'Product Category'!K:L,2,FALSE)</f>
        <v>4-Snack &amp; Sweets</v>
      </c>
      <c r="H227" s="41" t="s">
        <v>3740</v>
      </c>
      <c r="I227" s="41" t="s">
        <v>3741</v>
      </c>
      <c r="J227" s="41" t="s">
        <v>4737</v>
      </c>
      <c r="K227" s="41" t="s">
        <v>4738</v>
      </c>
      <c r="L227" s="41">
        <v>31</v>
      </c>
      <c r="M227" s="41" t="s">
        <v>83</v>
      </c>
      <c r="N227" s="41" t="str">
        <f>VLOOKUP(M:M,Unit!B:C,2,0)</f>
        <v>g</v>
      </c>
      <c r="O227" s="41" t="s">
        <v>67</v>
      </c>
      <c r="P227" s="41">
        <v>20</v>
      </c>
      <c r="Q227" s="41" t="s">
        <v>68</v>
      </c>
      <c r="R227" s="41" t="str">
        <f>VLOOKUP(Q:Q,Unit!B:D,2,0)</f>
        <v>pc</v>
      </c>
      <c r="S227" s="41" t="s">
        <v>75</v>
      </c>
      <c r="T227" s="41" t="str">
        <f>VLOOKUP(S:S,Promo!B:D,2,0)</f>
        <v>Promo EN</v>
      </c>
      <c r="W227" s="41">
        <v>169</v>
      </c>
      <c r="X227" s="41">
        <v>159</v>
      </c>
      <c r="AB227" s="41" t="s">
        <v>91</v>
      </c>
      <c r="AG227" s="41" t="s">
        <v>71</v>
      </c>
      <c r="AH227" s="41" t="s">
        <v>71</v>
      </c>
      <c r="AI227" s="41" t="s">
        <v>71</v>
      </c>
      <c r="AJ227" s="41" t="s">
        <v>71</v>
      </c>
      <c r="AK227" s="41" t="s">
        <v>71</v>
      </c>
      <c r="AL227" s="41" t="s">
        <v>71</v>
      </c>
      <c r="AU227" s="41" t="s">
        <v>2214</v>
      </c>
      <c r="AV227" s="41" t="s">
        <v>3742</v>
      </c>
      <c r="BS227" s="41" t="s">
        <v>2058</v>
      </c>
      <c r="BT227" s="41" t="s">
        <v>72</v>
      </c>
      <c r="BW227" s="41" t="s">
        <v>72</v>
      </c>
      <c r="BX227" s="41">
        <f>VLOOKUP(B:B,Brand!B:D,3,0)</f>
        <v>961</v>
      </c>
      <c r="BY227" s="41">
        <f>VLOOKUP(M:M,Unit!B:D,3,0)</f>
        <v>1</v>
      </c>
      <c r="BZ227" s="41">
        <f>VLOOKUP(S:S,Promo!B:D,3,0)</f>
        <v>0</v>
      </c>
    </row>
    <row r="228" spans="1:78" s="41" customFormat="1" ht="15.75" customHeight="1">
      <c r="A228" s="41">
        <v>226132</v>
      </c>
      <c r="B228" s="41" t="s">
        <v>752</v>
      </c>
      <c r="C228" s="65" t="str">
        <f>VLOOKUP(B:B,Brand!B:C,2,0)</f>
        <v>Beng Beng</v>
      </c>
      <c r="D228" s="63">
        <f>VLOOKUP(E:E,'Product Category'!J:O,6,FALSE)</f>
        <v>144</v>
      </c>
      <c r="E228" s="41" t="s">
        <v>2208</v>
      </c>
      <c r="F228" s="63" t="str">
        <f>VLOOKUP(E:E,'Product Category'!J:K,2,FALSE)</f>
        <v>30-Chocolate &amp; Sweet</v>
      </c>
      <c r="G228" s="63" t="str">
        <f>VLOOKUP(F:F,'Product Category'!K:L,2,FALSE)</f>
        <v>4-Snack &amp; Sweets</v>
      </c>
      <c r="H228" s="41" t="s">
        <v>3760</v>
      </c>
      <c r="I228" s="41" t="s">
        <v>2291</v>
      </c>
      <c r="J228" s="41" t="s">
        <v>4753</v>
      </c>
      <c r="K228" s="41" t="s">
        <v>4754</v>
      </c>
      <c r="L228" s="41">
        <v>25</v>
      </c>
      <c r="M228" s="41" t="s">
        <v>83</v>
      </c>
      <c r="N228" s="41" t="str">
        <f>VLOOKUP(M:M,Unit!B:C,2,0)</f>
        <v>g</v>
      </c>
      <c r="O228" s="41" t="s">
        <v>67</v>
      </c>
      <c r="P228" s="41">
        <v>12</v>
      </c>
      <c r="Q228" s="41" t="s">
        <v>68</v>
      </c>
      <c r="R228" s="41" t="str">
        <f>VLOOKUP(Q:Q,Unit!B:D,2,0)</f>
        <v>pc</v>
      </c>
      <c r="S228" s="41" t="s">
        <v>75</v>
      </c>
      <c r="T228" s="41" t="str">
        <f>VLOOKUP(S:S,Promo!B:D,2,0)</f>
        <v>Promo EN</v>
      </c>
      <c r="W228" s="41">
        <v>49.5</v>
      </c>
      <c r="X228" s="41">
        <v>47</v>
      </c>
      <c r="AB228" s="41" t="s">
        <v>91</v>
      </c>
      <c r="AG228" s="41" t="s">
        <v>71</v>
      </c>
      <c r="AH228" s="41" t="s">
        <v>71</v>
      </c>
      <c r="AI228" s="41" t="s">
        <v>71</v>
      </c>
      <c r="AJ228" s="41" t="s">
        <v>71</v>
      </c>
      <c r="AK228" s="41" t="s">
        <v>71</v>
      </c>
      <c r="AL228" s="41" t="s">
        <v>71</v>
      </c>
      <c r="AU228" s="41" t="s">
        <v>129</v>
      </c>
      <c r="AV228" s="41" t="s">
        <v>2168</v>
      </c>
      <c r="BS228" s="41" t="s">
        <v>2058</v>
      </c>
      <c r="BT228" s="41" t="s">
        <v>72</v>
      </c>
      <c r="BW228" s="41" t="s">
        <v>72</v>
      </c>
      <c r="BX228" s="41">
        <f>VLOOKUP(B:B,Brand!B:D,3,0)</f>
        <v>359</v>
      </c>
      <c r="BY228" s="41">
        <f>VLOOKUP(M:M,Unit!B:D,3,0)</f>
        <v>1</v>
      </c>
      <c r="BZ228" s="41">
        <f>VLOOKUP(S:S,Promo!B:D,3,0)</f>
        <v>0</v>
      </c>
    </row>
    <row r="229" spans="1:78" s="41" customFormat="1" ht="15.75" customHeight="1">
      <c r="A229" s="41">
        <v>227737</v>
      </c>
      <c r="B229" s="41" t="s">
        <v>2822</v>
      </c>
      <c r="C229" s="65" t="str">
        <f>VLOOKUP(B:B,Brand!B:C,2,0)</f>
        <v>Delfi</v>
      </c>
      <c r="D229" s="63">
        <f>VLOOKUP(E:E,'Product Category'!J:O,6,FALSE)</f>
        <v>144</v>
      </c>
      <c r="E229" s="41" t="s">
        <v>2208</v>
      </c>
      <c r="F229" s="63" t="str">
        <f>VLOOKUP(E:E,'Product Category'!J:K,2,FALSE)</f>
        <v>30-Chocolate &amp; Sweet</v>
      </c>
      <c r="G229" s="63" t="str">
        <f>VLOOKUP(F:F,'Product Category'!K:L,2,FALSE)</f>
        <v>4-Snack &amp; Sweets</v>
      </c>
      <c r="H229" s="41" t="s">
        <v>3780</v>
      </c>
      <c r="I229" s="41" t="s">
        <v>3781</v>
      </c>
      <c r="J229" s="41" t="s">
        <v>4773</v>
      </c>
      <c r="K229" s="41" t="s">
        <v>4774</v>
      </c>
      <c r="L229" s="41">
        <v>13</v>
      </c>
      <c r="M229" s="41" t="s">
        <v>83</v>
      </c>
      <c r="N229" s="41" t="str">
        <f>VLOOKUP(M:M,Unit!B:C,2,0)</f>
        <v>g</v>
      </c>
      <c r="O229" s="41" t="s">
        <v>67</v>
      </c>
      <c r="P229" s="41">
        <v>12</v>
      </c>
      <c r="Q229" s="41" t="s">
        <v>68</v>
      </c>
      <c r="R229" s="41" t="str">
        <f>VLOOKUP(Q:Q,Unit!B:D,2,0)</f>
        <v>pc</v>
      </c>
      <c r="S229" s="41" t="s">
        <v>75</v>
      </c>
      <c r="T229" s="41" t="str">
        <f>VLOOKUP(S:S,Promo!B:D,2,0)</f>
        <v>Promo EN</v>
      </c>
      <c r="W229" s="41">
        <v>48</v>
      </c>
      <c r="X229" s="41">
        <v>44</v>
      </c>
      <c r="AB229" s="41" t="s">
        <v>91</v>
      </c>
      <c r="AG229" s="41" t="s">
        <v>71</v>
      </c>
      <c r="AH229" s="41" t="s">
        <v>71</v>
      </c>
      <c r="AI229" s="41" t="s">
        <v>71</v>
      </c>
      <c r="AJ229" s="41" t="s">
        <v>71</v>
      </c>
      <c r="AK229" s="41" t="s">
        <v>71</v>
      </c>
      <c r="AL229" s="41" t="s">
        <v>71</v>
      </c>
      <c r="BS229" s="41" t="s">
        <v>2058</v>
      </c>
      <c r="BT229" s="41" t="s">
        <v>72</v>
      </c>
      <c r="BW229" s="41" t="s">
        <v>72</v>
      </c>
      <c r="BX229" s="41">
        <f>VLOOKUP(B:B,Brand!B:D,3,0)</f>
        <v>1182</v>
      </c>
      <c r="BY229" s="41">
        <f>VLOOKUP(M:M,Unit!B:D,3,0)</f>
        <v>1</v>
      </c>
      <c r="BZ229" s="41">
        <f>VLOOKUP(S:S,Promo!B:D,3,0)</f>
        <v>0</v>
      </c>
    </row>
    <row r="230" spans="1:78" s="41" customFormat="1" ht="15.75" customHeight="1">
      <c r="A230" s="41">
        <v>105656</v>
      </c>
      <c r="B230" s="41" t="s">
        <v>478</v>
      </c>
      <c r="C230" s="65" t="str">
        <f>VLOOKUP(B:B,Brand!B:C,2,0)</f>
        <v>Sugus</v>
      </c>
      <c r="D230" s="63">
        <f>VLOOKUP(E:E,'Product Category'!J:O,6,FALSE)</f>
        <v>145</v>
      </c>
      <c r="E230" s="41" t="s">
        <v>2092</v>
      </c>
      <c r="F230" s="63" t="str">
        <f>VLOOKUP(E:E,'Product Category'!J:K,2,FALSE)</f>
        <v>30-Chocolate &amp; Sweet</v>
      </c>
      <c r="G230" s="63" t="str">
        <f>VLOOKUP(F:F,'Product Category'!K:L,2,FALSE)</f>
        <v>4-Snack &amp; Sweets</v>
      </c>
      <c r="H230" s="41" t="s">
        <v>3589</v>
      </c>
      <c r="I230" s="41" t="s">
        <v>2297</v>
      </c>
      <c r="J230" s="41" t="s">
        <v>4613</v>
      </c>
      <c r="K230" s="41" t="s">
        <v>4614</v>
      </c>
      <c r="L230" s="41">
        <v>30</v>
      </c>
      <c r="M230" s="41" t="s">
        <v>83</v>
      </c>
      <c r="N230" s="41" t="str">
        <f>VLOOKUP(M:M,Unit!B:C,2,0)</f>
        <v>g</v>
      </c>
      <c r="O230" s="41" t="s">
        <v>67</v>
      </c>
      <c r="P230" s="41">
        <v>36</v>
      </c>
      <c r="Q230" s="41" t="s">
        <v>68</v>
      </c>
      <c r="R230" s="41" t="str">
        <f>VLOOKUP(Q:Q,Unit!B:D,2,0)</f>
        <v>pc</v>
      </c>
      <c r="S230" s="41" t="s">
        <v>75</v>
      </c>
      <c r="T230" s="41" t="str">
        <f>VLOOKUP(S:S,Promo!B:D,2,0)</f>
        <v>Promo EN</v>
      </c>
      <c r="W230" s="41">
        <v>137</v>
      </c>
      <c r="X230" s="41">
        <v>131</v>
      </c>
      <c r="AB230" s="41" t="s">
        <v>91</v>
      </c>
      <c r="AG230" s="41" t="s">
        <v>71</v>
      </c>
      <c r="AH230" s="41" t="s">
        <v>71</v>
      </c>
      <c r="AI230" s="41" t="s">
        <v>71</v>
      </c>
      <c r="AJ230" s="41" t="s">
        <v>71</v>
      </c>
      <c r="AK230" s="41" t="s">
        <v>71</v>
      </c>
      <c r="AL230" s="41" t="s">
        <v>71</v>
      </c>
      <c r="AU230" s="41" t="s">
        <v>3590</v>
      </c>
      <c r="AV230" s="41" t="s">
        <v>3192</v>
      </c>
      <c r="BS230" s="41" t="s">
        <v>2058</v>
      </c>
      <c r="BT230" s="41" t="s">
        <v>72</v>
      </c>
      <c r="BW230" s="41" t="s">
        <v>72</v>
      </c>
      <c r="BX230" s="41">
        <f>VLOOKUP(B:B,Brand!B:D,3,0)</f>
        <v>180</v>
      </c>
      <c r="BY230" s="41">
        <f>VLOOKUP(M:M,Unit!B:D,3,0)</f>
        <v>1</v>
      </c>
      <c r="BZ230" s="41">
        <f>VLOOKUP(S:S,Promo!B:D,3,0)</f>
        <v>0</v>
      </c>
    </row>
    <row r="231" spans="1:78" s="41" customFormat="1" ht="15.75" customHeight="1">
      <c r="A231" s="41">
        <v>916071</v>
      </c>
      <c r="B231" s="41" t="s">
        <v>989</v>
      </c>
      <c r="C231" s="65" t="str">
        <f>VLOOKUP(B:B,Brand!B:C,2,0)</f>
        <v>Mentos</v>
      </c>
      <c r="D231" s="63">
        <f>VLOOKUP(E:E,'Product Category'!J:O,6,FALSE)</f>
        <v>145</v>
      </c>
      <c r="E231" s="41" t="s">
        <v>2092</v>
      </c>
      <c r="F231" s="63" t="str">
        <f>VLOOKUP(E:E,'Product Category'!J:K,2,FALSE)</f>
        <v>30-Chocolate &amp; Sweet</v>
      </c>
      <c r="G231" s="63" t="str">
        <f>VLOOKUP(F:F,'Product Category'!K:L,2,FALSE)</f>
        <v>4-Snack &amp; Sweets</v>
      </c>
      <c r="H231" s="41" t="s">
        <v>3736</v>
      </c>
      <c r="I231" s="41" t="s">
        <v>3737</v>
      </c>
      <c r="J231" s="41" t="s">
        <v>4735</v>
      </c>
      <c r="K231" s="41" t="s">
        <v>4736</v>
      </c>
      <c r="L231" s="41">
        <v>100</v>
      </c>
      <c r="M231" s="41" t="s">
        <v>1798</v>
      </c>
      <c r="N231" s="41" t="str">
        <f>VLOOKUP(M:M,Unit!B:C,2,0)</f>
        <v>pill</v>
      </c>
      <c r="O231" s="41" t="s">
        <v>67</v>
      </c>
      <c r="P231" s="41">
        <v>1</v>
      </c>
      <c r="Q231" s="41" t="s">
        <v>2153</v>
      </c>
      <c r="R231" s="41" t="str">
        <f>VLOOKUP(Q:Q,Unit!B:D,2,0)</f>
        <v>unit</v>
      </c>
      <c r="S231" s="41" t="s">
        <v>75</v>
      </c>
      <c r="T231" s="41" t="str">
        <f>VLOOKUP(S:S,Promo!B:D,2,0)</f>
        <v>Promo EN</v>
      </c>
      <c r="W231" s="41">
        <v>36</v>
      </c>
      <c r="X231" s="41">
        <v>29</v>
      </c>
      <c r="AB231" s="41" t="s">
        <v>91</v>
      </c>
      <c r="AG231" s="41" t="s">
        <v>71</v>
      </c>
      <c r="AH231" s="41" t="s">
        <v>71</v>
      </c>
      <c r="AI231" s="41" t="s">
        <v>71</v>
      </c>
      <c r="AJ231" s="41" t="s">
        <v>71</v>
      </c>
      <c r="AK231" s="41" t="s">
        <v>71</v>
      </c>
      <c r="AL231" s="41" t="s">
        <v>71</v>
      </c>
      <c r="AU231" s="41" t="s">
        <v>3738</v>
      </c>
      <c r="AV231" s="41" t="s">
        <v>3739</v>
      </c>
      <c r="BS231" s="41" t="s">
        <v>2058</v>
      </c>
      <c r="BT231" s="41" t="s">
        <v>72</v>
      </c>
      <c r="BW231" s="41" t="s">
        <v>72</v>
      </c>
      <c r="BX231" s="41">
        <f>VLOOKUP(B:B,Brand!B:D,3,0)</f>
        <v>517</v>
      </c>
      <c r="BY231" s="41">
        <f>VLOOKUP(M:M,Unit!B:D,3,0)</f>
        <v>8</v>
      </c>
      <c r="BZ231" s="41">
        <f>VLOOKUP(S:S,Promo!B:D,3,0)</f>
        <v>0</v>
      </c>
    </row>
    <row r="232" spans="1:78" s="41" customFormat="1" ht="15.75" customHeight="1">
      <c r="A232" s="41">
        <v>176565</v>
      </c>
      <c r="B232" s="41" t="s">
        <v>989</v>
      </c>
      <c r="C232" s="65" t="str">
        <f>VLOOKUP(B:B,Brand!B:C,2,0)</f>
        <v>Mentos</v>
      </c>
      <c r="D232" s="63">
        <f>VLOOKUP(E:E,'Product Category'!J:O,6,FALSE)</f>
        <v>145</v>
      </c>
      <c r="E232" s="41" t="s">
        <v>2092</v>
      </c>
      <c r="F232" s="63" t="str">
        <f>VLOOKUP(E:E,'Product Category'!J:K,2,FALSE)</f>
        <v>30-Chocolate &amp; Sweet</v>
      </c>
      <c r="G232" s="63" t="str">
        <f>VLOOKUP(F:F,'Product Category'!K:L,2,FALSE)</f>
        <v>4-Snack &amp; Sweets</v>
      </c>
      <c r="H232" s="41" t="s">
        <v>3777</v>
      </c>
      <c r="I232" s="41" t="s">
        <v>3778</v>
      </c>
      <c r="J232" s="41" t="s">
        <v>4771</v>
      </c>
      <c r="K232" s="41" t="s">
        <v>4772</v>
      </c>
      <c r="L232" s="41">
        <v>37</v>
      </c>
      <c r="M232" s="41" t="s">
        <v>83</v>
      </c>
      <c r="N232" s="41" t="str">
        <f>VLOOKUP(M:M,Unit!B:C,2,0)</f>
        <v>g</v>
      </c>
      <c r="O232" s="41" t="s">
        <v>67</v>
      </c>
      <c r="P232" s="41">
        <v>24</v>
      </c>
      <c r="Q232" s="41" t="s">
        <v>68</v>
      </c>
      <c r="R232" s="41" t="str">
        <f>VLOOKUP(Q:Q,Unit!B:D,2,0)</f>
        <v>pc</v>
      </c>
      <c r="S232" s="41" t="s">
        <v>75</v>
      </c>
      <c r="T232" s="41" t="str">
        <f>VLOOKUP(S:S,Promo!B:D,2,0)</f>
        <v>Promo EN</v>
      </c>
      <c r="W232" s="41">
        <v>184</v>
      </c>
      <c r="X232" s="41">
        <v>169</v>
      </c>
      <c r="AB232" s="41" t="s">
        <v>91</v>
      </c>
      <c r="AG232" s="41" t="s">
        <v>71</v>
      </c>
      <c r="AH232" s="41" t="s">
        <v>71</v>
      </c>
      <c r="AI232" s="41" t="s">
        <v>71</v>
      </c>
      <c r="AJ232" s="41" t="s">
        <v>71</v>
      </c>
      <c r="AK232" s="41" t="s">
        <v>71</v>
      </c>
      <c r="AL232" s="41" t="s">
        <v>71</v>
      </c>
      <c r="AU232" s="41" t="s">
        <v>3779</v>
      </c>
      <c r="AV232" s="41" t="s">
        <v>3739</v>
      </c>
      <c r="BS232" s="41" t="s">
        <v>2058</v>
      </c>
      <c r="BT232" s="41" t="s">
        <v>72</v>
      </c>
      <c r="BW232" s="41" t="s">
        <v>72</v>
      </c>
      <c r="BX232" s="41">
        <f>VLOOKUP(B:B,Brand!B:D,3,0)</f>
        <v>517</v>
      </c>
      <c r="BY232" s="41">
        <f>VLOOKUP(M:M,Unit!B:D,3,0)</f>
        <v>1</v>
      </c>
      <c r="BZ232" s="41">
        <f>VLOOKUP(S:S,Promo!B:D,3,0)</f>
        <v>0</v>
      </c>
    </row>
    <row r="233" spans="1:78" s="41" customFormat="1" ht="15.75" customHeight="1">
      <c r="A233" s="41">
        <v>104418</v>
      </c>
      <c r="B233" s="41" t="s">
        <v>1025</v>
      </c>
      <c r="C233" s="65" t="str">
        <f>VLOOKUP(B:B,Brand!B:C,2,0)</f>
        <v>Yupi</v>
      </c>
      <c r="D233" s="63">
        <f>VLOOKUP(E:E,'Product Category'!J:O,6,FALSE)</f>
        <v>145</v>
      </c>
      <c r="E233" s="41" t="s">
        <v>2092</v>
      </c>
      <c r="F233" s="63" t="str">
        <f>VLOOKUP(E:E,'Product Category'!J:K,2,FALSE)</f>
        <v>30-Chocolate &amp; Sweet</v>
      </c>
      <c r="G233" s="63" t="str">
        <f>VLOOKUP(F:F,'Product Category'!K:L,2,FALSE)</f>
        <v>4-Snack &amp; Sweets</v>
      </c>
      <c r="H233" s="41" t="s">
        <v>3784</v>
      </c>
      <c r="I233" s="41" t="s">
        <v>3785</v>
      </c>
      <c r="J233" s="65" t="str">
        <f>TRIM(CONCATENATE(B233," ",H233," ",L233," ",M233," ",O233,P233," ",Q233))</f>
        <v>ยูปี้ กัมมี่แฟนซี คละแบบ 15 กรัม x12 ชิ้น</v>
      </c>
      <c r="K233" s="80" t="str">
        <f>TRIM(CONCATENATE(C233," ",I233," ",L233," ",N233," ",O233,P233," ",R233))</f>
        <v>Yupi JELLY GUMMY PIZZA 15 g x12 pc</v>
      </c>
      <c r="L233" s="41">
        <v>15</v>
      </c>
      <c r="M233" s="41" t="s">
        <v>83</v>
      </c>
      <c r="N233" s="41" t="str">
        <f>VLOOKUP(M:M,Unit!B:C,2,0)</f>
        <v>g</v>
      </c>
      <c r="O233" s="41" t="s">
        <v>67</v>
      </c>
      <c r="P233" s="41">
        <v>12</v>
      </c>
      <c r="Q233" s="41" t="s">
        <v>68</v>
      </c>
      <c r="R233" s="41" t="str">
        <f>VLOOKUP(Q:Q,Unit!B:D,2,0)</f>
        <v>pc</v>
      </c>
      <c r="S233" s="41" t="s">
        <v>75</v>
      </c>
      <c r="T233" s="41" t="str">
        <f>VLOOKUP(S:S,Promo!B:D,2,0)</f>
        <v>Promo EN</v>
      </c>
      <c r="W233" s="41">
        <v>49</v>
      </c>
      <c r="X233" s="41">
        <v>40</v>
      </c>
      <c r="AB233" s="41" t="s">
        <v>91</v>
      </c>
      <c r="AG233" s="41" t="s">
        <v>71</v>
      </c>
      <c r="AH233" s="41" t="s">
        <v>71</v>
      </c>
      <c r="AI233" s="41" t="s">
        <v>71</v>
      </c>
      <c r="AJ233" s="41" t="s">
        <v>71</v>
      </c>
      <c r="AK233" s="41" t="s">
        <v>71</v>
      </c>
      <c r="AL233" s="41" t="s">
        <v>71</v>
      </c>
      <c r="BS233" s="41" t="s">
        <v>2058</v>
      </c>
      <c r="BT233" s="41" t="s">
        <v>72</v>
      </c>
      <c r="BW233" s="41" t="s">
        <v>72</v>
      </c>
      <c r="BX233" s="41">
        <f>VLOOKUP(B:B,Brand!B:D,3,0)</f>
        <v>541</v>
      </c>
      <c r="BY233" s="41">
        <f>VLOOKUP(M:M,Unit!B:D,3,0)</f>
        <v>1</v>
      </c>
      <c r="BZ233" s="41">
        <f>VLOOKUP(S:S,Promo!B:D,3,0)</f>
        <v>0</v>
      </c>
    </row>
    <row r="234" spans="1:78" s="41" customFormat="1" ht="15.75" customHeight="1">
      <c r="A234" s="41">
        <v>131050</v>
      </c>
      <c r="B234" s="41" t="s">
        <v>1913</v>
      </c>
      <c r="C234" s="65" t="str">
        <f>VLOOKUP(B:B,Brand!B:C,2,0)</f>
        <v>Lotte</v>
      </c>
      <c r="D234" s="63">
        <f>VLOOKUP(E:E,'Product Category'!J:O,6,FALSE)</f>
        <v>146</v>
      </c>
      <c r="E234" s="41" t="s">
        <v>2088</v>
      </c>
      <c r="F234" s="63" t="str">
        <f>VLOOKUP(E:E,'Product Category'!J:K,2,FALSE)</f>
        <v>30-Chocolate &amp; Sweet</v>
      </c>
      <c r="G234" s="63" t="str">
        <f>VLOOKUP(F:F,'Product Category'!K:L,2,FALSE)</f>
        <v>4-Snack &amp; Sweets</v>
      </c>
      <c r="H234" s="41" t="s">
        <v>3786</v>
      </c>
      <c r="I234" s="41" t="s">
        <v>3787</v>
      </c>
      <c r="J234" s="65" t="str">
        <f>TRIM(CONCATENATE(B234," ",H234," ",L234," ",M234," ",O234,P234," ",Q234))</f>
        <v>ลอตเต้ ฟูเซ็น โนมิโคล่าเลมอน 15 กรัม x10 ชิ้น</v>
      </c>
      <c r="K234" s="80" t="str">
        <f>TRIM(CONCATENATE(C234," ",I234," ",L234," ",N234," ",O234,P234," ",R234))</f>
        <v>Lotte GUM FUSEN COLA lemon 15 g x10 pc</v>
      </c>
      <c r="L234" s="41">
        <v>15</v>
      </c>
      <c r="M234" s="41" t="s">
        <v>83</v>
      </c>
      <c r="N234" s="41" t="str">
        <f>VLOOKUP(M:M,Unit!B:C,2,0)</f>
        <v>g</v>
      </c>
      <c r="O234" s="41" t="s">
        <v>67</v>
      </c>
      <c r="P234" s="41">
        <v>10</v>
      </c>
      <c r="Q234" s="41" t="s">
        <v>68</v>
      </c>
      <c r="R234" s="41" t="str">
        <f>VLOOKUP(Q:Q,Unit!B:D,2,0)</f>
        <v>pc</v>
      </c>
      <c r="S234" s="41" t="s">
        <v>75</v>
      </c>
      <c r="T234" s="41" t="str">
        <f>VLOOKUP(S:S,Promo!B:D,2,0)</f>
        <v>Promo EN</v>
      </c>
      <c r="W234" s="41">
        <v>87</v>
      </c>
      <c r="X234" s="41">
        <v>75</v>
      </c>
      <c r="AB234" s="41" t="s">
        <v>91</v>
      </c>
      <c r="AG234" s="41" t="s">
        <v>71</v>
      </c>
      <c r="AH234" s="41" t="s">
        <v>71</v>
      </c>
      <c r="AI234" s="41" t="s">
        <v>71</v>
      </c>
      <c r="AJ234" s="41" t="s">
        <v>71</v>
      </c>
      <c r="AK234" s="41" t="s">
        <v>71</v>
      </c>
      <c r="AL234" s="41" t="s">
        <v>71</v>
      </c>
      <c r="AU234" s="41" t="s">
        <v>3788</v>
      </c>
      <c r="AV234" s="41" t="s">
        <v>3789</v>
      </c>
      <c r="BS234" s="41" t="s">
        <v>2058</v>
      </c>
      <c r="BT234" s="41" t="s">
        <v>72</v>
      </c>
      <c r="BW234" s="41" t="s">
        <v>72</v>
      </c>
      <c r="BX234" s="41">
        <f>VLOOKUP(B:B,Brand!B:D,3,0)</f>
        <v>908</v>
      </c>
      <c r="BY234" s="41">
        <f>VLOOKUP(M:M,Unit!B:D,3,0)</f>
        <v>1</v>
      </c>
      <c r="BZ234" s="41">
        <f>VLOOKUP(S:S,Promo!B:D,3,0)</f>
        <v>0</v>
      </c>
    </row>
    <row r="235" spans="1:78" s="41" customFormat="1" ht="15.75" customHeight="1">
      <c r="A235" s="41">
        <v>539760</v>
      </c>
      <c r="B235" s="41" t="s">
        <v>237</v>
      </c>
      <c r="C235" s="65" t="str">
        <f>VLOOKUP(B:B,Brand!B:C,2,0)</f>
        <v>Gussen</v>
      </c>
      <c r="D235" s="63">
        <f>VLOOKUP(E:E,'Product Category'!J:O,6,FALSE)</f>
        <v>150</v>
      </c>
      <c r="E235" s="41" t="s">
        <v>2118</v>
      </c>
      <c r="F235" s="63" t="str">
        <f>VLOOKUP(E:E,'Product Category'!J:K,2,FALSE)</f>
        <v>31-Cookies &amp; Biscuits</v>
      </c>
      <c r="G235" s="63" t="str">
        <f>VLOOKUP(F:F,'Product Category'!K:L,2,FALSE)</f>
        <v>4-Snack &amp; Sweets</v>
      </c>
      <c r="H235" s="41" t="s">
        <v>3575</v>
      </c>
      <c r="I235" s="41" t="s">
        <v>3576</v>
      </c>
      <c r="J235" s="41" t="s">
        <v>4603</v>
      </c>
      <c r="K235" s="41" t="s">
        <v>4604</v>
      </c>
      <c r="L235" s="41">
        <v>22</v>
      </c>
      <c r="M235" s="41" t="s">
        <v>83</v>
      </c>
      <c r="N235" s="41" t="str">
        <f>VLOOKUP(M:M,Unit!B:C,2,0)</f>
        <v>g</v>
      </c>
      <c r="O235" s="41" t="s">
        <v>67</v>
      </c>
      <c r="P235" s="41">
        <v>12</v>
      </c>
      <c r="Q235" s="41" t="s">
        <v>68</v>
      </c>
      <c r="R235" s="41" t="str">
        <f>VLOOKUP(Q:Q,Unit!B:D,2,0)</f>
        <v>pc</v>
      </c>
      <c r="S235" s="41" t="s">
        <v>75</v>
      </c>
      <c r="T235" s="41" t="str">
        <f>VLOOKUP(S:S,Promo!B:D,2,0)</f>
        <v>Promo EN</v>
      </c>
      <c r="W235" s="41">
        <v>50</v>
      </c>
      <c r="X235" s="41">
        <v>48.5</v>
      </c>
      <c r="AB235" s="41" t="s">
        <v>91</v>
      </c>
      <c r="AG235" s="41" t="s">
        <v>71</v>
      </c>
      <c r="AH235" s="41" t="s">
        <v>71</v>
      </c>
      <c r="AI235" s="41" t="s">
        <v>71</v>
      </c>
      <c r="AJ235" s="41" t="s">
        <v>71</v>
      </c>
      <c r="AK235" s="41" t="s">
        <v>71</v>
      </c>
      <c r="AL235" s="41" t="s">
        <v>71</v>
      </c>
      <c r="AU235" s="41" t="s">
        <v>2214</v>
      </c>
      <c r="AV235" s="41" t="s">
        <v>2168</v>
      </c>
      <c r="BS235" s="41" t="s">
        <v>2058</v>
      </c>
      <c r="BT235" s="41" t="s">
        <v>72</v>
      </c>
      <c r="BW235" s="41" t="s">
        <v>72</v>
      </c>
      <c r="BX235" s="41">
        <f>VLOOKUP(B:B,Brand!B:D,3,0)</f>
        <v>15</v>
      </c>
      <c r="BY235" s="41">
        <f>VLOOKUP(M:M,Unit!B:D,3,0)</f>
        <v>1</v>
      </c>
      <c r="BZ235" s="41">
        <f>VLOOKUP(S:S,Promo!B:D,3,0)</f>
        <v>0</v>
      </c>
    </row>
    <row r="236" spans="1:78" s="41" customFormat="1" ht="15.75" customHeight="1">
      <c r="A236" s="41">
        <v>328887</v>
      </c>
      <c r="B236" s="41" t="s">
        <v>496</v>
      </c>
      <c r="C236" s="65" t="str">
        <f>VLOOKUP(B:B,Brand!B:C,2,0)</f>
        <v>Sanghai</v>
      </c>
      <c r="D236" s="63">
        <f>VLOOKUP(E:E,'Product Category'!J:O,6,FALSE)</f>
        <v>150</v>
      </c>
      <c r="E236" s="41" t="s">
        <v>2118</v>
      </c>
      <c r="F236" s="63" t="str">
        <f>VLOOKUP(E:E,'Product Category'!J:K,2,FALSE)</f>
        <v>31-Cookies &amp; Biscuits</v>
      </c>
      <c r="G236" s="63" t="str">
        <f>VLOOKUP(F:F,'Product Category'!K:L,2,FALSE)</f>
        <v>4-Snack &amp; Sweets</v>
      </c>
      <c r="H236" s="41" t="s">
        <v>3596</v>
      </c>
      <c r="I236" s="41" t="s">
        <v>3576</v>
      </c>
      <c r="J236" s="41" t="s">
        <v>4617</v>
      </c>
      <c r="K236" s="41" t="s">
        <v>4618</v>
      </c>
      <c r="L236" s="41">
        <v>6</v>
      </c>
      <c r="M236" s="41" t="s">
        <v>83</v>
      </c>
      <c r="N236" s="41" t="str">
        <f>VLOOKUP(M:M,Unit!B:C,2,0)</f>
        <v>g</v>
      </c>
      <c r="O236" s="41" t="s">
        <v>67</v>
      </c>
      <c r="P236" s="41">
        <v>15</v>
      </c>
      <c r="Q236" s="41" t="s">
        <v>68</v>
      </c>
      <c r="R236" s="41" t="str">
        <f>VLOOKUP(Q:Q,Unit!B:D,2,0)</f>
        <v>pc</v>
      </c>
      <c r="S236" s="41" t="s">
        <v>75</v>
      </c>
      <c r="T236" s="41" t="str">
        <f>VLOOKUP(S:S,Promo!B:D,2,0)</f>
        <v>Promo EN</v>
      </c>
      <c r="W236" s="41">
        <v>74</v>
      </c>
      <c r="X236" s="41">
        <v>71</v>
      </c>
      <c r="AB236" s="41" t="s">
        <v>91</v>
      </c>
      <c r="AG236" s="41" t="s">
        <v>71</v>
      </c>
      <c r="AH236" s="41" t="s">
        <v>71</v>
      </c>
      <c r="AI236" s="41" t="s">
        <v>71</v>
      </c>
      <c r="AJ236" s="41" t="s">
        <v>71</v>
      </c>
      <c r="AK236" s="41" t="s">
        <v>71</v>
      </c>
      <c r="AL236" s="41" t="s">
        <v>71</v>
      </c>
      <c r="AU236" s="41" t="s">
        <v>2214</v>
      </c>
      <c r="AV236" s="41" t="s">
        <v>2168</v>
      </c>
      <c r="BS236" s="41" t="s">
        <v>2058</v>
      </c>
      <c r="BT236" s="41" t="s">
        <v>72</v>
      </c>
      <c r="BW236" s="41" t="s">
        <v>72</v>
      </c>
      <c r="BX236" s="41">
        <f>VLOOKUP(B:B,Brand!B:D,3,0)</f>
        <v>193</v>
      </c>
      <c r="BY236" s="41">
        <f>VLOOKUP(M:M,Unit!B:D,3,0)</f>
        <v>1</v>
      </c>
      <c r="BZ236" s="41">
        <f>VLOOKUP(S:S,Promo!B:D,3,0)</f>
        <v>0</v>
      </c>
    </row>
    <row r="237" spans="1:78" s="41" customFormat="1" ht="15.75" customHeight="1">
      <c r="A237" s="41">
        <v>232376</v>
      </c>
      <c r="B237" s="41" t="s">
        <v>1093</v>
      </c>
      <c r="C237" s="65" t="str">
        <f>VLOOKUP(B:B,Brand!B:C,2,0)</f>
        <v>Voiz</v>
      </c>
      <c r="D237" s="63">
        <f>VLOOKUP(E:E,'Product Category'!J:O,6,FALSE)</f>
        <v>150</v>
      </c>
      <c r="E237" s="41" t="s">
        <v>2118</v>
      </c>
      <c r="F237" s="63" t="str">
        <f>VLOOKUP(E:E,'Product Category'!J:K,2,FALSE)</f>
        <v>31-Cookies &amp; Biscuits</v>
      </c>
      <c r="G237" s="63" t="str">
        <f>VLOOKUP(F:F,'Product Category'!K:L,2,FALSE)</f>
        <v>4-Snack &amp; Sweets</v>
      </c>
      <c r="H237" s="41" t="s">
        <v>3597</v>
      </c>
      <c r="I237" s="41" t="s">
        <v>3598</v>
      </c>
      <c r="J237" s="65" t="str">
        <f>TRIM(CONCATENATE(B237," ",H237," ",L237," ",M237," ",O237,P237," ",Q237))</f>
        <v>วอยซ์ วาฟเฟิลครันซ์ 23 กรัม x12 ชิ้น</v>
      </c>
      <c r="K237" s="80" t="str">
        <f>TRIM(CONCATENATE(C237," ",I237," ",L237," ",N237," ",O237,P237," ",R237))</f>
        <v>Voiz WAFFLE CRUNCH 23 g x12 pc</v>
      </c>
      <c r="L237" s="41">
        <v>23</v>
      </c>
      <c r="M237" s="41" t="s">
        <v>83</v>
      </c>
      <c r="N237" s="41" t="str">
        <f>VLOOKUP(M:M,Unit!B:C,2,0)</f>
        <v>g</v>
      </c>
      <c r="O237" s="41" t="s">
        <v>67</v>
      </c>
      <c r="P237" s="41">
        <v>12</v>
      </c>
      <c r="Q237" s="41" t="s">
        <v>68</v>
      </c>
      <c r="R237" s="41" t="str">
        <f>VLOOKUP(Q:Q,Unit!B:D,2,0)</f>
        <v>pc</v>
      </c>
      <c r="S237" s="41" t="s">
        <v>75</v>
      </c>
      <c r="T237" s="41" t="str">
        <f>VLOOKUP(S:S,Promo!B:D,2,0)</f>
        <v>Promo EN</v>
      </c>
      <c r="W237" s="41">
        <v>50</v>
      </c>
      <c r="X237" s="41">
        <v>45</v>
      </c>
      <c r="AB237" s="41" t="s">
        <v>91</v>
      </c>
      <c r="AG237" s="41" t="s">
        <v>71</v>
      </c>
      <c r="AH237" s="41" t="s">
        <v>71</v>
      </c>
      <c r="AI237" s="41" t="s">
        <v>71</v>
      </c>
      <c r="AJ237" s="41" t="s">
        <v>71</v>
      </c>
      <c r="AK237" s="41" t="s">
        <v>71</v>
      </c>
      <c r="AL237" s="41" t="s">
        <v>71</v>
      </c>
      <c r="BS237" s="41" t="s">
        <v>2058</v>
      </c>
      <c r="BT237" s="41" t="s">
        <v>72</v>
      </c>
      <c r="BW237" s="41" t="s">
        <v>72</v>
      </c>
      <c r="BX237" s="41">
        <f>VLOOKUP(B:B,Brand!B:D,3,0)</f>
        <v>589</v>
      </c>
      <c r="BY237" s="41">
        <f>VLOOKUP(M:M,Unit!B:D,3,0)</f>
        <v>1</v>
      </c>
      <c r="BZ237" s="41">
        <f>VLOOKUP(S:S,Promo!B:D,3,0)</f>
        <v>0</v>
      </c>
    </row>
    <row r="238" spans="1:78" s="41" customFormat="1" ht="15.75" customHeight="1">
      <c r="A238" s="41">
        <v>818845</v>
      </c>
      <c r="B238" s="41" t="s">
        <v>3354</v>
      </c>
      <c r="C238" s="65" t="str">
        <f>VLOOKUP(B:B,Brand!B:C,2,0)</f>
        <v>Calcheese</v>
      </c>
      <c r="D238" s="63">
        <f>VLOOKUP(E:E,'Product Category'!J:O,6,FALSE)</f>
        <v>150</v>
      </c>
      <c r="E238" s="41" t="s">
        <v>2118</v>
      </c>
      <c r="F238" s="63" t="str">
        <f>VLOOKUP(E:E,'Product Category'!J:K,2,FALSE)</f>
        <v>31-Cookies &amp; Biscuits</v>
      </c>
      <c r="G238" s="63" t="str">
        <f>VLOOKUP(F:F,'Product Category'!K:L,2,FALSE)</f>
        <v>4-Snack &amp; Sweets</v>
      </c>
      <c r="H238" s="41" t="s">
        <v>82</v>
      </c>
      <c r="I238" s="41" t="s">
        <v>3743</v>
      </c>
      <c r="J238" s="41" t="s">
        <v>4739</v>
      </c>
      <c r="K238" s="41" t="s">
        <v>4740</v>
      </c>
      <c r="L238" s="41">
        <v>8.5</v>
      </c>
      <c r="M238" s="41" t="s">
        <v>83</v>
      </c>
      <c r="N238" s="41" t="str">
        <f>VLOOKUP(M:M,Unit!B:C,2,0)</f>
        <v>g</v>
      </c>
      <c r="O238" s="41" t="s">
        <v>67</v>
      </c>
      <c r="P238" s="41">
        <v>24</v>
      </c>
      <c r="Q238" s="41" t="s">
        <v>68</v>
      </c>
      <c r="R238" s="41" t="str">
        <f>VLOOKUP(Q:Q,Unit!B:D,2,0)</f>
        <v>pc</v>
      </c>
      <c r="S238" s="41" t="s">
        <v>75</v>
      </c>
      <c r="T238" s="41" t="str">
        <f>VLOOKUP(S:S,Promo!B:D,2,0)</f>
        <v>Promo EN</v>
      </c>
      <c r="W238" s="41">
        <v>38</v>
      </c>
      <c r="X238" s="41">
        <v>35</v>
      </c>
      <c r="AB238" s="41" t="s">
        <v>91</v>
      </c>
      <c r="AF238" s="41" t="s">
        <v>3373</v>
      </c>
      <c r="AG238" s="41" t="s">
        <v>71</v>
      </c>
      <c r="AH238" s="41" t="s">
        <v>71</v>
      </c>
      <c r="AI238" s="41" t="s">
        <v>71</v>
      </c>
      <c r="AJ238" s="41" t="s">
        <v>71</v>
      </c>
      <c r="AK238" s="41" t="s">
        <v>71</v>
      </c>
      <c r="AL238" s="41" t="s">
        <v>71</v>
      </c>
      <c r="BS238" s="41" t="s">
        <v>2058</v>
      </c>
      <c r="BT238" s="41" t="s">
        <v>72</v>
      </c>
      <c r="BW238" s="41" t="s">
        <v>72</v>
      </c>
      <c r="BX238" s="41">
        <f>VLOOKUP(B:B,Brand!B:D,3,0)</f>
        <v>991</v>
      </c>
      <c r="BY238" s="41">
        <f>VLOOKUP(M:M,Unit!B:D,3,0)</f>
        <v>1</v>
      </c>
      <c r="BZ238" s="41">
        <f>VLOOKUP(S:S,Promo!B:D,3,0)</f>
        <v>0</v>
      </c>
    </row>
    <row r="239" spans="1:78" s="41" customFormat="1" ht="15.75" customHeight="1">
      <c r="A239" s="41">
        <v>148440</v>
      </c>
      <c r="B239" s="41" t="s">
        <v>733</v>
      </c>
      <c r="C239" s="65" t="str">
        <f>VLOOKUP(B:B,Brand!B:C,2,0)</f>
        <v>Bissin</v>
      </c>
      <c r="D239" s="63">
        <f>VLOOKUP(E:E,'Product Category'!J:O,6,FALSE)</f>
        <v>151</v>
      </c>
      <c r="E239" s="41" t="s">
        <v>2109</v>
      </c>
      <c r="F239" s="63" t="str">
        <f>VLOOKUP(E:E,'Product Category'!J:K,2,FALSE)</f>
        <v>31-Cookies &amp; Biscuits</v>
      </c>
      <c r="G239" s="63" t="str">
        <f>VLOOKUP(F:F,'Product Category'!K:L,2,FALSE)</f>
        <v>4-Snack &amp; Sweets</v>
      </c>
      <c r="H239" s="41" t="s">
        <v>3375</v>
      </c>
      <c r="I239" s="41" t="s">
        <v>3376</v>
      </c>
      <c r="J239" s="41" t="s">
        <v>4503</v>
      </c>
      <c r="K239" s="41" t="s">
        <v>4504</v>
      </c>
      <c r="L239" s="41">
        <v>36</v>
      </c>
      <c r="M239" s="41" t="s">
        <v>83</v>
      </c>
      <c r="N239" s="41" t="str">
        <f>VLOOKUP(M:M,Unit!B:C,2,0)</f>
        <v>g</v>
      </c>
      <c r="O239" s="41" t="s">
        <v>67</v>
      </c>
      <c r="P239" s="41">
        <v>12</v>
      </c>
      <c r="Q239" s="41" t="s">
        <v>68</v>
      </c>
      <c r="R239" s="41" t="str">
        <f>VLOOKUP(Q:Q,Unit!B:D,2,0)</f>
        <v>pc</v>
      </c>
      <c r="S239" s="41" t="s">
        <v>75</v>
      </c>
      <c r="T239" s="41" t="str">
        <f>VLOOKUP(S:S,Promo!B:D,2,0)</f>
        <v>Promo EN</v>
      </c>
      <c r="W239" s="41">
        <v>49.5</v>
      </c>
      <c r="X239" s="41">
        <v>45</v>
      </c>
      <c r="AB239" s="41" t="s">
        <v>91</v>
      </c>
      <c r="AF239" s="41" t="s">
        <v>3373</v>
      </c>
      <c r="AG239" s="41" t="s">
        <v>71</v>
      </c>
      <c r="AH239" s="41" t="s">
        <v>71</v>
      </c>
      <c r="AI239" s="41" t="s">
        <v>71</v>
      </c>
      <c r="AJ239" s="41" t="s">
        <v>71</v>
      </c>
      <c r="AK239" s="41" t="s">
        <v>71</v>
      </c>
      <c r="AL239" s="41" t="s">
        <v>71</v>
      </c>
      <c r="AU239" s="41" t="s">
        <v>3377</v>
      </c>
      <c r="AV239" s="41" t="s">
        <v>3378</v>
      </c>
      <c r="BS239" s="41" t="s">
        <v>2058</v>
      </c>
      <c r="BT239" s="41" t="s">
        <v>72</v>
      </c>
      <c r="BW239" s="41" t="s">
        <v>72</v>
      </c>
      <c r="BX239" s="41">
        <f>VLOOKUP(B:B,Brand!B:D,3,0)</f>
        <v>349</v>
      </c>
      <c r="BY239" s="41">
        <f>VLOOKUP(M:M,Unit!B:D,3,0)</f>
        <v>1</v>
      </c>
      <c r="BZ239" s="41">
        <f>VLOOKUP(S:S,Promo!B:D,3,0)</f>
        <v>0</v>
      </c>
    </row>
    <row r="240" spans="1:78" s="41" customFormat="1" ht="15.75" customHeight="1">
      <c r="A240" s="41">
        <v>806933</v>
      </c>
      <c r="B240" s="41" t="s">
        <v>1364</v>
      </c>
      <c r="C240" s="65" t="str">
        <f>VLOOKUP(B:B,Brand!B:C,2,0)</f>
        <v>Homey</v>
      </c>
      <c r="D240" s="63">
        <f>VLOOKUP(E:E,'Product Category'!J:O,6,FALSE)</f>
        <v>151</v>
      </c>
      <c r="E240" s="41" t="s">
        <v>2109</v>
      </c>
      <c r="F240" s="63" t="str">
        <f>VLOOKUP(E:E,'Product Category'!J:K,2,FALSE)</f>
        <v>31-Cookies &amp; Biscuits</v>
      </c>
      <c r="G240" s="63" t="str">
        <f>VLOOKUP(F:F,'Product Category'!K:L,2,FALSE)</f>
        <v>4-Snack &amp; Sweets</v>
      </c>
      <c r="H240" s="41" t="s">
        <v>3577</v>
      </c>
      <c r="I240" s="41" t="s">
        <v>3578</v>
      </c>
      <c r="J240" s="41" t="s">
        <v>4605</v>
      </c>
      <c r="K240" s="41" t="s">
        <v>4606</v>
      </c>
      <c r="L240" s="41">
        <v>80</v>
      </c>
      <c r="M240" s="41" t="s">
        <v>83</v>
      </c>
      <c r="N240" s="41" t="str">
        <f>VLOOKUP(M:M,Unit!B:C,2,0)</f>
        <v>g</v>
      </c>
      <c r="O240" s="41" t="s">
        <v>67</v>
      </c>
      <c r="P240" s="41">
        <v>6</v>
      </c>
      <c r="Q240" s="41" t="s">
        <v>68</v>
      </c>
      <c r="R240" s="41" t="str">
        <f>VLOOKUP(Q:Q,Unit!B:D,2,0)</f>
        <v>pc</v>
      </c>
      <c r="S240" s="41" t="s">
        <v>75</v>
      </c>
      <c r="T240" s="41" t="str">
        <f>VLOOKUP(S:S,Promo!B:D,2,0)</f>
        <v>Promo EN</v>
      </c>
      <c r="W240" s="41">
        <v>48</v>
      </c>
      <c r="X240" s="41">
        <v>46</v>
      </c>
      <c r="AB240" s="41" t="s">
        <v>91</v>
      </c>
      <c r="AG240" s="41" t="s">
        <v>71</v>
      </c>
      <c r="AH240" s="41" t="s">
        <v>71</v>
      </c>
      <c r="AI240" s="41" t="s">
        <v>71</v>
      </c>
      <c r="AJ240" s="41" t="s">
        <v>71</v>
      </c>
      <c r="AK240" s="41" t="s">
        <v>71</v>
      </c>
      <c r="AL240" s="41" t="s">
        <v>71</v>
      </c>
      <c r="AU240" s="41" t="s">
        <v>2346</v>
      </c>
      <c r="AV240" s="41" t="s">
        <v>3579</v>
      </c>
      <c r="BS240" s="41" t="s">
        <v>2058</v>
      </c>
      <c r="BT240" s="41" t="s">
        <v>72</v>
      </c>
      <c r="BW240" s="41" t="s">
        <v>72</v>
      </c>
      <c r="BX240" s="41">
        <f>VLOOKUP(B:B,Brand!B:D,3,0)</f>
        <v>751</v>
      </c>
      <c r="BY240" s="41">
        <f>VLOOKUP(M:M,Unit!B:D,3,0)</f>
        <v>1</v>
      </c>
      <c r="BZ240" s="41">
        <f>VLOOKUP(S:S,Promo!B:D,3,0)</f>
        <v>0</v>
      </c>
    </row>
    <row r="241" spans="1:78" s="41" customFormat="1" ht="15.75" customHeight="1">
      <c r="A241" s="41">
        <v>226141</v>
      </c>
      <c r="B241" s="41" t="s">
        <v>942</v>
      </c>
      <c r="C241" s="65" t="str">
        <f>VLOOKUP(B:B,Brand!B:C,2,0)</f>
        <v>Malkist</v>
      </c>
      <c r="D241" s="63">
        <f>VLOOKUP(E:E,'Product Category'!J:O,6,FALSE)</f>
        <v>151</v>
      </c>
      <c r="E241" s="41" t="s">
        <v>2109</v>
      </c>
      <c r="F241" s="63" t="str">
        <f>VLOOKUP(E:E,'Product Category'!J:K,2,FALSE)</f>
        <v>31-Cookies &amp; Biscuits</v>
      </c>
      <c r="G241" s="63" t="str">
        <f>VLOOKUP(F:F,'Product Category'!K:L,2,FALSE)</f>
        <v>4-Snack &amp; Sweets</v>
      </c>
      <c r="H241" s="41" t="s">
        <v>3726</v>
      </c>
      <c r="I241" s="41" t="s">
        <v>3727</v>
      </c>
      <c r="J241" s="41" t="s">
        <v>4725</v>
      </c>
      <c r="K241" s="41" t="s">
        <v>4726</v>
      </c>
      <c r="L241" s="41">
        <v>18</v>
      </c>
      <c r="M241" s="41" t="s">
        <v>83</v>
      </c>
      <c r="N241" s="41" t="str">
        <f>VLOOKUP(M:M,Unit!B:C,2,0)</f>
        <v>g</v>
      </c>
      <c r="O241" s="41" t="s">
        <v>67</v>
      </c>
      <c r="P241" s="41">
        <v>24</v>
      </c>
      <c r="Q241" s="41" t="s">
        <v>68</v>
      </c>
      <c r="R241" s="41" t="str">
        <f>VLOOKUP(Q:Q,Unit!B:D,2,0)</f>
        <v>pc</v>
      </c>
      <c r="S241" s="41" t="s">
        <v>75</v>
      </c>
      <c r="T241" s="41" t="str">
        <f>VLOOKUP(S:S,Promo!B:D,2,0)</f>
        <v>Promo EN</v>
      </c>
      <c r="W241" s="41">
        <v>39</v>
      </c>
      <c r="X241" s="41">
        <v>35</v>
      </c>
      <c r="AB241" s="41" t="s">
        <v>91</v>
      </c>
      <c r="AG241" s="41" t="s">
        <v>71</v>
      </c>
      <c r="AH241" s="41" t="s">
        <v>71</v>
      </c>
      <c r="AI241" s="41" t="s">
        <v>71</v>
      </c>
      <c r="AJ241" s="41" t="s">
        <v>71</v>
      </c>
      <c r="AK241" s="41" t="s">
        <v>71</v>
      </c>
      <c r="AL241" s="41" t="s">
        <v>71</v>
      </c>
      <c r="BS241" s="41" t="s">
        <v>2058</v>
      </c>
      <c r="BT241" s="41" t="s">
        <v>72</v>
      </c>
      <c r="BW241" s="41" t="s">
        <v>72</v>
      </c>
      <c r="BX241" s="41">
        <f>VLOOKUP(B:B,Brand!B:D,3,0)</f>
        <v>488</v>
      </c>
      <c r="BY241" s="41">
        <f>VLOOKUP(M:M,Unit!B:D,3,0)</f>
        <v>1</v>
      </c>
      <c r="BZ241" s="41">
        <f>VLOOKUP(S:S,Promo!B:D,3,0)</f>
        <v>0</v>
      </c>
    </row>
    <row r="242" spans="1:78" s="41" customFormat="1" ht="15.75" customHeight="1">
      <c r="A242" s="41">
        <v>217972</v>
      </c>
      <c r="B242" s="41" t="s">
        <v>2050</v>
      </c>
      <c r="C242" s="65" t="str">
        <f>VLOOKUP(B:B,Brand!B:C,2,0)</f>
        <v>Glico</v>
      </c>
      <c r="D242" s="63">
        <f>VLOOKUP(E:E,'Product Category'!J:O,6,FALSE)</f>
        <v>153</v>
      </c>
      <c r="E242" s="41" t="s">
        <v>2143</v>
      </c>
      <c r="F242" s="63" t="str">
        <f>VLOOKUP(E:E,'Product Category'!J:K,2,FALSE)</f>
        <v>31-Cookies &amp; Biscuits</v>
      </c>
      <c r="G242" s="63" t="str">
        <f>VLOOKUP(F:F,'Product Category'!K:L,2,FALSE)</f>
        <v>4-Snack &amp; Sweets</v>
      </c>
      <c r="H242" s="41" t="s">
        <v>3419</v>
      </c>
      <c r="I242" s="41" t="s">
        <v>3420</v>
      </c>
      <c r="J242" s="41" t="s">
        <v>4523</v>
      </c>
      <c r="K242" s="41" t="s">
        <v>4524</v>
      </c>
      <c r="L242" s="41">
        <v>13.5</v>
      </c>
      <c r="M242" s="41" t="s">
        <v>83</v>
      </c>
      <c r="N242" s="41" t="str">
        <f>VLOOKUP(M:M,Unit!B:C,2,0)</f>
        <v>g</v>
      </c>
      <c r="O242" s="41" t="s">
        <v>67</v>
      </c>
      <c r="P242" s="41">
        <v>12</v>
      </c>
      <c r="Q242" s="41" t="s">
        <v>68</v>
      </c>
      <c r="R242" s="41" t="str">
        <f>VLOOKUP(Q:Q,Unit!B:D,2,0)</f>
        <v>pc</v>
      </c>
      <c r="S242" s="41" t="s">
        <v>75</v>
      </c>
      <c r="T242" s="41" t="str">
        <f>VLOOKUP(S:S,Promo!B:D,2,0)</f>
        <v>Promo EN</v>
      </c>
      <c r="W242" s="41">
        <v>50</v>
      </c>
      <c r="X242" s="41">
        <v>48</v>
      </c>
      <c r="AB242" s="41" t="s">
        <v>91</v>
      </c>
      <c r="AF242" s="41" t="s">
        <v>3373</v>
      </c>
      <c r="AG242" s="41" t="s">
        <v>71</v>
      </c>
      <c r="AH242" s="41" t="s">
        <v>71</v>
      </c>
      <c r="AI242" s="41" t="s">
        <v>71</v>
      </c>
      <c r="AJ242" s="41" t="s">
        <v>71</v>
      </c>
      <c r="AK242" s="41" t="s">
        <v>71</v>
      </c>
      <c r="AL242" s="41" t="s">
        <v>71</v>
      </c>
      <c r="AP242" s="41" t="s">
        <v>3421</v>
      </c>
      <c r="AU242" s="41" t="s">
        <v>129</v>
      </c>
      <c r="AV242" s="41" t="s">
        <v>2168</v>
      </c>
      <c r="BS242" s="41" t="s">
        <v>2058</v>
      </c>
      <c r="BT242" s="41" t="s">
        <v>72</v>
      </c>
      <c r="BW242" s="41" t="s">
        <v>72</v>
      </c>
      <c r="BX242" s="41">
        <f>VLOOKUP(B:B,Brand!B:D,3,0)</f>
        <v>961</v>
      </c>
      <c r="BY242" s="41">
        <f>VLOOKUP(M:M,Unit!B:D,3,0)</f>
        <v>1</v>
      </c>
      <c r="BZ242" s="41">
        <f>VLOOKUP(S:S,Promo!B:D,3,0)</f>
        <v>0</v>
      </c>
    </row>
    <row r="243" spans="1:78" s="41" customFormat="1" ht="15.75" customHeight="1">
      <c r="A243" s="41">
        <v>805327</v>
      </c>
      <c r="B243" s="41" t="s">
        <v>2050</v>
      </c>
      <c r="C243" s="65" t="str">
        <f>VLOOKUP(B:B,Brand!B:C,2,0)</f>
        <v>Glico</v>
      </c>
      <c r="D243" s="63">
        <f>VLOOKUP(E:E,'Product Category'!J:O,6,FALSE)</f>
        <v>153</v>
      </c>
      <c r="E243" s="41" t="s">
        <v>2143</v>
      </c>
      <c r="F243" s="63" t="str">
        <f>VLOOKUP(E:E,'Product Category'!J:K,2,FALSE)</f>
        <v>31-Cookies &amp; Biscuits</v>
      </c>
      <c r="G243" s="63" t="str">
        <f>VLOOKUP(F:F,'Product Category'!K:L,2,FALSE)</f>
        <v>4-Snack &amp; Sweets</v>
      </c>
      <c r="H243" s="41" t="s">
        <v>3709</v>
      </c>
      <c r="I243" s="41" t="s">
        <v>3710</v>
      </c>
      <c r="J243" s="41" t="s">
        <v>4717</v>
      </c>
      <c r="K243" s="41" t="s">
        <v>4718</v>
      </c>
      <c r="L243" s="41">
        <v>15</v>
      </c>
      <c r="M243" s="41" t="s">
        <v>83</v>
      </c>
      <c r="N243" s="41" t="str">
        <f>VLOOKUP(M:M,Unit!B:C,2,0)</f>
        <v>g</v>
      </c>
      <c r="O243" s="41" t="s">
        <v>67</v>
      </c>
      <c r="P243" s="41">
        <v>12</v>
      </c>
      <c r="Q243" s="41" t="s">
        <v>68</v>
      </c>
      <c r="R243" s="41" t="str">
        <f>VLOOKUP(Q:Q,Unit!B:D,2,0)</f>
        <v>pc</v>
      </c>
      <c r="S243" s="41" t="s">
        <v>75</v>
      </c>
      <c r="T243" s="41" t="str">
        <f>VLOOKUP(S:S,Promo!B:D,2,0)</f>
        <v>Promo EN</v>
      </c>
      <c r="W243" s="41">
        <v>51</v>
      </c>
      <c r="X243" s="41">
        <v>48</v>
      </c>
      <c r="Z243" s="41" t="s">
        <v>3711</v>
      </c>
      <c r="AA243" s="41">
        <v>42983</v>
      </c>
      <c r="AB243" s="41" t="s">
        <v>91</v>
      </c>
      <c r="AF243" s="41" t="s">
        <v>3373</v>
      </c>
      <c r="AG243" s="41" t="s">
        <v>71</v>
      </c>
      <c r="AH243" s="41" t="s">
        <v>71</v>
      </c>
      <c r="AI243" s="41" t="s">
        <v>71</v>
      </c>
      <c r="AJ243" s="41" t="s">
        <v>71</v>
      </c>
      <c r="AK243" s="41" t="s">
        <v>71</v>
      </c>
      <c r="AL243" s="41" t="s">
        <v>71</v>
      </c>
      <c r="AP243" s="41" t="s">
        <v>3712</v>
      </c>
      <c r="AU243" s="41" t="s">
        <v>129</v>
      </c>
      <c r="AV243" s="41" t="s">
        <v>3713</v>
      </c>
      <c r="BS243" s="41" t="s">
        <v>2058</v>
      </c>
      <c r="BT243" s="41" t="s">
        <v>72</v>
      </c>
      <c r="BW243" s="41" t="s">
        <v>72</v>
      </c>
      <c r="BX243" s="41">
        <f>VLOOKUP(B:B,Brand!B:D,3,0)</f>
        <v>961</v>
      </c>
      <c r="BY243" s="41">
        <f>VLOOKUP(M:M,Unit!B:D,3,0)</f>
        <v>1</v>
      </c>
      <c r="BZ243" s="41">
        <f>VLOOKUP(S:S,Promo!B:D,3,0)</f>
        <v>0</v>
      </c>
    </row>
    <row r="244" spans="1:78" s="41" customFormat="1" ht="15.75" customHeight="1">
      <c r="A244" s="41">
        <v>819203</v>
      </c>
      <c r="B244" s="40" t="s">
        <v>365</v>
      </c>
      <c r="C244" s="65" t="str">
        <f>VLOOKUP(B:B,Brand!B:C,2,0)</f>
        <v>Koala's March</v>
      </c>
      <c r="D244" s="63">
        <f>VLOOKUP(E:E,'Product Category'!J:O,6,FALSE)</f>
        <v>153</v>
      </c>
      <c r="E244" s="41" t="s">
        <v>2143</v>
      </c>
      <c r="F244" s="63" t="str">
        <f>VLOOKUP(E:E,'Product Category'!J:K,2,FALSE)</f>
        <v>31-Cookies &amp; Biscuits</v>
      </c>
      <c r="G244" s="63" t="str">
        <f>VLOOKUP(F:F,'Product Category'!K:L,2,FALSE)</f>
        <v>4-Snack &amp; Sweets</v>
      </c>
      <c r="H244" s="41" t="s">
        <v>3782</v>
      </c>
      <c r="I244" s="41" t="s">
        <v>3783</v>
      </c>
      <c r="J244" s="41" t="s">
        <v>4775</v>
      </c>
      <c r="K244" s="41" t="s">
        <v>4776</v>
      </c>
      <c r="L244" s="41">
        <v>33</v>
      </c>
      <c r="M244" s="41" t="s">
        <v>83</v>
      </c>
      <c r="N244" s="41" t="str">
        <f>VLOOKUP(M:M,Unit!B:C,2,0)</f>
        <v>g</v>
      </c>
      <c r="O244" s="41" t="s">
        <v>67</v>
      </c>
      <c r="P244" s="41">
        <v>6</v>
      </c>
      <c r="Q244" s="41" t="s">
        <v>68</v>
      </c>
      <c r="R244" s="41" t="str">
        <f>VLOOKUP(Q:Q,Unit!B:D,2,0)</f>
        <v>pc</v>
      </c>
      <c r="S244" s="41" t="s">
        <v>75</v>
      </c>
      <c r="T244" s="41" t="str">
        <f>VLOOKUP(S:S,Promo!B:D,2,0)</f>
        <v>Promo EN</v>
      </c>
      <c r="W244" s="41">
        <v>102</v>
      </c>
      <c r="X244" s="41">
        <v>89</v>
      </c>
      <c r="AB244" s="41" t="s">
        <v>91</v>
      </c>
      <c r="AG244" s="41" t="s">
        <v>71</v>
      </c>
      <c r="AH244" s="41" t="s">
        <v>71</v>
      </c>
      <c r="AI244" s="41" t="s">
        <v>71</v>
      </c>
      <c r="AJ244" s="41" t="s">
        <v>71</v>
      </c>
      <c r="AK244" s="41" t="s">
        <v>71</v>
      </c>
      <c r="AL244" s="41" t="s">
        <v>71</v>
      </c>
      <c r="BS244" s="41" t="s">
        <v>2058</v>
      </c>
      <c r="BT244" s="41" t="s">
        <v>72</v>
      </c>
      <c r="BW244" s="41" t="s">
        <v>72</v>
      </c>
      <c r="BX244" s="41">
        <f>VLOOKUP(B:B,Brand!B:D,3,0)</f>
        <v>102</v>
      </c>
      <c r="BY244" s="41">
        <f>VLOOKUP(M:M,Unit!B:D,3,0)</f>
        <v>1</v>
      </c>
      <c r="BZ244" s="41">
        <f>VLOOKUP(S:S,Promo!B:D,3,0)</f>
        <v>0</v>
      </c>
    </row>
    <row r="245" spans="1:78" s="41" customFormat="1" ht="15.75" customHeight="1">
      <c r="A245" s="41">
        <v>818789</v>
      </c>
      <c r="B245" s="41" t="s">
        <v>2050</v>
      </c>
      <c r="C245" s="65" t="str">
        <f>VLOOKUP(B:B,Brand!B:C,2,0)</f>
        <v>Glico</v>
      </c>
      <c r="D245" s="63">
        <f>VLOOKUP(E:E,'Product Category'!J:O,6,FALSE)</f>
        <v>153</v>
      </c>
      <c r="E245" s="41" t="s">
        <v>2143</v>
      </c>
      <c r="F245" s="63" t="str">
        <f>VLOOKUP(E:E,'Product Category'!J:K,2,FALSE)</f>
        <v>31-Cookies &amp; Biscuits</v>
      </c>
      <c r="G245" s="63" t="str">
        <f>VLOOKUP(F:F,'Product Category'!K:L,2,FALSE)</f>
        <v>4-Snack &amp; Sweets</v>
      </c>
      <c r="H245" s="41" t="s">
        <v>3790</v>
      </c>
      <c r="I245" s="41" t="s">
        <v>3791</v>
      </c>
      <c r="J245" s="41" t="s">
        <v>4777</v>
      </c>
      <c r="K245" s="41" t="s">
        <v>4778</v>
      </c>
      <c r="L245" s="41">
        <v>37</v>
      </c>
      <c r="M245" s="41" t="s">
        <v>83</v>
      </c>
      <c r="N245" s="41" t="str">
        <f>VLOOKUP(M:M,Unit!B:C,2,0)</f>
        <v>g</v>
      </c>
      <c r="O245" s="41" t="s">
        <v>67</v>
      </c>
      <c r="P245" s="41">
        <v>10</v>
      </c>
      <c r="Q245" s="41" t="s">
        <v>68</v>
      </c>
      <c r="R245" s="41" t="str">
        <f>VLOOKUP(Q:Q,Unit!B:D,2,0)</f>
        <v>pc</v>
      </c>
      <c r="S245" s="41" t="s">
        <v>75</v>
      </c>
      <c r="T245" s="41" t="str">
        <f>VLOOKUP(S:S,Promo!B:D,2,0)</f>
        <v>Promo EN</v>
      </c>
      <c r="W245" s="41">
        <v>112</v>
      </c>
      <c r="X245" s="41">
        <v>99</v>
      </c>
      <c r="AB245" s="41" t="s">
        <v>91</v>
      </c>
      <c r="AG245" s="41" t="s">
        <v>71</v>
      </c>
      <c r="AH245" s="41" t="s">
        <v>71</v>
      </c>
      <c r="AI245" s="41" t="s">
        <v>71</v>
      </c>
      <c r="AJ245" s="41" t="s">
        <v>71</v>
      </c>
      <c r="AK245" s="41" t="s">
        <v>71</v>
      </c>
      <c r="AL245" s="41" t="s">
        <v>71</v>
      </c>
      <c r="AU245" s="41" t="s">
        <v>2303</v>
      </c>
      <c r="AV245" s="41" t="s">
        <v>3595</v>
      </c>
      <c r="BS245" s="41" t="s">
        <v>2058</v>
      </c>
      <c r="BT245" s="41" t="s">
        <v>72</v>
      </c>
      <c r="BW245" s="41" t="s">
        <v>72</v>
      </c>
      <c r="BX245" s="41">
        <f>VLOOKUP(B:B,Brand!B:D,3,0)</f>
        <v>961</v>
      </c>
      <c r="BY245" s="41">
        <f>VLOOKUP(M:M,Unit!B:D,3,0)</f>
        <v>1</v>
      </c>
      <c r="BZ245" s="41">
        <f>VLOOKUP(S:S,Promo!B:D,3,0)</f>
        <v>0</v>
      </c>
    </row>
    <row r="246" spans="1:78" s="41" customFormat="1" ht="15.75" customHeight="1">
      <c r="A246" s="41">
        <v>207826</v>
      </c>
      <c r="B246" s="41" t="s">
        <v>3900</v>
      </c>
      <c r="C246" s="65" t="str">
        <f>VLOOKUP(B:B,Brand!B:C,2,0)</f>
        <v>Paper Plus</v>
      </c>
      <c r="D246" s="63">
        <f>VLOOKUP(E:E,'Product Category'!J:O,6,FALSE)</f>
        <v>154</v>
      </c>
      <c r="E246" s="41" t="s">
        <v>2128</v>
      </c>
      <c r="F246" s="63" t="str">
        <f>VLOOKUP(E:E,'Product Category'!J:K,2,FALSE)</f>
        <v>32-Paper &amp; Folder</v>
      </c>
      <c r="G246" s="63" t="str">
        <f>VLOOKUP(F:F,'Product Category'!K:L,2,FALSE)</f>
        <v>5-Office equipment &amp; Stationaries</v>
      </c>
      <c r="H246" s="41" t="s">
        <v>3902</v>
      </c>
      <c r="I246" s="41" t="s">
        <v>3903</v>
      </c>
      <c r="J246" s="41" t="s">
        <v>4817</v>
      </c>
      <c r="K246" s="41" t="s">
        <v>4818</v>
      </c>
      <c r="L246" s="41">
        <v>500</v>
      </c>
      <c r="M246" s="41" t="s">
        <v>172</v>
      </c>
      <c r="N246" s="41" t="str">
        <f>VLOOKUP(M:M,Unit!B:C,2,0)</f>
        <v>sheet</v>
      </c>
      <c r="O246" s="41" t="s">
        <v>67</v>
      </c>
      <c r="P246" s="41">
        <v>5</v>
      </c>
      <c r="Q246" s="41" t="s">
        <v>1804</v>
      </c>
      <c r="R246" s="41" t="str">
        <f>VLOOKUP(Q:Q,Unit!B:D,2,0)</f>
        <v>pc</v>
      </c>
      <c r="S246" s="41" t="s">
        <v>75</v>
      </c>
      <c r="T246" s="41" t="str">
        <f>VLOOKUP(S:S,Promo!B:D,2,0)</f>
        <v>Promo EN</v>
      </c>
      <c r="W246" s="41">
        <v>415</v>
      </c>
      <c r="X246" s="41">
        <v>370</v>
      </c>
      <c r="AB246" s="41" t="s">
        <v>91</v>
      </c>
      <c r="AG246" s="41" t="s">
        <v>71</v>
      </c>
      <c r="AH246" s="41" t="s">
        <v>71</v>
      </c>
      <c r="AI246" s="41" t="s">
        <v>71</v>
      </c>
      <c r="AJ246" s="41" t="s">
        <v>71</v>
      </c>
      <c r="AK246" s="41" t="s">
        <v>71</v>
      </c>
      <c r="AL246" s="41" t="s">
        <v>71</v>
      </c>
      <c r="AS246" s="41" t="s">
        <v>3905</v>
      </c>
      <c r="AT246" s="41" t="s">
        <v>3906</v>
      </c>
      <c r="BS246" s="41" t="s">
        <v>2058</v>
      </c>
      <c r="BT246" s="41" t="s">
        <v>72</v>
      </c>
      <c r="BW246" s="41" t="s">
        <v>72</v>
      </c>
      <c r="BX246" s="41">
        <f>VLOOKUP(B:B,Brand!B:D,3,0)</f>
        <v>1421</v>
      </c>
      <c r="BY246" s="41">
        <f>VLOOKUP(M:M,Unit!B:D,3,0)</f>
        <v>17</v>
      </c>
      <c r="BZ246" s="41">
        <f>VLOOKUP(S:S,Promo!B:D,3,0)</f>
        <v>0</v>
      </c>
    </row>
    <row r="247" spans="1:78" s="41" customFormat="1" ht="15.75" customHeight="1">
      <c r="A247" s="41">
        <v>444092</v>
      </c>
      <c r="B247" s="41" t="s">
        <v>1925</v>
      </c>
      <c r="C247" s="65" t="str">
        <f>VLOOKUP(B:B,Brand!B:C,2,0)</f>
        <v>Paper Max</v>
      </c>
      <c r="D247" s="63">
        <f>VLOOKUP(E:E,'Product Category'!J:O,6,FALSE)</f>
        <v>154</v>
      </c>
      <c r="E247" s="41" t="s">
        <v>2128</v>
      </c>
      <c r="F247" s="63" t="str">
        <f>VLOOKUP(E:E,'Product Category'!J:K,2,FALSE)</f>
        <v>32-Paper &amp; Folder</v>
      </c>
      <c r="G247" s="63" t="str">
        <f>VLOOKUP(F:F,'Product Category'!K:L,2,FALSE)</f>
        <v>5-Office equipment &amp; Stationaries</v>
      </c>
      <c r="H247" s="41" t="s">
        <v>3909</v>
      </c>
      <c r="I247" s="41" t="s">
        <v>3910</v>
      </c>
      <c r="J247" s="41" t="s">
        <v>4821</v>
      </c>
      <c r="K247" s="41" t="s">
        <v>4822</v>
      </c>
      <c r="L247" s="41">
        <v>450</v>
      </c>
      <c r="M247" s="41" t="s">
        <v>172</v>
      </c>
      <c r="N247" s="41" t="str">
        <f>VLOOKUP(M:M,Unit!B:C,2,0)</f>
        <v>sheet</v>
      </c>
      <c r="O247" s="41" t="s">
        <v>67</v>
      </c>
      <c r="P247" s="41">
        <v>1</v>
      </c>
      <c r="Q247" s="41" t="s">
        <v>1804</v>
      </c>
      <c r="R247" s="41" t="str">
        <f>VLOOKUP(Q:Q,Unit!B:D,2,0)</f>
        <v>pc</v>
      </c>
      <c r="S247" s="41" t="s">
        <v>75</v>
      </c>
      <c r="T247" s="41" t="str">
        <f>VLOOKUP(S:S,Promo!B:D,2,0)</f>
        <v>Promo EN</v>
      </c>
      <c r="W247" s="41">
        <v>78</v>
      </c>
      <c r="X247" s="41">
        <v>76</v>
      </c>
      <c r="AB247" s="41" t="s">
        <v>91</v>
      </c>
      <c r="AG247" s="41" t="s">
        <v>71</v>
      </c>
      <c r="AH247" s="41" t="s">
        <v>71</v>
      </c>
      <c r="AI247" s="41" t="s">
        <v>71</v>
      </c>
      <c r="AJ247" s="41" t="s">
        <v>71</v>
      </c>
      <c r="AK247" s="41" t="s">
        <v>71</v>
      </c>
      <c r="AL247" s="41" t="s">
        <v>71</v>
      </c>
      <c r="AS247" s="41" t="s">
        <v>3905</v>
      </c>
      <c r="AT247" s="41" t="s">
        <v>3906</v>
      </c>
      <c r="BS247" s="41" t="s">
        <v>2058</v>
      </c>
      <c r="BT247" s="41" t="s">
        <v>72</v>
      </c>
      <c r="BW247" s="41" t="s">
        <v>72</v>
      </c>
      <c r="BX247" s="41">
        <f>VLOOKUP(B:B,Brand!B:D,3,0)</f>
        <v>916</v>
      </c>
      <c r="BY247" s="41">
        <f>VLOOKUP(M:M,Unit!B:D,3,0)</f>
        <v>17</v>
      </c>
      <c r="BZ247" s="41">
        <f>VLOOKUP(S:S,Promo!B:D,3,0)</f>
        <v>0</v>
      </c>
    </row>
    <row r="248" spans="1:78" s="41" customFormat="1" ht="15.75" customHeight="1">
      <c r="A248" s="41">
        <v>810335</v>
      </c>
      <c r="B248" s="41" t="s">
        <v>287</v>
      </c>
      <c r="C248" s="65" t="str">
        <f>VLOOKUP(B:B,Brand!B:C,2,0)</f>
        <v>Quality</v>
      </c>
      <c r="D248" s="63">
        <f>VLOOKUP(E:E,'Product Category'!J:O,6,FALSE)</f>
        <v>154</v>
      </c>
      <c r="E248" s="41" t="s">
        <v>2128</v>
      </c>
      <c r="F248" s="63" t="str">
        <f>VLOOKUP(E:E,'Product Category'!J:K,2,FALSE)</f>
        <v>32-Paper &amp; Folder</v>
      </c>
      <c r="G248" s="63" t="str">
        <f>VLOOKUP(F:F,'Product Category'!K:L,2,FALSE)</f>
        <v>5-Office equipment &amp; Stationaries</v>
      </c>
      <c r="H248" s="41" t="s">
        <v>3911</v>
      </c>
      <c r="I248" s="41" t="s">
        <v>3912</v>
      </c>
      <c r="J248" s="41" t="s">
        <v>4823</v>
      </c>
      <c r="K248" s="41" t="s">
        <v>4824</v>
      </c>
      <c r="L248" s="41">
        <v>500</v>
      </c>
      <c r="M248" s="41" t="s">
        <v>172</v>
      </c>
      <c r="N248" s="41" t="str">
        <f>VLOOKUP(M:M,Unit!B:C,2,0)</f>
        <v>sheet</v>
      </c>
      <c r="O248" s="41" t="s">
        <v>67</v>
      </c>
      <c r="P248" s="41">
        <v>5</v>
      </c>
      <c r="Q248" s="41" t="s">
        <v>1804</v>
      </c>
      <c r="R248" s="41" t="str">
        <f>VLOOKUP(Q:Q,Unit!B:D,2,0)</f>
        <v>pc</v>
      </c>
      <c r="S248" s="41" t="s">
        <v>75</v>
      </c>
      <c r="T248" s="41" t="str">
        <f>VLOOKUP(S:S,Promo!B:D,2,0)</f>
        <v>Promo EN</v>
      </c>
      <c r="W248" s="41">
        <v>460</v>
      </c>
      <c r="X248" s="41">
        <v>395</v>
      </c>
      <c r="AB248" s="41" t="s">
        <v>91</v>
      </c>
      <c r="AG248" s="41" t="s">
        <v>71</v>
      </c>
      <c r="AH248" s="41" t="s">
        <v>71</v>
      </c>
      <c r="AI248" s="41" t="s">
        <v>71</v>
      </c>
      <c r="AJ248" s="41" t="s">
        <v>71</v>
      </c>
      <c r="AK248" s="41" t="s">
        <v>71</v>
      </c>
      <c r="AL248" s="41" t="s">
        <v>71</v>
      </c>
      <c r="AS248" s="41" t="s">
        <v>3905</v>
      </c>
      <c r="AT248" s="41" t="s">
        <v>3906</v>
      </c>
      <c r="BS248" s="41" t="s">
        <v>2058</v>
      </c>
      <c r="BT248" s="41" t="s">
        <v>72</v>
      </c>
      <c r="BW248" s="41" t="s">
        <v>72</v>
      </c>
      <c r="BX248" s="41">
        <f>VLOOKUP(B:B,Brand!B:D,3,0)</f>
        <v>53</v>
      </c>
      <c r="BY248" s="41">
        <f>VLOOKUP(M:M,Unit!B:D,3,0)</f>
        <v>17</v>
      </c>
      <c r="BZ248" s="41">
        <f>VLOOKUP(S:S,Promo!B:D,3,0)</f>
        <v>0</v>
      </c>
    </row>
    <row r="249" spans="1:78" s="41" customFormat="1" ht="15.75" customHeight="1">
      <c r="A249" s="41">
        <v>810336</v>
      </c>
      <c r="B249" s="41" t="s">
        <v>287</v>
      </c>
      <c r="C249" s="65" t="str">
        <f>VLOOKUP(B:B,Brand!B:C,2,0)</f>
        <v>Quality</v>
      </c>
      <c r="D249" s="63">
        <f>VLOOKUP(E:E,'Product Category'!J:O,6,FALSE)</f>
        <v>154</v>
      </c>
      <c r="E249" s="41" t="s">
        <v>2128</v>
      </c>
      <c r="F249" s="63" t="str">
        <f>VLOOKUP(E:E,'Product Category'!J:K,2,FALSE)</f>
        <v>32-Paper &amp; Folder</v>
      </c>
      <c r="G249" s="63" t="str">
        <f>VLOOKUP(F:F,'Product Category'!K:L,2,FALSE)</f>
        <v>5-Office equipment &amp; Stationaries</v>
      </c>
      <c r="H249" s="41" t="s">
        <v>3913</v>
      </c>
      <c r="I249" s="41" t="s">
        <v>3914</v>
      </c>
      <c r="J249" s="41" t="s">
        <v>4825</v>
      </c>
      <c r="K249" s="41" t="s">
        <v>4826</v>
      </c>
      <c r="L249" s="41">
        <v>500</v>
      </c>
      <c r="M249" s="41" t="s">
        <v>172</v>
      </c>
      <c r="N249" s="41" t="str">
        <f>VLOOKUP(M:M,Unit!B:C,2,0)</f>
        <v>sheet</v>
      </c>
      <c r="O249" s="41" t="s">
        <v>67</v>
      </c>
      <c r="P249" s="41">
        <v>5</v>
      </c>
      <c r="Q249" s="41" t="s">
        <v>1804</v>
      </c>
      <c r="R249" s="41" t="str">
        <f>VLOOKUP(Q:Q,Unit!B:D,2,0)</f>
        <v>pc</v>
      </c>
      <c r="S249" s="41" t="s">
        <v>75</v>
      </c>
      <c r="T249" s="41" t="str">
        <f>VLOOKUP(S:S,Promo!B:D,2,0)</f>
        <v>Promo EN</v>
      </c>
      <c r="W249" s="41">
        <v>510</v>
      </c>
      <c r="X249" s="41">
        <v>450</v>
      </c>
      <c r="AB249" s="41" t="s">
        <v>91</v>
      </c>
      <c r="AG249" s="41" t="s">
        <v>71</v>
      </c>
      <c r="AH249" s="41" t="s">
        <v>71</v>
      </c>
      <c r="AI249" s="41" t="s">
        <v>71</v>
      </c>
      <c r="AJ249" s="41" t="s">
        <v>71</v>
      </c>
      <c r="AK249" s="41" t="s">
        <v>71</v>
      </c>
      <c r="AL249" s="41" t="s">
        <v>71</v>
      </c>
      <c r="AS249" s="41" t="s">
        <v>2364</v>
      </c>
      <c r="AT249" s="41" t="s">
        <v>2365</v>
      </c>
      <c r="BS249" s="41" t="s">
        <v>2058</v>
      </c>
      <c r="BT249" s="41" t="s">
        <v>72</v>
      </c>
      <c r="BW249" s="41" t="s">
        <v>72</v>
      </c>
      <c r="BX249" s="41">
        <f>VLOOKUP(B:B,Brand!B:D,3,0)</f>
        <v>53</v>
      </c>
      <c r="BY249" s="41">
        <f>VLOOKUP(M:M,Unit!B:D,3,0)</f>
        <v>17</v>
      </c>
      <c r="BZ249" s="41">
        <f>VLOOKUP(S:S,Promo!B:D,3,0)</f>
        <v>0</v>
      </c>
    </row>
    <row r="250" spans="1:78" s="41" customFormat="1" ht="15.75" customHeight="1">
      <c r="A250" s="41">
        <v>228851</v>
      </c>
      <c r="B250" s="41" t="s">
        <v>534</v>
      </c>
      <c r="C250" s="65" t="str">
        <f>VLOOKUP(B:B,Brand!B:C,2,0)</f>
        <v>Double A</v>
      </c>
      <c r="D250" s="63">
        <f>VLOOKUP(E:E,'Product Category'!J:O,6,FALSE)</f>
        <v>154</v>
      </c>
      <c r="E250" s="41" t="s">
        <v>2128</v>
      </c>
      <c r="F250" s="63" t="str">
        <f>VLOOKUP(E:E,'Product Category'!J:K,2,FALSE)</f>
        <v>32-Paper &amp; Folder</v>
      </c>
      <c r="G250" s="63" t="str">
        <f>VLOOKUP(F:F,'Product Category'!K:L,2,FALSE)</f>
        <v>5-Office equipment &amp; Stationaries</v>
      </c>
      <c r="H250" s="41" t="s">
        <v>3990</v>
      </c>
      <c r="I250" s="41" t="s">
        <v>3991</v>
      </c>
      <c r="J250" s="41" t="s">
        <v>4879</v>
      </c>
      <c r="K250" s="41" t="s">
        <v>4880</v>
      </c>
      <c r="L250" s="41">
        <v>500</v>
      </c>
      <c r="M250" s="41" t="s">
        <v>172</v>
      </c>
      <c r="N250" s="41" t="str">
        <f>VLOOKUP(M:M,Unit!B:C,2,0)</f>
        <v>sheet</v>
      </c>
      <c r="O250" s="41" t="s">
        <v>67</v>
      </c>
      <c r="P250" s="41">
        <v>5</v>
      </c>
      <c r="Q250" s="41" t="s">
        <v>1804</v>
      </c>
      <c r="R250" s="41" t="str">
        <f>VLOOKUP(Q:Q,Unit!B:D,2,0)</f>
        <v>pc</v>
      </c>
      <c r="S250" s="41" t="s">
        <v>75</v>
      </c>
      <c r="T250" s="41" t="str">
        <f>VLOOKUP(S:S,Promo!B:D,2,0)</f>
        <v>Promo EN</v>
      </c>
      <c r="W250" s="41">
        <v>540</v>
      </c>
      <c r="X250" s="41">
        <v>525</v>
      </c>
      <c r="AB250" s="41" t="s">
        <v>91</v>
      </c>
      <c r="AG250" s="41" t="s">
        <v>71</v>
      </c>
      <c r="AH250" s="41" t="s">
        <v>71</v>
      </c>
      <c r="AI250" s="41" t="s">
        <v>71</v>
      </c>
      <c r="AJ250" s="41" t="s">
        <v>71</v>
      </c>
      <c r="AK250" s="41" t="s">
        <v>3950</v>
      </c>
      <c r="AL250" s="41" t="s">
        <v>71</v>
      </c>
      <c r="AS250" s="41" t="s">
        <v>2364</v>
      </c>
      <c r="AT250" s="41" t="s">
        <v>2365</v>
      </c>
      <c r="BS250" s="41" t="s">
        <v>2058</v>
      </c>
      <c r="BT250" s="41" t="s">
        <v>72</v>
      </c>
      <c r="BW250" s="41" t="s">
        <v>72</v>
      </c>
      <c r="BX250" s="41">
        <f>VLOOKUP(B:B,Brand!B:D,3,0)</f>
        <v>214</v>
      </c>
      <c r="BY250" s="41">
        <f>VLOOKUP(M:M,Unit!B:D,3,0)</f>
        <v>17</v>
      </c>
      <c r="BZ250" s="41">
        <f>VLOOKUP(S:S,Promo!B:D,3,0)</f>
        <v>0</v>
      </c>
    </row>
    <row r="251" spans="1:78" s="41" customFormat="1" ht="15.75" customHeight="1">
      <c r="A251" s="41">
        <v>891891</v>
      </c>
      <c r="B251" s="41" t="s">
        <v>583</v>
      </c>
      <c r="C251" s="65" t="str">
        <f>VLOOKUP(B:B,Brand!B:C,2,0)</f>
        <v>Elephant Brand</v>
      </c>
      <c r="D251" s="63">
        <f>VLOOKUP(E:E,'Product Category'!J:O,6,FALSE)</f>
        <v>155</v>
      </c>
      <c r="E251" s="41" t="s">
        <v>2085</v>
      </c>
      <c r="F251" s="63" t="str">
        <f>VLOOKUP(E:E,'Product Category'!J:K,2,FALSE)</f>
        <v>32-Paper &amp; Folder</v>
      </c>
      <c r="G251" s="63" t="str">
        <f>VLOOKUP(F:F,'Product Category'!K:L,2,FALSE)</f>
        <v>5-Office equipment &amp; Stationaries</v>
      </c>
      <c r="H251" s="41" t="s">
        <v>3871</v>
      </c>
      <c r="I251" s="41" t="s">
        <v>3872</v>
      </c>
      <c r="J251" s="41" t="s">
        <v>4807</v>
      </c>
      <c r="K251" s="41" t="s">
        <v>4808</v>
      </c>
      <c r="L251" s="41">
        <v>6</v>
      </c>
      <c r="M251" s="41" t="s">
        <v>1806</v>
      </c>
      <c r="N251" s="41" t="str">
        <f>VLOOKUP(M:M,Unit!B:C,2,0)</f>
        <v>pc</v>
      </c>
      <c r="O251" s="41" t="s">
        <v>67</v>
      </c>
      <c r="P251" s="41">
        <v>1</v>
      </c>
      <c r="Q251" s="41" t="s">
        <v>179</v>
      </c>
      <c r="R251" s="41" t="str">
        <f>VLOOKUP(Q:Q,Unit!B:D,2,0)</f>
        <v>pack</v>
      </c>
      <c r="S251" s="41" t="s">
        <v>75</v>
      </c>
      <c r="T251" s="41" t="str">
        <f>VLOOKUP(S:S,Promo!B:D,2,0)</f>
        <v>Promo EN</v>
      </c>
      <c r="W251" s="41">
        <v>319</v>
      </c>
      <c r="X251" s="41">
        <v>269</v>
      </c>
      <c r="AB251" s="41" t="s">
        <v>91</v>
      </c>
      <c r="AG251" s="41" t="s">
        <v>71</v>
      </c>
      <c r="AH251" s="41" t="s">
        <v>71</v>
      </c>
      <c r="AI251" s="41" t="s">
        <v>71</v>
      </c>
      <c r="AJ251" s="41" t="s">
        <v>71</v>
      </c>
      <c r="AK251" s="41" t="s">
        <v>71</v>
      </c>
      <c r="AL251" s="41" t="s">
        <v>71</v>
      </c>
      <c r="BS251" s="41" t="s">
        <v>2058</v>
      </c>
      <c r="BT251" s="41" t="s">
        <v>72</v>
      </c>
      <c r="BW251" s="41" t="s">
        <v>72</v>
      </c>
      <c r="BX251" s="41">
        <f>VLOOKUP(B:B,Brand!B:D,3,0)</f>
        <v>248</v>
      </c>
      <c r="BY251" s="41">
        <f>VLOOKUP(M:M,Unit!B:D,3,0)</f>
        <v>27</v>
      </c>
      <c r="BZ251" s="41">
        <f>VLOOKUP(S:S,Promo!B:D,3,0)</f>
        <v>0</v>
      </c>
    </row>
    <row r="252" spans="1:78" s="41" customFormat="1" ht="15.75" customHeight="1">
      <c r="A252" s="41">
        <v>152101</v>
      </c>
      <c r="B252" s="41" t="s">
        <v>583</v>
      </c>
      <c r="C252" s="65" t="str">
        <f>VLOOKUP(B:B,Brand!B:C,2,0)</f>
        <v>Elephant Brand</v>
      </c>
      <c r="D252" s="63">
        <f>VLOOKUP(E:E,'Product Category'!J:O,6,FALSE)</f>
        <v>155</v>
      </c>
      <c r="E252" s="41" t="s">
        <v>2085</v>
      </c>
      <c r="F252" s="63" t="str">
        <f>VLOOKUP(E:E,'Product Category'!J:K,2,FALSE)</f>
        <v>32-Paper &amp; Folder</v>
      </c>
      <c r="G252" s="63" t="str">
        <f>VLOOKUP(F:F,'Product Category'!K:L,2,FALSE)</f>
        <v>5-Office equipment &amp; Stationaries</v>
      </c>
      <c r="H252" s="41" t="s">
        <v>3873</v>
      </c>
      <c r="I252" s="41" t="s">
        <v>3874</v>
      </c>
      <c r="J252" s="41" t="s">
        <v>4809</v>
      </c>
      <c r="K252" s="41" t="s">
        <v>4810</v>
      </c>
      <c r="L252" s="41">
        <v>6</v>
      </c>
      <c r="M252" s="41" t="s">
        <v>1806</v>
      </c>
      <c r="N252" s="41" t="str">
        <f>VLOOKUP(M:M,Unit!B:C,2,0)</f>
        <v>pc</v>
      </c>
      <c r="O252" s="41" t="s">
        <v>67</v>
      </c>
      <c r="P252" s="41">
        <v>1</v>
      </c>
      <c r="Q252" s="41" t="s">
        <v>179</v>
      </c>
      <c r="R252" s="41" t="str">
        <f>VLOOKUP(Q:Q,Unit!B:D,2,0)</f>
        <v>pack</v>
      </c>
      <c r="S252" s="41" t="s">
        <v>75</v>
      </c>
      <c r="T252" s="41" t="str">
        <f>VLOOKUP(S:S,Promo!B:D,2,0)</f>
        <v>Promo EN</v>
      </c>
      <c r="W252" s="41">
        <v>319</v>
      </c>
      <c r="X252" s="41">
        <v>269</v>
      </c>
      <c r="AB252" s="41" t="s">
        <v>91</v>
      </c>
      <c r="AG252" s="41" t="s">
        <v>71</v>
      </c>
      <c r="AH252" s="41" t="s">
        <v>71</v>
      </c>
      <c r="AI252" s="41" t="s">
        <v>71</v>
      </c>
      <c r="AJ252" s="41" t="s">
        <v>71</v>
      </c>
      <c r="AK252" s="41" t="s">
        <v>71</v>
      </c>
      <c r="AL252" s="41" t="s">
        <v>71</v>
      </c>
      <c r="BS252" s="41" t="s">
        <v>2058</v>
      </c>
      <c r="BT252" s="41" t="s">
        <v>72</v>
      </c>
      <c r="BW252" s="41" t="s">
        <v>72</v>
      </c>
      <c r="BX252" s="41">
        <f>VLOOKUP(B:B,Brand!B:D,3,0)</f>
        <v>248</v>
      </c>
      <c r="BY252" s="41">
        <f>VLOOKUP(M:M,Unit!B:D,3,0)</f>
        <v>27</v>
      </c>
      <c r="BZ252" s="41">
        <f>VLOOKUP(S:S,Promo!B:D,3,0)</f>
        <v>0</v>
      </c>
    </row>
    <row r="253" spans="1:78" s="41" customFormat="1" ht="15.75" customHeight="1">
      <c r="A253" s="41">
        <v>269775</v>
      </c>
      <c r="B253" s="41" t="s">
        <v>1020</v>
      </c>
      <c r="C253" s="65" t="str">
        <f>VLOOKUP(B:B,Brand!B:C,2,0)</f>
        <v>Unitape</v>
      </c>
      <c r="D253" s="63">
        <f>VLOOKUP(E:E,'Product Category'!J:O,6,FALSE)</f>
        <v>157</v>
      </c>
      <c r="E253" s="41" t="s">
        <v>2096</v>
      </c>
      <c r="F253" s="63" t="str">
        <f>VLOOKUP(E:E,'Product Category'!J:K,2,FALSE)</f>
        <v>33-Office Accessories</v>
      </c>
      <c r="G253" s="63" t="str">
        <f>VLOOKUP(F:F,'Product Category'!K:L,2,FALSE)</f>
        <v>5-Office equipment &amp; Stationaries</v>
      </c>
      <c r="H253" s="41" t="s">
        <v>3883</v>
      </c>
      <c r="I253" s="41" t="s">
        <v>3884</v>
      </c>
      <c r="J253" s="65" t="str">
        <f>TRIM(CONCATENATE(B253," ",H253," ",L253," ",M253," ",O253,P253," ",Q253))</f>
        <v>ยูนิเทป เทปใสแกนใหญ่ 1/2” 72 หลา 12 ม้วน x1 แพ็ค</v>
      </c>
      <c r="K253" s="80" t="str">
        <f>TRIM(CONCATENATE(C253," ",I253," ",L253," ",N253," ",O253,P253," ",R253))</f>
        <v>Unitape CLEAR TAPE 1/2" 72Y 12 roll x1 pack</v>
      </c>
      <c r="L253" s="41">
        <v>12</v>
      </c>
      <c r="M253" s="41" t="s">
        <v>177</v>
      </c>
      <c r="N253" s="41" t="str">
        <f>VLOOKUP(M:M,Unit!B:C,2,0)</f>
        <v>roll</v>
      </c>
      <c r="O253" s="41" t="s">
        <v>67</v>
      </c>
      <c r="P253" s="41">
        <v>1</v>
      </c>
      <c r="Q253" s="41" t="s">
        <v>179</v>
      </c>
      <c r="R253" s="41" t="str">
        <f>VLOOKUP(Q:Q,Unit!B:D,2,0)</f>
        <v>pack</v>
      </c>
      <c r="S253" s="41" t="s">
        <v>75</v>
      </c>
      <c r="T253" s="41" t="str">
        <f>VLOOKUP(S:S,Promo!B:D,2,0)</f>
        <v>Promo EN</v>
      </c>
      <c r="W253" s="41">
        <v>369</v>
      </c>
      <c r="X253" s="41">
        <v>349</v>
      </c>
      <c r="AB253" s="41" t="s">
        <v>91</v>
      </c>
      <c r="AG253" s="41" t="s">
        <v>71</v>
      </c>
      <c r="AH253" s="41" t="s">
        <v>71</v>
      </c>
      <c r="AI253" s="41" t="s">
        <v>71</v>
      </c>
      <c r="AJ253" s="41" t="s">
        <v>71</v>
      </c>
      <c r="AK253" s="41" t="s">
        <v>71</v>
      </c>
      <c r="AL253" s="41" t="s">
        <v>71</v>
      </c>
      <c r="AS253" s="41" t="s">
        <v>3885</v>
      </c>
      <c r="AT253" s="41" t="s">
        <v>3886</v>
      </c>
      <c r="BS253" s="41" t="s">
        <v>2058</v>
      </c>
      <c r="BT253" s="41" t="s">
        <v>72</v>
      </c>
      <c r="BW253" s="41" t="s">
        <v>72</v>
      </c>
      <c r="BX253" s="41">
        <f>VLOOKUP(B:B,Brand!B:D,3,0)</f>
        <v>538</v>
      </c>
      <c r="BY253" s="41">
        <f>VLOOKUP(M:M,Unit!B:D,3,0)</f>
        <v>13</v>
      </c>
      <c r="BZ253" s="41">
        <f>VLOOKUP(S:S,Promo!B:D,3,0)</f>
        <v>0</v>
      </c>
    </row>
    <row r="254" spans="1:78" s="41" customFormat="1" ht="15.75" customHeight="1">
      <c r="A254" s="41">
        <v>269777</v>
      </c>
      <c r="B254" s="41" t="s">
        <v>1020</v>
      </c>
      <c r="C254" s="65" t="str">
        <f>VLOOKUP(B:B,Brand!B:C,2,0)</f>
        <v>Unitape</v>
      </c>
      <c r="D254" s="63">
        <f>VLOOKUP(E:E,'Product Category'!J:O,6,FALSE)</f>
        <v>157</v>
      </c>
      <c r="E254" s="41" t="s">
        <v>2096</v>
      </c>
      <c r="F254" s="63" t="str">
        <f>VLOOKUP(E:E,'Product Category'!J:K,2,FALSE)</f>
        <v>33-Office Accessories</v>
      </c>
      <c r="G254" s="63" t="str">
        <f>VLOOKUP(F:F,'Product Category'!K:L,2,FALSE)</f>
        <v>5-Office equipment &amp; Stationaries</v>
      </c>
      <c r="H254" s="41" t="s">
        <v>3887</v>
      </c>
      <c r="I254" s="41" t="s">
        <v>3888</v>
      </c>
      <c r="J254" s="65" t="str">
        <f>TRIM(CONCATENATE(B254," ",H254," ",L254," ",M254," ",O254,P254," ",Q254))</f>
        <v>ยูนิเทป เทปใสแกนใหญ่ 3/4” 72 หลา 8 ม้วน x1 แพ็ค</v>
      </c>
      <c r="K254" s="80" t="str">
        <f>TRIM(CONCATENATE(C254," ",I254," ",L254," ",N254," ",O254,P254," ",R254))</f>
        <v>Unitape CLEAR TAPE 3/4" 72Y 8 roll x1 pack</v>
      </c>
      <c r="L254" s="41">
        <v>8</v>
      </c>
      <c r="M254" s="41" t="s">
        <v>177</v>
      </c>
      <c r="N254" s="41" t="str">
        <f>VLOOKUP(M:M,Unit!B:C,2,0)</f>
        <v>roll</v>
      </c>
      <c r="O254" s="41" t="s">
        <v>67</v>
      </c>
      <c r="P254" s="41">
        <v>1</v>
      </c>
      <c r="Q254" s="41" t="s">
        <v>179</v>
      </c>
      <c r="R254" s="41" t="str">
        <f>VLOOKUP(Q:Q,Unit!B:D,2,0)</f>
        <v>pack</v>
      </c>
      <c r="S254" s="41" t="s">
        <v>75</v>
      </c>
      <c r="T254" s="41" t="str">
        <f>VLOOKUP(S:S,Promo!B:D,2,0)</f>
        <v>Promo EN</v>
      </c>
      <c r="W254" s="41">
        <v>369</v>
      </c>
      <c r="X254" s="41">
        <v>349</v>
      </c>
      <c r="AB254" s="41" t="s">
        <v>91</v>
      </c>
      <c r="AG254" s="41" t="s">
        <v>71</v>
      </c>
      <c r="AH254" s="41" t="s">
        <v>71</v>
      </c>
      <c r="AI254" s="41" t="s">
        <v>71</v>
      </c>
      <c r="AJ254" s="41" t="s">
        <v>71</v>
      </c>
      <c r="AK254" s="41" t="s">
        <v>71</v>
      </c>
      <c r="AL254" s="41" t="s">
        <v>71</v>
      </c>
      <c r="AS254" s="41" t="s">
        <v>3889</v>
      </c>
      <c r="AT254" s="41" t="s">
        <v>3890</v>
      </c>
      <c r="BS254" s="41" t="s">
        <v>2058</v>
      </c>
      <c r="BT254" s="41" t="s">
        <v>72</v>
      </c>
      <c r="BW254" s="41" t="s">
        <v>72</v>
      </c>
      <c r="BX254" s="41">
        <f>VLOOKUP(B:B,Brand!B:D,3,0)</f>
        <v>538</v>
      </c>
      <c r="BY254" s="41">
        <f>VLOOKUP(M:M,Unit!B:D,3,0)</f>
        <v>13</v>
      </c>
      <c r="BZ254" s="41">
        <f>VLOOKUP(S:S,Promo!B:D,3,0)</f>
        <v>0</v>
      </c>
    </row>
    <row r="255" spans="1:78" s="41" customFormat="1" ht="15.75" customHeight="1">
      <c r="A255" s="41">
        <v>198499</v>
      </c>
      <c r="B255" s="41" t="s">
        <v>333</v>
      </c>
      <c r="C255" s="65" t="str">
        <f>VLOOKUP(B:B,Brand!B:C,2,0)</f>
        <v>Q-BIZ</v>
      </c>
      <c r="D255" s="63">
        <f>VLOOKUP(E:E,'Product Category'!J:O,6,FALSE)</f>
        <v>157</v>
      </c>
      <c r="E255" s="41" t="s">
        <v>2096</v>
      </c>
      <c r="F255" s="63" t="str">
        <f>VLOOKUP(E:E,'Product Category'!J:K,2,FALSE)</f>
        <v>33-Office Accessories</v>
      </c>
      <c r="G255" s="63" t="str">
        <f>VLOOKUP(F:F,'Product Category'!K:L,2,FALSE)</f>
        <v>5-Office equipment &amp; Stationaries</v>
      </c>
      <c r="H255" s="41" t="s">
        <v>4001</v>
      </c>
      <c r="I255" s="41" t="s">
        <v>4002</v>
      </c>
      <c r="J255" s="41" t="s">
        <v>4885</v>
      </c>
      <c r="K255" s="41" t="s">
        <v>4886</v>
      </c>
      <c r="L255" s="41">
        <v>12</v>
      </c>
      <c r="M255" s="41" t="s">
        <v>177</v>
      </c>
      <c r="N255" s="41" t="str">
        <f>VLOOKUP(M:M,Unit!B:C,2,0)</f>
        <v>roll</v>
      </c>
      <c r="O255" s="41" t="s">
        <v>67</v>
      </c>
      <c r="P255" s="41">
        <v>1</v>
      </c>
      <c r="Q255" s="41" t="s">
        <v>179</v>
      </c>
      <c r="R255" s="41" t="str">
        <f>VLOOKUP(Q:Q,Unit!B:D,2,0)</f>
        <v>pack</v>
      </c>
      <c r="S255" s="41" t="s">
        <v>75</v>
      </c>
      <c r="T255" s="41" t="str">
        <f>VLOOKUP(S:S,Promo!B:D,2,0)</f>
        <v>Promo EN</v>
      </c>
      <c r="W255" s="41">
        <v>169</v>
      </c>
      <c r="X255" s="41">
        <v>125</v>
      </c>
      <c r="AB255" s="41" t="s">
        <v>2056</v>
      </c>
      <c r="AG255" s="41" t="s">
        <v>71</v>
      </c>
      <c r="AH255" s="41" t="s">
        <v>71</v>
      </c>
      <c r="AI255" s="41" t="s">
        <v>71</v>
      </c>
      <c r="AJ255" s="41" t="s">
        <v>71</v>
      </c>
      <c r="AK255" s="41" t="s">
        <v>71</v>
      </c>
      <c r="AL255" s="41" t="s">
        <v>71</v>
      </c>
      <c r="BS255" s="41" t="s">
        <v>2058</v>
      </c>
      <c r="BT255" s="41" t="s">
        <v>72</v>
      </c>
      <c r="BW255" s="41" t="s">
        <v>72</v>
      </c>
      <c r="BX255" s="41">
        <f>VLOOKUP(B:B,Brand!B:D,3,0)</f>
        <v>80</v>
      </c>
      <c r="BY255" s="41">
        <f>VLOOKUP(M:M,Unit!B:D,3,0)</f>
        <v>13</v>
      </c>
      <c r="BZ255" s="41">
        <f>VLOOKUP(S:S,Promo!B:D,3,0)</f>
        <v>0</v>
      </c>
    </row>
    <row r="256" spans="1:78" s="41" customFormat="1" ht="15.75" customHeight="1">
      <c r="A256" s="41">
        <v>923650</v>
      </c>
      <c r="B256" s="41" t="s">
        <v>994</v>
      </c>
      <c r="C256" s="65" t="str">
        <f>VLOOKUP(B:B,Brand!B:C,2,0)</f>
        <v>Max</v>
      </c>
      <c r="D256" s="63">
        <f>VLOOKUP(E:E,'Product Category'!J:O,6,FALSE)</f>
        <v>159</v>
      </c>
      <c r="E256" s="41" t="s">
        <v>2114</v>
      </c>
      <c r="F256" s="63" t="str">
        <f>VLOOKUP(E:E,'Product Category'!J:K,2,FALSE)</f>
        <v>33-Office Accessories</v>
      </c>
      <c r="G256" s="63" t="str">
        <f>VLOOKUP(F:F,'Product Category'!K:L,2,FALSE)</f>
        <v>5-Office equipment &amp; Stationaries</v>
      </c>
      <c r="H256" s="41" t="s">
        <v>3907</v>
      </c>
      <c r="I256" s="41" t="s">
        <v>3908</v>
      </c>
      <c r="J256" s="41" t="s">
        <v>4819</v>
      </c>
      <c r="K256" s="41" t="s">
        <v>4820</v>
      </c>
      <c r="L256" s="41">
        <v>24</v>
      </c>
      <c r="M256" s="41" t="s">
        <v>104</v>
      </c>
      <c r="N256" s="41" t="str">
        <f>VLOOKUP(M:M,Unit!B:C,2,0)</f>
        <v>box</v>
      </c>
      <c r="O256" s="41" t="s">
        <v>67</v>
      </c>
      <c r="P256" s="41">
        <v>1</v>
      </c>
      <c r="Q256" s="41" t="s">
        <v>179</v>
      </c>
      <c r="R256" s="41" t="str">
        <f>VLOOKUP(Q:Q,Unit!B:D,2,0)</f>
        <v>pack</v>
      </c>
      <c r="S256" s="41" t="s">
        <v>75</v>
      </c>
      <c r="T256" s="41" t="str">
        <f>VLOOKUP(S:S,Promo!B:D,2,0)</f>
        <v>Promo EN</v>
      </c>
      <c r="W256" s="41">
        <v>159</v>
      </c>
      <c r="X256" s="41">
        <v>139</v>
      </c>
      <c r="AB256" s="41" t="s">
        <v>91</v>
      </c>
      <c r="AG256" s="41" t="s">
        <v>71</v>
      </c>
      <c r="AH256" s="41" t="s">
        <v>71</v>
      </c>
      <c r="AI256" s="41" t="s">
        <v>71</v>
      </c>
      <c r="AJ256" s="41" t="s">
        <v>71</v>
      </c>
      <c r="AK256" s="41" t="s">
        <v>71</v>
      </c>
      <c r="AL256" s="41" t="s">
        <v>71</v>
      </c>
      <c r="BS256" s="41" t="s">
        <v>2058</v>
      </c>
      <c r="BT256" s="41" t="s">
        <v>72</v>
      </c>
      <c r="BW256" s="41" t="s">
        <v>72</v>
      </c>
      <c r="BX256" s="41">
        <f>VLOOKUP(B:B,Brand!B:D,3,0)</f>
        <v>520</v>
      </c>
      <c r="BY256" s="41">
        <f>VLOOKUP(M:M,Unit!B:D,3,0)</f>
        <v>36</v>
      </c>
      <c r="BZ256" s="41">
        <f>VLOOKUP(S:S,Promo!B:D,3,0)</f>
        <v>0</v>
      </c>
    </row>
    <row r="257" spans="1:78" s="41" customFormat="1" ht="15.75" customHeight="1">
      <c r="A257" s="41">
        <v>818707</v>
      </c>
      <c r="D257" s="63">
        <f>VLOOKUP(E:E,'Product Category'!J:O,6,FALSE)</f>
        <v>160</v>
      </c>
      <c r="E257" s="41" t="s">
        <v>2148</v>
      </c>
      <c r="F257" s="63" t="str">
        <f>VLOOKUP(E:E,'Product Category'!J:K,2,FALSE)</f>
        <v>34-Office Furniture</v>
      </c>
      <c r="G257" s="63" t="str">
        <f>VLOOKUP(F:F,'Product Category'!K:L,2,FALSE)</f>
        <v>5-Office equipment &amp; Stationaries</v>
      </c>
      <c r="H257" s="41" t="s">
        <v>3898</v>
      </c>
      <c r="I257" s="41" t="s">
        <v>3899</v>
      </c>
      <c r="J257" s="65" t="str">
        <f>TRIM(CONCATENATE(B257," ",H257," ",L257," ",M257," ",O257,P257," ",Q257))</f>
        <v>โต๊ะพับหน้าไม้สีบีช 80x60x75 ซม. 1 ตัว x1 ชิ้น</v>
      </c>
      <c r="K257" s="80" t="str">
        <f>TRIM(CONCATENATE(C257," ",I257," ",L257," ",N257," ",O257,P257," ",R257))</f>
        <v>wooden Foldable Table Beach 80x60x75 cm 1 pc x1 pc</v>
      </c>
      <c r="L257" s="41">
        <v>1</v>
      </c>
      <c r="M257" s="41" t="s">
        <v>198</v>
      </c>
      <c r="N257" s="41" t="str">
        <f>VLOOKUP(M:M,Unit!B:C,2,0)</f>
        <v>pc</v>
      </c>
      <c r="O257" s="41" t="s">
        <v>67</v>
      </c>
      <c r="P257" s="41">
        <v>1</v>
      </c>
      <c r="Q257" s="41" t="s">
        <v>68</v>
      </c>
      <c r="R257" s="41" t="str">
        <f>VLOOKUP(Q:Q,Unit!B:D,2,0)</f>
        <v>pc</v>
      </c>
      <c r="S257" s="41" t="s">
        <v>75</v>
      </c>
      <c r="T257" s="41" t="str">
        <f>VLOOKUP(S:S,Promo!B:D,2,0)</f>
        <v>Promo EN</v>
      </c>
      <c r="W257" s="41">
        <v>499</v>
      </c>
      <c r="X257" s="41">
        <v>399</v>
      </c>
      <c r="AB257" s="41" t="s">
        <v>91</v>
      </c>
      <c r="AG257" s="41" t="s">
        <v>71</v>
      </c>
      <c r="AH257" s="41" t="s">
        <v>71</v>
      </c>
      <c r="AI257" s="41" t="s">
        <v>71</v>
      </c>
      <c r="AJ257" s="41" t="s">
        <v>71</v>
      </c>
      <c r="AK257" s="41" t="s">
        <v>71</v>
      </c>
      <c r="AL257" s="41" t="s">
        <v>71</v>
      </c>
      <c r="AQ257" s="41" t="s">
        <v>2277</v>
      </c>
      <c r="AR257" s="41" t="s">
        <v>2278</v>
      </c>
      <c r="AS257" s="41" t="s">
        <v>2279</v>
      </c>
      <c r="AT257" s="41" t="s">
        <v>2280</v>
      </c>
      <c r="BS257" s="41" t="s">
        <v>2058</v>
      </c>
      <c r="BT257" s="41" t="s">
        <v>72</v>
      </c>
      <c r="BW257" s="41" t="s">
        <v>72</v>
      </c>
      <c r="BY257" s="41">
        <f>VLOOKUP(M:M,Unit!B:D,3,0)</f>
        <v>5</v>
      </c>
      <c r="BZ257" s="41">
        <f>VLOOKUP(S:S,Promo!B:D,3,0)</f>
        <v>0</v>
      </c>
    </row>
    <row r="258" spans="1:78" s="41" customFormat="1" ht="15.75" customHeight="1">
      <c r="A258" s="41">
        <v>777672</v>
      </c>
      <c r="D258" s="63">
        <f>VLOOKUP(E:E,'Product Category'!J:O,6,FALSE)</f>
        <v>160</v>
      </c>
      <c r="E258" s="41" t="s">
        <v>2148</v>
      </c>
      <c r="F258" s="63" t="str">
        <f>VLOOKUP(E:E,'Product Category'!J:K,2,FALSE)</f>
        <v>34-Office Furniture</v>
      </c>
      <c r="G258" s="63" t="str">
        <f>VLOOKUP(F:F,'Product Category'!K:L,2,FALSE)</f>
        <v>5-Office equipment &amp; Stationaries</v>
      </c>
      <c r="H258" s="41" t="s">
        <v>2273</v>
      </c>
      <c r="I258" s="41" t="s">
        <v>2274</v>
      </c>
      <c r="J258" s="65" t="str">
        <f>TRIM(CONCATENATE(B258," ",H258," ",L258," ",M258," ",O258,P258," ",Q258))</f>
        <v>โต๊ะพับหน้าโฟเมก้าขาพ่นดำ 1 ตัว x1 ชิ้น</v>
      </c>
      <c r="K258" s="80" t="str">
        <f>TRIM(CONCATENATE(C258," ",I258," ",L258," ",N258," ",O258,P258," ",R258))</f>
        <v>Foldable Table 1 pc x1 pc</v>
      </c>
      <c r="L258" s="41">
        <v>1</v>
      </c>
      <c r="M258" s="41" t="s">
        <v>198</v>
      </c>
      <c r="N258" s="41" t="str">
        <f>VLOOKUP(M:M,Unit!B:C,2,0)</f>
        <v>pc</v>
      </c>
      <c r="O258" s="41" t="s">
        <v>67</v>
      </c>
      <c r="P258" s="41">
        <v>1</v>
      </c>
      <c r="Q258" s="41" t="s">
        <v>68</v>
      </c>
      <c r="R258" s="41" t="str">
        <f>VLOOKUP(Q:Q,Unit!B:D,2,0)</f>
        <v>pc</v>
      </c>
      <c r="S258" s="41" t="s">
        <v>75</v>
      </c>
      <c r="T258" s="41" t="str">
        <f>VLOOKUP(S:S,Promo!B:D,2,0)</f>
        <v>Promo EN</v>
      </c>
      <c r="W258" s="41">
        <v>890</v>
      </c>
      <c r="X258" s="41">
        <v>670</v>
      </c>
      <c r="AB258" s="41" t="s">
        <v>2056</v>
      </c>
      <c r="AG258" s="41" t="s">
        <v>71</v>
      </c>
      <c r="AH258" s="41" t="s">
        <v>71</v>
      </c>
      <c r="AI258" s="41" t="s">
        <v>71</v>
      </c>
      <c r="AJ258" s="41" t="s">
        <v>71</v>
      </c>
      <c r="AK258" s="41" t="s">
        <v>71</v>
      </c>
      <c r="AL258" s="41" t="s">
        <v>71</v>
      </c>
      <c r="AS258" s="41" t="s">
        <v>2275</v>
      </c>
      <c r="AT258" s="41" t="s">
        <v>2276</v>
      </c>
      <c r="BS258" s="41" t="s">
        <v>2058</v>
      </c>
      <c r="BT258" s="41" t="s">
        <v>72</v>
      </c>
      <c r="BW258" s="41" t="s">
        <v>72</v>
      </c>
      <c r="BY258" s="41">
        <f>VLOOKUP(M:M,Unit!B:D,3,0)</f>
        <v>5</v>
      </c>
      <c r="BZ258" s="41">
        <f>VLOOKUP(S:S,Promo!B:D,3,0)</f>
        <v>0</v>
      </c>
    </row>
    <row r="259" spans="1:78" s="41" customFormat="1" ht="15.75" customHeight="1">
      <c r="A259" s="41">
        <v>777301</v>
      </c>
      <c r="D259" s="63">
        <f>VLOOKUP(E:E,'Product Category'!J:O,6,FALSE)</f>
        <v>160</v>
      </c>
      <c r="E259" s="41" t="s">
        <v>2148</v>
      </c>
      <c r="F259" s="63" t="str">
        <f>VLOOKUP(E:E,'Product Category'!J:K,2,FALSE)</f>
        <v>34-Office Furniture</v>
      </c>
      <c r="G259" s="63" t="str">
        <f>VLOOKUP(F:F,'Product Category'!K:L,2,FALSE)</f>
        <v>5-Office equipment &amp; Stationaries</v>
      </c>
      <c r="H259" s="41" t="s">
        <v>4319</v>
      </c>
      <c r="I259" s="41" t="s">
        <v>4320</v>
      </c>
      <c r="J259" s="65" t="str">
        <f>TRIM(CONCATENATE(B259," ",H259," ",L259," ",M259," ",O259,P259," ",Q259))</f>
        <v>โต๊ะพับหน้าขาว (เมลามีน) ขาพ่นดำ 90x60x75 ซม. 1 ตัว x1 ชิ้น</v>
      </c>
      <c r="K259" s="80" t="str">
        <f>TRIM(CONCATENATE(C259," ",I259," ",L259," ",N259," ",O259,P259," ",R259))</f>
        <v>FOLDABLE TABLE 90X60X75 CM. 1 pc x1 pc</v>
      </c>
      <c r="L259" s="41">
        <v>1</v>
      </c>
      <c r="M259" s="41" t="s">
        <v>198</v>
      </c>
      <c r="N259" s="41" t="str">
        <f>VLOOKUP(M:M,Unit!B:C,2,0)</f>
        <v>pc</v>
      </c>
      <c r="O259" s="41" t="s">
        <v>67</v>
      </c>
      <c r="P259" s="41">
        <v>1</v>
      </c>
      <c r="Q259" s="41" t="s">
        <v>68</v>
      </c>
      <c r="R259" s="41" t="str">
        <f>VLOOKUP(Q:Q,Unit!B:D,2,0)</f>
        <v>pc</v>
      </c>
      <c r="S259" s="41" t="s">
        <v>75</v>
      </c>
      <c r="T259" s="41" t="str">
        <f>VLOOKUP(S:S,Promo!B:D,2,0)</f>
        <v>Promo EN</v>
      </c>
      <c r="W259" s="41">
        <v>625</v>
      </c>
      <c r="X259" s="41">
        <v>499</v>
      </c>
      <c r="AB259" s="41" t="s">
        <v>2056</v>
      </c>
      <c r="AG259" s="41" t="s">
        <v>71</v>
      </c>
      <c r="AH259" s="41" t="s">
        <v>71</v>
      </c>
      <c r="AI259" s="41" t="s">
        <v>71</v>
      </c>
      <c r="AJ259" s="41" t="s">
        <v>71</v>
      </c>
      <c r="AK259" s="41" t="s">
        <v>71</v>
      </c>
      <c r="AL259" s="41" t="s">
        <v>71</v>
      </c>
      <c r="AS259" s="41" t="s">
        <v>4321</v>
      </c>
      <c r="AT259" s="41" t="s">
        <v>2188</v>
      </c>
      <c r="BS259" s="41" t="s">
        <v>2058</v>
      </c>
      <c r="BT259" s="41" t="s">
        <v>72</v>
      </c>
      <c r="BW259" s="41" t="s">
        <v>72</v>
      </c>
      <c r="BY259" s="41">
        <f>VLOOKUP(M:M,Unit!B:D,3,0)</f>
        <v>5</v>
      </c>
      <c r="BZ259" s="41">
        <f>VLOOKUP(S:S,Promo!B:D,3,0)</f>
        <v>0</v>
      </c>
    </row>
    <row r="260" spans="1:78" s="41" customFormat="1" ht="15.75" customHeight="1">
      <c r="A260" s="41">
        <v>777851</v>
      </c>
      <c r="D260" s="63">
        <f>VLOOKUP(E:E,'Product Category'!J:O,6,FALSE)</f>
        <v>160</v>
      </c>
      <c r="E260" s="41" t="s">
        <v>2148</v>
      </c>
      <c r="F260" s="63" t="str">
        <f>VLOOKUP(E:E,'Product Category'!J:K,2,FALSE)</f>
        <v>34-Office Furniture</v>
      </c>
      <c r="G260" s="63" t="str">
        <f>VLOOKUP(F:F,'Product Category'!K:L,2,FALSE)</f>
        <v>5-Office equipment &amp; Stationaries</v>
      </c>
      <c r="H260" s="41" t="s">
        <v>4345</v>
      </c>
      <c r="I260" s="41" t="s">
        <v>4346</v>
      </c>
      <c r="J260" s="65" t="str">
        <f>TRIM(CONCATENATE(B260," ",H260," ",L260," ",M260," ",O260,P260," ",Q260))</f>
        <v>โต๊ะพับหน้าสแตนเลส 60x60 ซม. 1 ตัว x1 ชิ้น</v>
      </c>
      <c r="K260" s="80" t="str">
        <f>TRIM(CONCATENATE(C260," ",I260," ",L260," ",N260," ",O260,P260," ",R260))</f>
        <v>STAINLESS FOLDABLE TABLE 60x60 CM. 1 pc x1 pc</v>
      </c>
      <c r="L260" s="41">
        <v>1</v>
      </c>
      <c r="M260" s="41" t="s">
        <v>198</v>
      </c>
      <c r="N260" s="41" t="str">
        <f>VLOOKUP(M:M,Unit!B:C,2,0)</f>
        <v>pc</v>
      </c>
      <c r="O260" s="41" t="s">
        <v>67</v>
      </c>
      <c r="P260" s="41">
        <v>1</v>
      </c>
      <c r="Q260" s="41" t="s">
        <v>68</v>
      </c>
      <c r="R260" s="41" t="str">
        <f>VLOOKUP(Q:Q,Unit!B:D,2,0)</f>
        <v>pc</v>
      </c>
      <c r="S260" s="41" t="s">
        <v>75</v>
      </c>
      <c r="T260" s="41" t="str">
        <f>VLOOKUP(S:S,Promo!B:D,2,0)</f>
        <v>Promo EN</v>
      </c>
      <c r="W260" s="41">
        <v>295</v>
      </c>
      <c r="X260" s="41">
        <v>259</v>
      </c>
      <c r="AB260" s="41" t="s">
        <v>2054</v>
      </c>
      <c r="AF260" s="41" t="s">
        <v>3373</v>
      </c>
      <c r="AG260" s="41" t="s">
        <v>71</v>
      </c>
      <c r="AH260" s="41" t="s">
        <v>71</v>
      </c>
      <c r="AI260" s="41" t="s">
        <v>71</v>
      </c>
      <c r="AJ260" s="41" t="s">
        <v>71</v>
      </c>
      <c r="AK260" s="41" t="s">
        <v>71</v>
      </c>
      <c r="AL260" s="41" t="s">
        <v>71</v>
      </c>
      <c r="AS260" s="41" t="s">
        <v>4347</v>
      </c>
      <c r="AT260" s="41" t="s">
        <v>4348</v>
      </c>
      <c r="BS260" s="41" t="s">
        <v>2058</v>
      </c>
      <c r="BT260" s="41" t="s">
        <v>72</v>
      </c>
      <c r="BW260" s="41" t="s">
        <v>72</v>
      </c>
      <c r="BY260" s="41">
        <f>VLOOKUP(M:M,Unit!B:D,3,0)</f>
        <v>5</v>
      </c>
      <c r="BZ260" s="41">
        <f>VLOOKUP(S:S,Promo!B:D,3,0)</f>
        <v>0</v>
      </c>
    </row>
    <row r="261" spans="1:78" s="41" customFormat="1" ht="15.75" customHeight="1">
      <c r="A261" s="41">
        <v>777759</v>
      </c>
      <c r="D261" s="63">
        <f>VLOOKUP(E:E,'Product Category'!J:O,6,FALSE)</f>
        <v>160</v>
      </c>
      <c r="E261" s="41" t="s">
        <v>2148</v>
      </c>
      <c r="F261" s="63" t="str">
        <f>VLOOKUP(E:E,'Product Category'!J:K,2,FALSE)</f>
        <v>34-Office Furniture</v>
      </c>
      <c r="G261" s="63" t="str">
        <f>VLOOKUP(F:F,'Product Category'!K:L,2,FALSE)</f>
        <v>5-Office equipment &amp; Stationaries</v>
      </c>
      <c r="H261" s="41" t="s">
        <v>4362</v>
      </c>
      <c r="I261" s="41" t="s">
        <v>4363</v>
      </c>
      <c r="J261" s="65" t="str">
        <f>TRIM(CONCATENATE(B261," ",H261," ",L261," ",M261," ",O261,P261," ",Q261))</f>
        <v>โต๊ะพับหน้าเหล็ก 3 ฟุต 91x60x75 ซม. 1 ตัว x1 ชิ้น</v>
      </c>
      <c r="K261" s="80" t="str">
        <f>TRIM(CONCATENATE(C261," ",I261," ",L261," ",N261," ",O261,P261," ",R261))</f>
        <v>FOLDING TABLE 3 FEET 91X60X75 CM. 1 pc x1 pc</v>
      </c>
      <c r="L261" s="41">
        <v>1</v>
      </c>
      <c r="M261" s="41" t="s">
        <v>198</v>
      </c>
      <c r="N261" s="41" t="str">
        <f>VLOOKUP(M:M,Unit!B:C,2,0)</f>
        <v>pc</v>
      </c>
      <c r="O261" s="41" t="s">
        <v>67</v>
      </c>
      <c r="P261" s="41">
        <v>1</v>
      </c>
      <c r="Q261" s="41" t="s">
        <v>68</v>
      </c>
      <c r="R261" s="41" t="str">
        <f>VLOOKUP(Q:Q,Unit!B:D,2,0)</f>
        <v>pc</v>
      </c>
      <c r="S261" s="41" t="s">
        <v>75</v>
      </c>
      <c r="T261" s="41" t="str">
        <f>VLOOKUP(S:S,Promo!B:D,2,0)</f>
        <v>Promo EN</v>
      </c>
      <c r="W261" s="41">
        <v>599</v>
      </c>
      <c r="X261" s="41">
        <v>499</v>
      </c>
      <c r="AB261" s="41" t="s">
        <v>2054</v>
      </c>
      <c r="AG261" s="41" t="s">
        <v>71</v>
      </c>
      <c r="AH261" s="41" t="s">
        <v>71</v>
      </c>
      <c r="AI261" s="41" t="s">
        <v>71</v>
      </c>
      <c r="AJ261" s="41" t="s">
        <v>71</v>
      </c>
      <c r="AK261" s="41" t="s">
        <v>71</v>
      </c>
      <c r="AL261" s="41" t="s">
        <v>71</v>
      </c>
      <c r="AS261" s="41" t="s">
        <v>4364</v>
      </c>
      <c r="AT261" s="41" t="s">
        <v>4365</v>
      </c>
      <c r="BS261" s="41" t="s">
        <v>2058</v>
      </c>
      <c r="BT261" s="41" t="s">
        <v>72</v>
      </c>
      <c r="BW261" s="41" t="s">
        <v>72</v>
      </c>
      <c r="BY261" s="41">
        <f>VLOOKUP(M:M,Unit!B:D,3,0)</f>
        <v>5</v>
      </c>
      <c r="BZ261" s="41">
        <f>VLOOKUP(S:S,Promo!B:D,3,0)</f>
        <v>0</v>
      </c>
    </row>
    <row r="262" spans="1:78" s="41" customFormat="1" ht="15.75" customHeight="1">
      <c r="A262" s="41">
        <v>804140</v>
      </c>
      <c r="B262" s="41" t="s">
        <v>1265</v>
      </c>
      <c r="C262" s="65" t="str">
        <f>VLOOKUP(B:B,Brand!B:C,2,0)</f>
        <v>Elfen</v>
      </c>
      <c r="D262" s="63">
        <f>VLOOKUP(E:E,'Product Category'!J:O,6,FALSE)</f>
        <v>161</v>
      </c>
      <c r="E262" s="41" t="s">
        <v>2095</v>
      </c>
      <c r="F262" s="63" t="str">
        <f>VLOOKUP(E:E,'Product Category'!J:K,2,FALSE)</f>
        <v>35-Writing Utensils</v>
      </c>
      <c r="G262" s="63" t="str">
        <f>VLOOKUP(F:F,'Product Category'!K:L,2,FALSE)</f>
        <v>5-Office equipment &amp; Stationaries</v>
      </c>
      <c r="H262" s="41" t="s">
        <v>3875</v>
      </c>
      <c r="I262" s="41" t="s">
        <v>3876</v>
      </c>
      <c r="J262" s="41" t="s">
        <v>4811</v>
      </c>
      <c r="K262" s="41" t="s">
        <v>4812</v>
      </c>
      <c r="L262" s="41">
        <v>12</v>
      </c>
      <c r="M262" s="41" t="s">
        <v>1805</v>
      </c>
      <c r="N262" s="41" t="str">
        <f>VLOOKUP(M:M,Unit!B:C,2,0)</f>
        <v>pc</v>
      </c>
      <c r="O262" s="41" t="s">
        <v>67</v>
      </c>
      <c r="P262" s="41">
        <v>1</v>
      </c>
      <c r="Q262" s="41" t="s">
        <v>179</v>
      </c>
      <c r="R262" s="41" t="str">
        <f>VLOOKUP(Q:Q,Unit!B:D,2,0)</f>
        <v>pack</v>
      </c>
      <c r="S262" s="41" t="s">
        <v>75</v>
      </c>
      <c r="T262" s="41" t="str">
        <f>VLOOKUP(S:S,Promo!B:D,2,0)</f>
        <v>Promo EN</v>
      </c>
      <c r="W262" s="41">
        <v>125</v>
      </c>
      <c r="X262" s="41">
        <v>109</v>
      </c>
      <c r="AB262" s="41" t="s">
        <v>91</v>
      </c>
      <c r="AG262" s="41" t="s">
        <v>71</v>
      </c>
      <c r="AH262" s="41" t="s">
        <v>71</v>
      </c>
      <c r="AI262" s="41" t="s">
        <v>71</v>
      </c>
      <c r="AJ262" s="41" t="s">
        <v>71</v>
      </c>
      <c r="AK262" s="41" t="s">
        <v>71</v>
      </c>
      <c r="AL262" s="41" t="s">
        <v>71</v>
      </c>
      <c r="BS262" s="41" t="s">
        <v>2058</v>
      </c>
      <c r="BT262" s="41" t="s">
        <v>72</v>
      </c>
      <c r="BW262" s="41" t="s">
        <v>72</v>
      </c>
      <c r="BX262" s="41">
        <f>VLOOKUP(B:B,Brand!B:D,3,0)</f>
        <v>694</v>
      </c>
      <c r="BY262" s="41">
        <f>VLOOKUP(M:M,Unit!B:D,3,0)</f>
        <v>26</v>
      </c>
      <c r="BZ262" s="41">
        <f>VLOOKUP(S:S,Promo!B:D,3,0)</f>
        <v>0</v>
      </c>
    </row>
    <row r="263" spans="1:78" s="41" customFormat="1" ht="15.75" customHeight="1">
      <c r="A263" s="41">
        <v>804141</v>
      </c>
      <c r="B263" s="41" t="s">
        <v>1265</v>
      </c>
      <c r="C263" s="65" t="str">
        <f>VLOOKUP(B:B,Brand!B:C,2,0)</f>
        <v>Elfen</v>
      </c>
      <c r="D263" s="63">
        <f>VLOOKUP(E:E,'Product Category'!J:O,6,FALSE)</f>
        <v>161</v>
      </c>
      <c r="E263" s="41" t="s">
        <v>2095</v>
      </c>
      <c r="F263" s="63" t="str">
        <f>VLOOKUP(E:E,'Product Category'!J:K,2,FALSE)</f>
        <v>35-Writing Utensils</v>
      </c>
      <c r="G263" s="63" t="str">
        <f>VLOOKUP(F:F,'Product Category'!K:L,2,FALSE)</f>
        <v>5-Office equipment &amp; Stationaries</v>
      </c>
      <c r="H263" s="41" t="s">
        <v>3877</v>
      </c>
      <c r="I263" s="41" t="s">
        <v>3878</v>
      </c>
      <c r="J263" s="41" t="s">
        <v>4813</v>
      </c>
      <c r="K263" s="41" t="s">
        <v>4814</v>
      </c>
      <c r="L263" s="41">
        <v>12</v>
      </c>
      <c r="M263" s="41" t="s">
        <v>1805</v>
      </c>
      <c r="N263" s="41" t="str">
        <f>VLOOKUP(M:M,Unit!B:C,2,0)</f>
        <v>pc</v>
      </c>
      <c r="O263" s="41" t="s">
        <v>67</v>
      </c>
      <c r="P263" s="41">
        <v>1</v>
      </c>
      <c r="Q263" s="41" t="s">
        <v>179</v>
      </c>
      <c r="R263" s="41" t="str">
        <f>VLOOKUP(Q:Q,Unit!B:D,2,0)</f>
        <v>pack</v>
      </c>
      <c r="S263" s="41" t="s">
        <v>75</v>
      </c>
      <c r="T263" s="41" t="str">
        <f>VLOOKUP(S:S,Promo!B:D,2,0)</f>
        <v>Promo EN</v>
      </c>
      <c r="W263" s="41">
        <v>125</v>
      </c>
      <c r="X263" s="41">
        <v>109</v>
      </c>
      <c r="AB263" s="41" t="s">
        <v>91</v>
      </c>
      <c r="AG263" s="41" t="s">
        <v>71</v>
      </c>
      <c r="AH263" s="41" t="s">
        <v>71</v>
      </c>
      <c r="AI263" s="41" t="s">
        <v>71</v>
      </c>
      <c r="AJ263" s="41" t="s">
        <v>71</v>
      </c>
      <c r="AK263" s="41" t="s">
        <v>71</v>
      </c>
      <c r="AL263" s="41" t="s">
        <v>71</v>
      </c>
      <c r="BS263" s="41" t="s">
        <v>2058</v>
      </c>
      <c r="BT263" s="41" t="s">
        <v>72</v>
      </c>
      <c r="BW263" s="41" t="s">
        <v>72</v>
      </c>
      <c r="BX263" s="41">
        <f>VLOOKUP(B:B,Brand!B:D,3,0)</f>
        <v>694</v>
      </c>
      <c r="BY263" s="41">
        <f>VLOOKUP(M:M,Unit!B:D,3,0)</f>
        <v>26</v>
      </c>
      <c r="BZ263" s="41">
        <f>VLOOKUP(S:S,Promo!B:D,3,0)</f>
        <v>0</v>
      </c>
    </row>
    <row r="264" spans="1:78" s="41" customFormat="1" ht="15.75" customHeight="1">
      <c r="A264" s="41">
        <v>106855</v>
      </c>
      <c r="B264" s="41" t="s">
        <v>805</v>
      </c>
      <c r="C264" s="65" t="str">
        <f>VLOOKUP(B:B,Brand!B:C,2,0)</f>
        <v>Pin Ngoen</v>
      </c>
      <c r="D264" s="63">
        <f>VLOOKUP(E:E,'Product Category'!J:O,6,FALSE)</f>
        <v>166</v>
      </c>
      <c r="E264" s="41" t="s">
        <v>2098</v>
      </c>
      <c r="F264" s="63" t="str">
        <f>VLOOKUP(E:E,'Product Category'!J:K,2,FALSE)</f>
        <v>36-Rice / Organics Herb / Dry Fruits</v>
      </c>
      <c r="G264" s="63" t="str">
        <f>VLOOKUP(F:F,'Product Category'!K:L,2,FALSE)</f>
        <v>6-Dry Food / Dry Groceries</v>
      </c>
      <c r="H264" s="41" t="s">
        <v>3385</v>
      </c>
      <c r="I264" s="41" t="s">
        <v>3386</v>
      </c>
      <c r="J264" s="41" t="s">
        <v>4509</v>
      </c>
      <c r="K264" s="41" t="s">
        <v>4510</v>
      </c>
      <c r="L264" s="41">
        <v>5</v>
      </c>
      <c r="M264" s="41" t="s">
        <v>79</v>
      </c>
      <c r="N264" s="41" t="str">
        <f>VLOOKUP(M:M,Unit!B:C,2,0)</f>
        <v>kg</v>
      </c>
      <c r="O264" s="41" t="s">
        <v>67</v>
      </c>
      <c r="P264" s="41">
        <v>1</v>
      </c>
      <c r="Q264" s="41" t="s">
        <v>2153</v>
      </c>
      <c r="R264" s="41" t="str">
        <f>VLOOKUP(Q:Q,Unit!B:D,2,0)</f>
        <v>unit</v>
      </c>
      <c r="S264" s="41" t="s">
        <v>75</v>
      </c>
      <c r="T264" s="41" t="str">
        <f>VLOOKUP(S:S,Promo!B:D,2,0)</f>
        <v>Promo EN</v>
      </c>
      <c r="W264" s="41">
        <v>155</v>
      </c>
      <c r="X264" s="41">
        <v>139</v>
      </c>
      <c r="AB264" s="41" t="s">
        <v>91</v>
      </c>
      <c r="AF264" s="41" t="s">
        <v>3387</v>
      </c>
      <c r="AG264" s="41" t="s">
        <v>71</v>
      </c>
      <c r="AH264" s="41" t="s">
        <v>71</v>
      </c>
      <c r="AI264" s="41" t="s">
        <v>71</v>
      </c>
      <c r="AJ264" s="41" t="s">
        <v>3388</v>
      </c>
      <c r="AK264" s="41" t="s">
        <v>71</v>
      </c>
      <c r="AL264" s="41" t="s">
        <v>71</v>
      </c>
      <c r="AP264" s="41" t="s">
        <v>3389</v>
      </c>
      <c r="BS264" s="41" t="s">
        <v>2058</v>
      </c>
      <c r="BT264" s="41" t="s">
        <v>72</v>
      </c>
      <c r="BW264" s="41" t="s">
        <v>72</v>
      </c>
      <c r="BX264" s="41">
        <f>VLOOKUP(B:B,Brand!B:D,3,0)</f>
        <v>394</v>
      </c>
      <c r="BY264" s="41">
        <f>VLOOKUP(M:M,Unit!B:D,3,0)</f>
        <v>2</v>
      </c>
      <c r="BZ264" s="41">
        <f>VLOOKUP(S:S,Promo!B:D,3,0)</f>
        <v>0</v>
      </c>
    </row>
    <row r="265" spans="1:78" s="41" customFormat="1" ht="15.75" customHeight="1">
      <c r="A265" s="41">
        <v>163720</v>
      </c>
      <c r="B265" s="41" t="s">
        <v>423</v>
      </c>
      <c r="C265" s="65" t="str">
        <f>VLOOKUP(B:B,Brand!B:C,2,0)</f>
        <v>Thai Farmer</v>
      </c>
      <c r="D265" s="63">
        <f>VLOOKUP(E:E,'Product Category'!J:O,6,FALSE)</f>
        <v>166</v>
      </c>
      <c r="E265" s="41" t="s">
        <v>2098</v>
      </c>
      <c r="F265" s="63" t="str">
        <f>VLOOKUP(E:E,'Product Category'!J:K,2,FALSE)</f>
        <v>36-Rice / Organics Herb / Dry Fruits</v>
      </c>
      <c r="G265" s="63" t="str">
        <f>VLOOKUP(F:F,'Product Category'!K:L,2,FALSE)</f>
        <v>6-Dry Food / Dry Groceries</v>
      </c>
      <c r="H265" s="41" t="s">
        <v>2394</v>
      </c>
      <c r="I265" s="41" t="s">
        <v>2333</v>
      </c>
      <c r="J265" s="41" t="s">
        <v>4653</v>
      </c>
      <c r="K265" s="41" t="s">
        <v>4654</v>
      </c>
      <c r="L265" s="41">
        <v>5</v>
      </c>
      <c r="M265" s="41" t="s">
        <v>79</v>
      </c>
      <c r="N265" s="41" t="str">
        <f>VLOOKUP(M:M,Unit!B:C,2,0)</f>
        <v>kg</v>
      </c>
      <c r="O265" s="41" t="s">
        <v>67</v>
      </c>
      <c r="P265" s="41">
        <v>1</v>
      </c>
      <c r="Q265" s="41" t="s">
        <v>2153</v>
      </c>
      <c r="R265" s="41" t="str">
        <f>VLOOKUP(Q:Q,Unit!B:D,2,0)</f>
        <v>unit</v>
      </c>
      <c r="S265" s="41" t="s">
        <v>75</v>
      </c>
      <c r="T265" s="41" t="str">
        <f>VLOOKUP(S:S,Promo!B:D,2,0)</f>
        <v>Promo EN</v>
      </c>
      <c r="W265" s="41">
        <v>82</v>
      </c>
      <c r="X265" s="41">
        <v>77</v>
      </c>
      <c r="AB265" s="41" t="s">
        <v>91</v>
      </c>
      <c r="AG265" s="41" t="s">
        <v>71</v>
      </c>
      <c r="AH265" s="41" t="s">
        <v>71</v>
      </c>
      <c r="AI265" s="41" t="s">
        <v>71</v>
      </c>
      <c r="AJ265" s="41" t="s">
        <v>71</v>
      </c>
      <c r="AK265" s="41" t="s">
        <v>71</v>
      </c>
      <c r="AL265" s="41" t="s">
        <v>71</v>
      </c>
      <c r="AP265" s="41" t="s">
        <v>3389</v>
      </c>
      <c r="BS265" s="41" t="s">
        <v>2058</v>
      </c>
      <c r="BT265" s="41" t="s">
        <v>72</v>
      </c>
      <c r="BW265" s="41" t="s">
        <v>72</v>
      </c>
      <c r="BX265" s="41">
        <f>VLOOKUP(B:B,Brand!B:D,3,0)</f>
        <v>140</v>
      </c>
      <c r="BY265" s="41">
        <f>VLOOKUP(M:M,Unit!B:D,3,0)</f>
        <v>2</v>
      </c>
      <c r="BZ265" s="41">
        <f>VLOOKUP(S:S,Promo!B:D,3,0)</f>
        <v>0</v>
      </c>
    </row>
    <row r="266" spans="1:78" s="41" customFormat="1" ht="15.75" customHeight="1">
      <c r="A266" s="41">
        <v>163721</v>
      </c>
      <c r="B266" s="41" t="s">
        <v>805</v>
      </c>
      <c r="C266" s="65" t="str">
        <f>VLOOKUP(B:B,Brand!B:C,2,0)</f>
        <v>Pin Ngoen</v>
      </c>
      <c r="D266" s="63">
        <f>VLOOKUP(E:E,'Product Category'!J:O,6,FALSE)</f>
        <v>166</v>
      </c>
      <c r="E266" s="41" t="s">
        <v>2098</v>
      </c>
      <c r="F266" s="63" t="str">
        <f>VLOOKUP(E:E,'Product Category'!J:K,2,FALSE)</f>
        <v>36-Rice / Organics Herb / Dry Fruits</v>
      </c>
      <c r="G266" s="63" t="str">
        <f>VLOOKUP(F:F,'Product Category'!K:L,2,FALSE)</f>
        <v>6-Dry Food / Dry Groceries</v>
      </c>
      <c r="H266" s="41" t="s">
        <v>2395</v>
      </c>
      <c r="I266" s="41" t="s">
        <v>2333</v>
      </c>
      <c r="J266" s="41" t="s">
        <v>4655</v>
      </c>
      <c r="K266" s="41" t="s">
        <v>4656</v>
      </c>
      <c r="L266" s="41">
        <v>5</v>
      </c>
      <c r="M266" s="41" t="s">
        <v>79</v>
      </c>
      <c r="N266" s="41" t="str">
        <f>VLOOKUP(M:M,Unit!B:C,2,0)</f>
        <v>kg</v>
      </c>
      <c r="O266" s="41" t="s">
        <v>67</v>
      </c>
      <c r="P266" s="41">
        <v>1</v>
      </c>
      <c r="Q266" s="41" t="s">
        <v>2153</v>
      </c>
      <c r="R266" s="41" t="str">
        <f>VLOOKUP(Q:Q,Unit!B:D,2,0)</f>
        <v>unit</v>
      </c>
      <c r="S266" s="41" t="s">
        <v>75</v>
      </c>
      <c r="T266" s="41" t="str">
        <f>VLOOKUP(S:S,Promo!B:D,2,0)</f>
        <v>Promo EN</v>
      </c>
      <c r="W266" s="41">
        <v>89</v>
      </c>
      <c r="X266" s="41">
        <v>79</v>
      </c>
      <c r="AB266" s="41" t="s">
        <v>91</v>
      </c>
      <c r="AG266" s="41" t="s">
        <v>71</v>
      </c>
      <c r="AH266" s="41" t="s">
        <v>71</v>
      </c>
      <c r="AI266" s="41" t="s">
        <v>71</v>
      </c>
      <c r="AJ266" s="41" t="s">
        <v>71</v>
      </c>
      <c r="AK266" s="41" t="s">
        <v>71</v>
      </c>
      <c r="AL266" s="41" t="s">
        <v>71</v>
      </c>
      <c r="BS266" s="41" t="s">
        <v>2058</v>
      </c>
      <c r="BT266" s="41" t="s">
        <v>72</v>
      </c>
      <c r="BW266" s="41" t="s">
        <v>72</v>
      </c>
      <c r="BX266" s="41">
        <f>VLOOKUP(B:B,Brand!B:D,3,0)</f>
        <v>394</v>
      </c>
      <c r="BY266" s="41">
        <f>VLOOKUP(M:M,Unit!B:D,3,0)</f>
        <v>2</v>
      </c>
      <c r="BZ266" s="41">
        <f>VLOOKUP(S:S,Promo!B:D,3,0)</f>
        <v>0</v>
      </c>
    </row>
    <row r="267" spans="1:78" s="41" customFormat="1" ht="15.75" customHeight="1">
      <c r="A267" s="41">
        <v>126790</v>
      </c>
      <c r="B267" s="41" t="s">
        <v>267</v>
      </c>
      <c r="C267" s="65" t="str">
        <f>VLOOKUP(B:B,Brand!B:C,2,0)</f>
        <v>Benjarong Rice</v>
      </c>
      <c r="D267" s="63">
        <f>VLOOKUP(E:E,'Product Category'!J:O,6,FALSE)</f>
        <v>166</v>
      </c>
      <c r="E267" s="41" t="s">
        <v>2098</v>
      </c>
      <c r="F267" s="63" t="str">
        <f>VLOOKUP(E:E,'Product Category'!J:K,2,FALSE)</f>
        <v>36-Rice / Organics Herb / Dry Fruits</v>
      </c>
      <c r="G267" s="63" t="str">
        <f>VLOOKUP(F:F,'Product Category'!K:L,2,FALSE)</f>
        <v>6-Dry Food / Dry Groceries</v>
      </c>
      <c r="H267" s="41" t="s">
        <v>3660</v>
      </c>
      <c r="I267" s="41" t="s">
        <v>2333</v>
      </c>
      <c r="J267" s="41" t="s">
        <v>4679</v>
      </c>
      <c r="K267" s="41" t="s">
        <v>4680</v>
      </c>
      <c r="L267" s="41">
        <v>5</v>
      </c>
      <c r="M267" s="41" t="s">
        <v>79</v>
      </c>
      <c r="N267" s="41" t="str">
        <f>VLOOKUP(M:M,Unit!B:C,2,0)</f>
        <v>kg</v>
      </c>
      <c r="O267" s="41" t="s">
        <v>67</v>
      </c>
      <c r="P267" s="41">
        <v>1</v>
      </c>
      <c r="Q267" s="41" t="s">
        <v>2153</v>
      </c>
      <c r="R267" s="41" t="str">
        <f>VLOOKUP(Q:Q,Unit!B:D,2,0)</f>
        <v>unit</v>
      </c>
      <c r="S267" s="41" t="s">
        <v>75</v>
      </c>
      <c r="T267" s="41" t="str">
        <f>VLOOKUP(S:S,Promo!B:D,2,0)</f>
        <v>Promo EN</v>
      </c>
      <c r="W267" s="41">
        <v>89</v>
      </c>
      <c r="X267" s="41">
        <v>79</v>
      </c>
      <c r="AB267" s="41" t="s">
        <v>91</v>
      </c>
      <c r="AG267" s="41" t="s">
        <v>71</v>
      </c>
      <c r="AH267" s="41" t="s">
        <v>71</v>
      </c>
      <c r="AI267" s="41" t="s">
        <v>71</v>
      </c>
      <c r="AJ267" s="41" t="s">
        <v>71</v>
      </c>
      <c r="AK267" s="41" t="s">
        <v>71</v>
      </c>
      <c r="AL267" s="41" t="s">
        <v>71</v>
      </c>
      <c r="AP267" s="41" t="s">
        <v>3501</v>
      </c>
      <c r="BS267" s="41" t="s">
        <v>2058</v>
      </c>
      <c r="BT267" s="41" t="s">
        <v>72</v>
      </c>
      <c r="BW267" s="41" t="s">
        <v>72</v>
      </c>
      <c r="BX267" s="41">
        <f>VLOOKUP(B:B,Brand!B:D,3,0)</f>
        <v>38</v>
      </c>
      <c r="BY267" s="41">
        <f>VLOOKUP(M:M,Unit!B:D,3,0)</f>
        <v>2</v>
      </c>
      <c r="BZ267" s="41">
        <f>VLOOKUP(S:S,Promo!B:D,3,0)</f>
        <v>0</v>
      </c>
    </row>
    <row r="268" spans="1:78" s="41" customFormat="1" ht="15.75" customHeight="1">
      <c r="A268" s="41">
        <v>148700</v>
      </c>
      <c r="B268" s="41" t="s">
        <v>2790</v>
      </c>
      <c r="C268" s="65" t="str">
        <f>VLOOKUP(B:B,Brand!B:C,2,0)</f>
        <v>Royal Umbrella</v>
      </c>
      <c r="D268" s="63">
        <f>VLOOKUP(E:E,'Product Category'!J:O,6,FALSE)</f>
        <v>166</v>
      </c>
      <c r="E268" s="41" t="s">
        <v>2098</v>
      </c>
      <c r="F268" s="63" t="str">
        <f>VLOOKUP(E:E,'Product Category'!J:K,2,FALSE)</f>
        <v>36-Rice / Organics Herb / Dry Fruits</v>
      </c>
      <c r="G268" s="63" t="str">
        <f>VLOOKUP(F:F,'Product Category'!K:L,2,FALSE)</f>
        <v>6-Dry Food / Dry Groceries</v>
      </c>
      <c r="H268" s="41" t="s">
        <v>3664</v>
      </c>
      <c r="I268" s="41" t="s">
        <v>3665</v>
      </c>
      <c r="J268" s="41" t="s">
        <v>4687</v>
      </c>
      <c r="K268" s="41" t="s">
        <v>4688</v>
      </c>
      <c r="L268" s="41">
        <v>5</v>
      </c>
      <c r="M268" s="41" t="s">
        <v>79</v>
      </c>
      <c r="N268" s="41" t="str">
        <f>VLOOKUP(M:M,Unit!B:C,2,0)</f>
        <v>kg</v>
      </c>
      <c r="O268" s="41" t="s">
        <v>67</v>
      </c>
      <c r="P268" s="41">
        <v>1</v>
      </c>
      <c r="Q268" s="41" t="s">
        <v>2153</v>
      </c>
      <c r="R268" s="41" t="str">
        <f>VLOOKUP(Q:Q,Unit!B:D,2,0)</f>
        <v>unit</v>
      </c>
      <c r="S268" s="41" t="s">
        <v>75</v>
      </c>
      <c r="T268" s="41" t="str">
        <f>VLOOKUP(S:S,Promo!B:D,2,0)</f>
        <v>Promo EN</v>
      </c>
      <c r="W268" s="41">
        <v>170</v>
      </c>
      <c r="X268" s="41">
        <v>129</v>
      </c>
      <c r="AB268" s="41" t="s">
        <v>91</v>
      </c>
      <c r="AG268" s="41" t="s">
        <v>71</v>
      </c>
      <c r="AH268" s="41" t="s">
        <v>71</v>
      </c>
      <c r="AI268" s="41" t="s">
        <v>71</v>
      </c>
      <c r="AJ268" s="41" t="s">
        <v>3388</v>
      </c>
      <c r="AK268" s="41" t="s">
        <v>71</v>
      </c>
      <c r="AL268" s="41" t="s">
        <v>71</v>
      </c>
      <c r="BS268" s="41" t="s">
        <v>2058</v>
      </c>
      <c r="BT268" s="41" t="s">
        <v>72</v>
      </c>
      <c r="BW268" s="41" t="s">
        <v>72</v>
      </c>
      <c r="BX268" s="41">
        <f>VLOOKUP(B:B,Brand!B:D,3,0)</f>
        <v>1163</v>
      </c>
      <c r="BY268" s="41">
        <f>VLOOKUP(M:M,Unit!B:D,3,0)</f>
        <v>2</v>
      </c>
      <c r="BZ268" s="41">
        <f>VLOOKUP(S:S,Promo!B:D,3,0)</f>
        <v>0</v>
      </c>
    </row>
    <row r="269" spans="1:78" s="41" customFormat="1" ht="15.75" customHeight="1">
      <c r="A269" s="41">
        <v>198882</v>
      </c>
      <c r="B269" s="41" t="s">
        <v>162</v>
      </c>
      <c r="C269" s="65" t="str">
        <f>VLOOKUP(B:B,Brand!B:C,2,0)</f>
        <v>Sandee rice</v>
      </c>
      <c r="D269" s="63">
        <f>VLOOKUP(E:E,'Product Category'!J:O,6,FALSE)</f>
        <v>166</v>
      </c>
      <c r="E269" s="41" t="s">
        <v>2098</v>
      </c>
      <c r="F269" s="63" t="str">
        <f>VLOOKUP(E:E,'Product Category'!J:K,2,FALSE)</f>
        <v>36-Rice / Organics Herb / Dry Fruits</v>
      </c>
      <c r="G269" s="63" t="str">
        <f>VLOOKUP(F:F,'Product Category'!K:L,2,FALSE)</f>
        <v>6-Dry Food / Dry Groceries</v>
      </c>
      <c r="H269" s="41" t="s">
        <v>2394</v>
      </c>
      <c r="I269" s="41" t="s">
        <v>3954</v>
      </c>
      <c r="J269" s="41" t="s">
        <v>4857</v>
      </c>
      <c r="K269" s="41" t="s">
        <v>4858</v>
      </c>
      <c r="L269" s="41">
        <v>5</v>
      </c>
      <c r="M269" s="41" t="s">
        <v>79</v>
      </c>
      <c r="N269" s="41" t="str">
        <f>VLOOKUP(M:M,Unit!B:C,2,0)</f>
        <v>kg</v>
      </c>
      <c r="O269" s="41" t="s">
        <v>67</v>
      </c>
      <c r="P269" s="41">
        <v>1</v>
      </c>
      <c r="Q269" s="41" t="s">
        <v>2153</v>
      </c>
      <c r="R269" s="41" t="str">
        <f>VLOOKUP(Q:Q,Unit!B:D,2,0)</f>
        <v>unit</v>
      </c>
      <c r="S269" s="41" t="s">
        <v>75</v>
      </c>
      <c r="T269" s="41" t="str">
        <f>VLOOKUP(S:S,Promo!B:D,2,0)</f>
        <v>Promo EN</v>
      </c>
      <c r="W269" s="41">
        <v>89</v>
      </c>
      <c r="X269" s="41">
        <v>75</v>
      </c>
      <c r="AB269" s="41" t="s">
        <v>2056</v>
      </c>
      <c r="AF269" s="41" t="s">
        <v>3387</v>
      </c>
      <c r="AG269" s="41" t="s">
        <v>71</v>
      </c>
      <c r="AH269" s="41" t="s">
        <v>71</v>
      </c>
      <c r="AI269" s="41" t="s">
        <v>71</v>
      </c>
      <c r="AJ269" s="41" t="s">
        <v>3388</v>
      </c>
      <c r="AK269" s="41" t="s">
        <v>71</v>
      </c>
      <c r="AL269" s="41" t="s">
        <v>71</v>
      </c>
      <c r="BS269" s="41" t="s">
        <v>2058</v>
      </c>
      <c r="BT269" s="41" t="s">
        <v>72</v>
      </c>
      <c r="BW269" s="41" t="s">
        <v>72</v>
      </c>
      <c r="BX269" s="41">
        <f>VLOOKUP(B:B,Brand!B:D,3,0)</f>
        <v>39</v>
      </c>
      <c r="BY269" s="41">
        <f>VLOOKUP(M:M,Unit!B:D,3,0)</f>
        <v>2</v>
      </c>
      <c r="BZ269" s="41">
        <f>VLOOKUP(S:S,Promo!B:D,3,0)</f>
        <v>0</v>
      </c>
    </row>
    <row r="270" spans="1:78" s="41" customFormat="1" ht="15.75" customHeight="1">
      <c r="A270" s="41">
        <v>110462</v>
      </c>
      <c r="B270" s="41" t="s">
        <v>131</v>
      </c>
      <c r="C270" s="65" t="str">
        <f>VLOOKUP(B:B,Brand!B:C,2,0)</f>
        <v>Pikulkaew</v>
      </c>
      <c r="D270" s="63">
        <f>VLOOKUP(E:E,'Product Category'!J:O,6,FALSE)</f>
        <v>166</v>
      </c>
      <c r="E270" s="41" t="s">
        <v>2098</v>
      </c>
      <c r="F270" s="63" t="str">
        <f>VLOOKUP(E:E,'Product Category'!J:K,2,FALSE)</f>
        <v>36-Rice / Organics Herb / Dry Fruits</v>
      </c>
      <c r="G270" s="63" t="str">
        <f>VLOOKUP(F:F,'Product Category'!K:L,2,FALSE)</f>
        <v>6-Dry Food / Dry Groceries</v>
      </c>
      <c r="H270" s="41" t="s">
        <v>4215</v>
      </c>
      <c r="I270" s="41" t="s">
        <v>4216</v>
      </c>
      <c r="J270" s="41" t="s">
        <v>5055</v>
      </c>
      <c r="K270" s="41" t="s">
        <v>5056</v>
      </c>
      <c r="L270" s="41">
        <v>5</v>
      </c>
      <c r="M270" s="41" t="s">
        <v>79</v>
      </c>
      <c r="N270" s="41" t="str">
        <f>VLOOKUP(M:M,Unit!B:C,2,0)</f>
        <v>kg</v>
      </c>
      <c r="O270" s="41" t="s">
        <v>67</v>
      </c>
      <c r="P270" s="41">
        <v>1</v>
      </c>
      <c r="Q270" s="41" t="s">
        <v>2153</v>
      </c>
      <c r="R270" s="41" t="str">
        <f>VLOOKUP(Q:Q,Unit!B:D,2,0)</f>
        <v>unit</v>
      </c>
      <c r="S270" s="41" t="s">
        <v>75</v>
      </c>
      <c r="T270" s="41" t="str">
        <f>VLOOKUP(S:S,Promo!B:D,2,0)</f>
        <v>Promo EN</v>
      </c>
      <c r="W270" s="41">
        <v>89</v>
      </c>
      <c r="X270" s="41">
        <v>74</v>
      </c>
      <c r="AB270" s="41" t="s">
        <v>2062</v>
      </c>
      <c r="AG270" s="41" t="s">
        <v>71</v>
      </c>
      <c r="AH270" s="41" t="s">
        <v>71</v>
      </c>
      <c r="AI270" s="41" t="s">
        <v>71</v>
      </c>
      <c r="AJ270" s="41" t="s">
        <v>3388</v>
      </c>
      <c r="AK270" s="41" t="s">
        <v>71</v>
      </c>
      <c r="AL270" s="41" t="s">
        <v>71</v>
      </c>
      <c r="BS270" s="41" t="s">
        <v>2058</v>
      </c>
      <c r="BT270" s="41" t="s">
        <v>72</v>
      </c>
      <c r="BW270" s="41" t="s">
        <v>72</v>
      </c>
      <c r="BX270" s="41">
        <f>VLOOKUP(B:B,Brand!B:D,3,0)</f>
        <v>938</v>
      </c>
      <c r="BY270" s="41">
        <f>VLOOKUP(M:M,Unit!B:D,3,0)</f>
        <v>2</v>
      </c>
      <c r="BZ270" s="41">
        <f>VLOOKUP(S:S,Promo!B:D,3,0)</f>
        <v>0</v>
      </c>
    </row>
    <row r="271" spans="1:78" s="41" customFormat="1" ht="15.75" customHeight="1">
      <c r="A271" s="41">
        <v>180321</v>
      </c>
      <c r="B271" s="41" t="s">
        <v>97</v>
      </c>
      <c r="C271" s="65" t="str">
        <f>VLOOKUP(B:B,Brand!B:C,2,0)</f>
        <v>aro</v>
      </c>
      <c r="D271" s="63">
        <f>VLOOKUP(E:E,'Product Category'!J:O,6,FALSE)</f>
        <v>166</v>
      </c>
      <c r="E271" s="41" t="s">
        <v>2098</v>
      </c>
      <c r="F271" s="63" t="str">
        <f>VLOOKUP(E:E,'Product Category'!J:K,2,FALSE)</f>
        <v>36-Rice / Organics Herb / Dry Fruits</v>
      </c>
      <c r="G271" s="63" t="str">
        <f>VLOOKUP(F:F,'Product Category'!K:L,2,FALSE)</f>
        <v>6-Dry Food / Dry Groceries</v>
      </c>
      <c r="H271" s="41" t="s">
        <v>4373</v>
      </c>
      <c r="I271" s="41" t="s">
        <v>2335</v>
      </c>
      <c r="J271" s="41" t="s">
        <v>5136</v>
      </c>
      <c r="K271" s="41" t="s">
        <v>5137</v>
      </c>
      <c r="L271" s="41">
        <v>5</v>
      </c>
      <c r="M271" s="41" t="s">
        <v>79</v>
      </c>
      <c r="N271" s="41" t="str">
        <f>VLOOKUP(M:M,Unit!B:C,2,0)</f>
        <v>kg</v>
      </c>
      <c r="O271" s="41" t="s">
        <v>67</v>
      </c>
      <c r="P271" s="41">
        <v>1</v>
      </c>
      <c r="Q271" s="41" t="s">
        <v>179</v>
      </c>
      <c r="R271" s="41" t="str">
        <f>VLOOKUP(Q:Q,Unit!B:D,2,0)</f>
        <v>pack</v>
      </c>
      <c r="S271" s="41" t="s">
        <v>75</v>
      </c>
      <c r="T271" s="41" t="str">
        <f>VLOOKUP(S:S,Promo!B:D,2,0)</f>
        <v>Promo EN</v>
      </c>
      <c r="W271" s="41">
        <v>149</v>
      </c>
      <c r="X271" s="41">
        <v>125</v>
      </c>
      <c r="AB271" s="41" t="s">
        <v>2062</v>
      </c>
      <c r="AG271" s="41" t="s">
        <v>71</v>
      </c>
      <c r="AH271" s="41" t="s">
        <v>71</v>
      </c>
      <c r="AI271" s="41" t="s">
        <v>71</v>
      </c>
      <c r="AJ271" s="41" t="s">
        <v>3388</v>
      </c>
      <c r="AK271" s="41" t="s">
        <v>71</v>
      </c>
      <c r="AL271" s="41" t="s">
        <v>71</v>
      </c>
      <c r="BS271" s="41" t="s">
        <v>2058</v>
      </c>
      <c r="BT271" s="41" t="s">
        <v>72</v>
      </c>
      <c r="BW271" s="41" t="s">
        <v>72</v>
      </c>
      <c r="BX271" s="41">
        <f>VLOOKUP(B:B,Brand!B:D,3,0)</f>
        <v>692</v>
      </c>
      <c r="BY271" s="41">
        <f>VLOOKUP(M:M,Unit!B:D,3,0)</f>
        <v>2</v>
      </c>
      <c r="BZ271" s="41">
        <f>VLOOKUP(S:S,Promo!B:D,3,0)</f>
        <v>0</v>
      </c>
    </row>
    <row r="272" spans="1:78" s="41" customFormat="1" ht="15.75" customHeight="1">
      <c r="A272" s="41">
        <v>40651</v>
      </c>
      <c r="B272" s="41" t="s">
        <v>97</v>
      </c>
      <c r="C272" s="65" t="str">
        <f>VLOOKUP(B:B,Brand!B:C,2,0)</f>
        <v>aro</v>
      </c>
      <c r="D272" s="63">
        <f>VLOOKUP(E:E,'Product Category'!J:O,6,FALSE)</f>
        <v>168</v>
      </c>
      <c r="E272" s="41" t="s">
        <v>2067</v>
      </c>
      <c r="F272" s="63" t="str">
        <f>VLOOKUP(E:E,'Product Category'!J:K,2,FALSE)</f>
        <v>36-Rice / Organics Herb / Dry Fruits</v>
      </c>
      <c r="G272" s="63" t="str">
        <f>VLOOKUP(F:F,'Product Category'!K:L,2,FALSE)</f>
        <v>6-Dry Food / Dry Groceries</v>
      </c>
      <c r="H272" s="41" t="s">
        <v>2158</v>
      </c>
      <c r="I272" s="41" t="s">
        <v>2327</v>
      </c>
      <c r="J272" s="41" t="s">
        <v>4665</v>
      </c>
      <c r="K272" s="41" t="s">
        <v>4666</v>
      </c>
      <c r="L272" s="41">
        <v>5</v>
      </c>
      <c r="M272" s="41" t="s">
        <v>79</v>
      </c>
      <c r="N272" s="41" t="str">
        <f>VLOOKUP(M:M,Unit!B:C,2,0)</f>
        <v>kg</v>
      </c>
      <c r="O272" s="41" t="s">
        <v>67</v>
      </c>
      <c r="P272" s="41">
        <v>1</v>
      </c>
      <c r="Q272" s="41" t="s">
        <v>2153</v>
      </c>
      <c r="R272" s="41" t="str">
        <f>VLOOKUP(Q:Q,Unit!B:D,2,0)</f>
        <v>unit</v>
      </c>
      <c r="S272" s="41" t="s">
        <v>75</v>
      </c>
      <c r="T272" s="41" t="str">
        <f>VLOOKUP(S:S,Promo!B:D,2,0)</f>
        <v>Promo EN</v>
      </c>
      <c r="W272" s="41">
        <v>175</v>
      </c>
      <c r="X272" s="41">
        <v>145</v>
      </c>
      <c r="AB272" s="41" t="s">
        <v>91</v>
      </c>
      <c r="AG272" s="41" t="s">
        <v>71</v>
      </c>
      <c r="AH272" s="41" t="s">
        <v>71</v>
      </c>
      <c r="AI272" s="41" t="s">
        <v>71</v>
      </c>
      <c r="AJ272" s="41" t="s">
        <v>71</v>
      </c>
      <c r="AK272" s="41" t="s">
        <v>71</v>
      </c>
      <c r="AL272" s="41" t="s">
        <v>71</v>
      </c>
      <c r="BS272" s="41" t="s">
        <v>2058</v>
      </c>
      <c r="BT272" s="41" t="s">
        <v>72</v>
      </c>
      <c r="BW272" s="41" t="s">
        <v>72</v>
      </c>
      <c r="BX272" s="41">
        <f>VLOOKUP(B:B,Brand!B:D,3,0)</f>
        <v>692</v>
      </c>
      <c r="BY272" s="41">
        <f>VLOOKUP(M:M,Unit!B:D,3,0)</f>
        <v>2</v>
      </c>
      <c r="BZ272" s="41">
        <f>VLOOKUP(S:S,Promo!B:D,3,0)</f>
        <v>0</v>
      </c>
    </row>
    <row r="273" spans="1:78" s="41" customFormat="1" ht="15.75" customHeight="1">
      <c r="A273" s="41">
        <v>157729</v>
      </c>
      <c r="B273" s="41" t="s">
        <v>390</v>
      </c>
      <c r="C273" s="65" t="str">
        <f>VLOOKUP(B:B,Brand!B:C,2,0)</f>
        <v>Double Pagoda</v>
      </c>
      <c r="D273" s="63">
        <f>VLOOKUP(E:E,'Product Category'!J:O,6,FALSE)</f>
        <v>170</v>
      </c>
      <c r="E273" s="41" t="s">
        <v>2084</v>
      </c>
      <c r="F273" s="63" t="str">
        <f>VLOOKUP(E:E,'Product Category'!J:K,2,FALSE)</f>
        <v>36-Rice / Organics Herb / Dry Fruits</v>
      </c>
      <c r="G273" s="63" t="str">
        <f>VLOOKUP(F:F,'Product Category'!K:L,2,FALSE)</f>
        <v>6-Dry Food / Dry Groceries</v>
      </c>
      <c r="H273" s="41" t="s">
        <v>2184</v>
      </c>
      <c r="I273" s="41" t="s">
        <v>2319</v>
      </c>
      <c r="J273" s="41" t="s">
        <v>5047</v>
      </c>
      <c r="K273" s="41" t="s">
        <v>5048</v>
      </c>
      <c r="L273" s="41">
        <v>90</v>
      </c>
      <c r="M273" s="41" t="s">
        <v>83</v>
      </c>
      <c r="N273" s="41" t="str">
        <f>VLOOKUP(M:M,Unit!B:C,2,0)</f>
        <v>g</v>
      </c>
      <c r="O273" s="41" t="s">
        <v>67</v>
      </c>
      <c r="P273" s="41">
        <v>6</v>
      </c>
      <c r="Q273" s="41" t="s">
        <v>2153</v>
      </c>
      <c r="R273" s="41" t="str">
        <f>VLOOKUP(Q:Q,Unit!B:D,2,0)</f>
        <v>unit</v>
      </c>
      <c r="S273" s="41" t="s">
        <v>75</v>
      </c>
      <c r="T273" s="41" t="str">
        <f>VLOOKUP(S:S,Promo!B:D,2,0)</f>
        <v>Promo EN</v>
      </c>
      <c r="W273" s="41">
        <v>99</v>
      </c>
      <c r="X273" s="41">
        <v>90</v>
      </c>
      <c r="AB273" s="41" t="s">
        <v>2054</v>
      </c>
      <c r="AG273" s="41" t="s">
        <v>71</v>
      </c>
      <c r="AH273" s="41" t="s">
        <v>71</v>
      </c>
      <c r="AI273" s="41" t="s">
        <v>71</v>
      </c>
      <c r="AJ273" s="41" t="s">
        <v>71</v>
      </c>
      <c r="AK273" s="41" t="s">
        <v>71</v>
      </c>
      <c r="AL273" s="41" t="s">
        <v>71</v>
      </c>
      <c r="BS273" s="41" t="s">
        <v>2058</v>
      </c>
      <c r="BT273" s="41" t="s">
        <v>72</v>
      </c>
      <c r="BW273" s="41" t="s">
        <v>72</v>
      </c>
      <c r="BX273" s="41">
        <f>VLOOKUP(B:B,Brand!B:D,3,0)</f>
        <v>120</v>
      </c>
      <c r="BY273" s="41">
        <f>VLOOKUP(M:M,Unit!B:D,3,0)</f>
        <v>1</v>
      </c>
      <c r="BZ273" s="41">
        <f>VLOOKUP(S:S,Promo!B:D,3,0)</f>
        <v>0</v>
      </c>
    </row>
    <row r="274" spans="1:78" s="41" customFormat="1" ht="15.75" customHeight="1">
      <c r="A274" s="41">
        <v>136818</v>
      </c>
      <c r="B274" s="41" t="s">
        <v>1173</v>
      </c>
      <c r="C274" s="65" t="str">
        <f>VLOOKUP(B:B,Brand!B:C,2,0)</f>
        <v>Hongtong</v>
      </c>
      <c r="D274" s="63">
        <f>VLOOKUP(E:E,'Product Category'!J:O,6,FALSE)</f>
        <v>171</v>
      </c>
      <c r="E274" s="41" t="s">
        <v>2113</v>
      </c>
      <c r="F274" s="63" t="str">
        <f>VLOOKUP(E:E,'Product Category'!J:K,2,FALSE)</f>
        <v>36-Rice / Organics Herb / Dry Fruits</v>
      </c>
      <c r="G274" s="63" t="str">
        <f>VLOOKUP(F:F,'Product Category'!K:L,2,FALSE)</f>
        <v>6-Dry Food / Dry Groceries</v>
      </c>
      <c r="H274" s="41" t="s">
        <v>3390</v>
      </c>
      <c r="I274" s="41" t="s">
        <v>2335</v>
      </c>
      <c r="J274" s="65" t="str">
        <f>TRIM(CONCATENATE(B274," ",H274," ",L274," ",M274," ",O274,P274," ",Q274))</f>
        <v>หงษ์ทอง ข้าวขาว หอมมะลิเก่า 100% 5 กก. x1 ถุง</v>
      </c>
      <c r="K274" s="80" t="str">
        <f>TRIM(CONCATENATE(C274," ",I274," ",L274," ",N274," ",O274,P274," ",R274))</f>
        <v>Hongtong JASMINE RICE 100% 5 kg x1 unit</v>
      </c>
      <c r="L274" s="41">
        <v>5</v>
      </c>
      <c r="M274" s="41" t="s">
        <v>79</v>
      </c>
      <c r="N274" s="41" t="str">
        <f>VLOOKUP(M:M,Unit!B:C,2,0)</f>
        <v>kg</v>
      </c>
      <c r="O274" s="41" t="s">
        <v>67</v>
      </c>
      <c r="P274" s="41">
        <v>1</v>
      </c>
      <c r="Q274" s="41" t="s">
        <v>2153</v>
      </c>
      <c r="R274" s="41" t="str">
        <f>VLOOKUP(Q:Q,Unit!B:D,2,0)</f>
        <v>unit</v>
      </c>
      <c r="S274" s="41" t="s">
        <v>75</v>
      </c>
      <c r="T274" s="41" t="str">
        <f>VLOOKUP(S:S,Promo!B:D,2,0)</f>
        <v>Promo EN</v>
      </c>
      <c r="W274" s="41">
        <v>209</v>
      </c>
      <c r="X274" s="41">
        <v>159</v>
      </c>
      <c r="AB274" s="41" t="s">
        <v>91</v>
      </c>
      <c r="AF274" s="41" t="s">
        <v>3373</v>
      </c>
      <c r="AG274" s="41" t="s">
        <v>71</v>
      </c>
      <c r="AH274" s="41" t="s">
        <v>71</v>
      </c>
      <c r="AI274" s="41" t="s">
        <v>71</v>
      </c>
      <c r="AJ274" s="41" t="s">
        <v>71</v>
      </c>
      <c r="AK274" s="41" t="s">
        <v>71</v>
      </c>
      <c r="AL274" s="41" t="s">
        <v>71</v>
      </c>
      <c r="BS274" s="41" t="s">
        <v>2058</v>
      </c>
      <c r="BT274" s="41" t="s">
        <v>72</v>
      </c>
      <c r="BW274" s="41" t="s">
        <v>72</v>
      </c>
      <c r="BX274" s="41">
        <f>VLOOKUP(B:B,Brand!B:D,3,0)</f>
        <v>637</v>
      </c>
      <c r="BY274" s="41">
        <f>VLOOKUP(M:M,Unit!B:D,3,0)</f>
        <v>2</v>
      </c>
      <c r="BZ274" s="41">
        <f>VLOOKUP(S:S,Promo!B:D,3,0)</f>
        <v>0</v>
      </c>
    </row>
    <row r="275" spans="1:78" s="41" customFormat="1" ht="15.75" customHeight="1">
      <c r="A275" s="41">
        <v>127011</v>
      </c>
      <c r="B275" s="41" t="s">
        <v>267</v>
      </c>
      <c r="C275" s="65" t="str">
        <f>VLOOKUP(B:B,Brand!B:C,2,0)</f>
        <v>Benjarong Rice</v>
      </c>
      <c r="D275" s="63">
        <f>VLOOKUP(E:E,'Product Category'!J:O,6,FALSE)</f>
        <v>171</v>
      </c>
      <c r="E275" s="41" t="s">
        <v>2113</v>
      </c>
      <c r="F275" s="63" t="str">
        <f>VLOOKUP(E:E,'Product Category'!J:K,2,FALSE)</f>
        <v>36-Rice / Organics Herb / Dry Fruits</v>
      </c>
      <c r="G275" s="63" t="str">
        <f>VLOOKUP(F:F,'Product Category'!K:L,2,FALSE)</f>
        <v>6-Dry Food / Dry Groceries</v>
      </c>
      <c r="H275" s="41" t="s">
        <v>2334</v>
      </c>
      <c r="I275" s="41" t="s">
        <v>3499</v>
      </c>
      <c r="J275" s="41" t="s">
        <v>4565</v>
      </c>
      <c r="K275" s="41" t="s">
        <v>4566</v>
      </c>
      <c r="L275" s="41">
        <v>5</v>
      </c>
      <c r="M275" s="41" t="s">
        <v>79</v>
      </c>
      <c r="N275" s="41" t="str">
        <f>VLOOKUP(M:M,Unit!B:C,2,0)</f>
        <v>kg</v>
      </c>
      <c r="O275" s="41" t="s">
        <v>67</v>
      </c>
      <c r="P275" s="41">
        <v>1</v>
      </c>
      <c r="Q275" s="41" t="s">
        <v>179</v>
      </c>
      <c r="R275" s="41" t="str">
        <f>VLOOKUP(Q:Q,Unit!B:D,2,0)</f>
        <v>pack</v>
      </c>
      <c r="S275" s="41" t="s">
        <v>75</v>
      </c>
      <c r="T275" s="41" t="str">
        <f>VLOOKUP(S:S,Promo!B:D,2,0)</f>
        <v>Promo EN</v>
      </c>
      <c r="W275" s="41">
        <v>189</v>
      </c>
      <c r="X275" s="41">
        <v>149</v>
      </c>
      <c r="AB275" s="41" t="s">
        <v>2062</v>
      </c>
      <c r="AF275" s="41" t="s">
        <v>3500</v>
      </c>
      <c r="AG275" s="41" t="s">
        <v>1845</v>
      </c>
      <c r="AH275" s="41" t="s">
        <v>1846</v>
      </c>
      <c r="AI275" s="41" t="s">
        <v>71</v>
      </c>
      <c r="AJ275" s="41" t="s">
        <v>3388</v>
      </c>
      <c r="AK275" s="41" t="s">
        <v>71</v>
      </c>
      <c r="AL275" s="41" t="s">
        <v>71</v>
      </c>
      <c r="AP275" s="41" t="s">
        <v>3501</v>
      </c>
      <c r="BS275" s="41" t="s">
        <v>2058</v>
      </c>
      <c r="BT275" s="41" t="s">
        <v>72</v>
      </c>
      <c r="BW275" s="41" t="s">
        <v>72</v>
      </c>
      <c r="BX275" s="41">
        <f>VLOOKUP(B:B,Brand!B:D,3,0)</f>
        <v>38</v>
      </c>
      <c r="BY275" s="41">
        <f>VLOOKUP(M:M,Unit!B:D,3,0)</f>
        <v>2</v>
      </c>
      <c r="BZ275" s="41">
        <f>VLOOKUP(S:S,Promo!B:D,3,0)</f>
        <v>0</v>
      </c>
    </row>
    <row r="276" spans="1:78" s="41" customFormat="1" ht="15.75" customHeight="1">
      <c r="A276" s="41">
        <v>803943</v>
      </c>
      <c r="B276" s="41" t="s">
        <v>267</v>
      </c>
      <c r="C276" s="65" t="str">
        <f>VLOOKUP(B:B,Brand!B:C,2,0)</f>
        <v>Benjarong Rice</v>
      </c>
      <c r="D276" s="63">
        <f>VLOOKUP(E:E,'Product Category'!J:O,6,FALSE)</f>
        <v>171</v>
      </c>
      <c r="E276" s="41" t="s">
        <v>2113</v>
      </c>
      <c r="F276" s="63" t="str">
        <f>VLOOKUP(E:E,'Product Category'!J:K,2,FALSE)</f>
        <v>36-Rice / Organics Herb / Dry Fruits</v>
      </c>
      <c r="G276" s="63" t="str">
        <f>VLOOKUP(F:F,'Product Category'!K:L,2,FALSE)</f>
        <v>6-Dry Food / Dry Groceries</v>
      </c>
      <c r="H276" s="41" t="s">
        <v>3661</v>
      </c>
      <c r="I276" s="41" t="s">
        <v>2335</v>
      </c>
      <c r="J276" s="41" t="s">
        <v>4681</v>
      </c>
      <c r="K276" s="41" t="s">
        <v>4682</v>
      </c>
      <c r="L276" s="41">
        <v>48</v>
      </c>
      <c r="M276" s="41" t="s">
        <v>79</v>
      </c>
      <c r="N276" s="41" t="str">
        <f>VLOOKUP(M:M,Unit!B:C,2,0)</f>
        <v>kg</v>
      </c>
      <c r="O276" s="41" t="s">
        <v>67</v>
      </c>
      <c r="P276" s="41">
        <v>1</v>
      </c>
      <c r="Q276" s="41" t="s">
        <v>2153</v>
      </c>
      <c r="R276" s="41" t="str">
        <f>VLOOKUP(Q:Q,Unit!B:D,2,0)</f>
        <v>unit</v>
      </c>
      <c r="S276" s="41" t="s">
        <v>75</v>
      </c>
      <c r="T276" s="41" t="str">
        <f>VLOOKUP(S:S,Promo!B:D,2,0)</f>
        <v>Promo EN</v>
      </c>
      <c r="W276" s="41">
        <v>1470</v>
      </c>
      <c r="X276" s="41">
        <v>1420</v>
      </c>
      <c r="AB276" s="41" t="s">
        <v>91</v>
      </c>
      <c r="AG276" s="41" t="s">
        <v>71</v>
      </c>
      <c r="AH276" s="41" t="s">
        <v>71</v>
      </c>
      <c r="AI276" s="41" t="s">
        <v>71</v>
      </c>
      <c r="AJ276" s="41" t="s">
        <v>71</v>
      </c>
      <c r="AK276" s="41" t="s">
        <v>71</v>
      </c>
      <c r="AL276" s="41" t="s">
        <v>71</v>
      </c>
      <c r="AP276" s="41" t="s">
        <v>3501</v>
      </c>
      <c r="BS276" s="41" t="s">
        <v>2058</v>
      </c>
      <c r="BT276" s="41" t="s">
        <v>72</v>
      </c>
      <c r="BW276" s="41" t="s">
        <v>72</v>
      </c>
      <c r="BX276" s="41">
        <f>VLOOKUP(B:B,Brand!B:D,3,0)</f>
        <v>38</v>
      </c>
      <c r="BY276" s="41">
        <f>VLOOKUP(M:M,Unit!B:D,3,0)</f>
        <v>2</v>
      </c>
      <c r="BZ276" s="41">
        <f>VLOOKUP(S:S,Promo!B:D,3,0)</f>
        <v>0</v>
      </c>
    </row>
    <row r="277" spans="1:78" s="41" customFormat="1" ht="15.75" customHeight="1">
      <c r="A277" s="41">
        <v>803945</v>
      </c>
      <c r="B277" s="41" t="s">
        <v>267</v>
      </c>
      <c r="C277" s="65" t="str">
        <f>VLOOKUP(B:B,Brand!B:C,2,0)</f>
        <v>Benjarong Rice</v>
      </c>
      <c r="D277" s="63">
        <f>VLOOKUP(E:E,'Product Category'!J:O,6,FALSE)</f>
        <v>171</v>
      </c>
      <c r="E277" s="41" t="s">
        <v>2113</v>
      </c>
      <c r="F277" s="63" t="str">
        <f>VLOOKUP(E:E,'Product Category'!J:K,2,FALSE)</f>
        <v>36-Rice / Organics Herb / Dry Fruits</v>
      </c>
      <c r="G277" s="63" t="str">
        <f>VLOOKUP(F:F,'Product Category'!K:L,2,FALSE)</f>
        <v>6-Dry Food / Dry Groceries</v>
      </c>
      <c r="H277" s="41" t="s">
        <v>3661</v>
      </c>
      <c r="I277" s="41" t="s">
        <v>3662</v>
      </c>
      <c r="J277" s="41" t="s">
        <v>4683</v>
      </c>
      <c r="K277" s="41" t="s">
        <v>4684</v>
      </c>
      <c r="L277" s="41">
        <v>1</v>
      </c>
      <c r="M277" s="41" t="s">
        <v>79</v>
      </c>
      <c r="N277" s="41" t="str">
        <f>VLOOKUP(M:M,Unit!B:C,2,0)</f>
        <v>kg</v>
      </c>
      <c r="O277" s="41" t="s">
        <v>67</v>
      </c>
      <c r="P277" s="41">
        <v>20</v>
      </c>
      <c r="Q277" s="41" t="s">
        <v>2153</v>
      </c>
      <c r="R277" s="41" t="str">
        <f>VLOOKUP(Q:Q,Unit!B:D,2,0)</f>
        <v>unit</v>
      </c>
      <c r="S277" s="41" t="s">
        <v>75</v>
      </c>
      <c r="T277" s="41" t="str">
        <f>VLOOKUP(S:S,Promo!B:D,2,0)</f>
        <v>Promo EN</v>
      </c>
      <c r="W277" s="41">
        <v>720</v>
      </c>
      <c r="X277" s="41">
        <v>590</v>
      </c>
      <c r="AB277" s="41" t="s">
        <v>91</v>
      </c>
      <c r="AG277" s="41" t="s">
        <v>71</v>
      </c>
      <c r="AH277" s="41" t="s">
        <v>71</v>
      </c>
      <c r="AI277" s="41" t="s">
        <v>71</v>
      </c>
      <c r="AJ277" s="41" t="s">
        <v>71</v>
      </c>
      <c r="AK277" s="41" t="s">
        <v>71</v>
      </c>
      <c r="AL277" s="41" t="s">
        <v>71</v>
      </c>
      <c r="BS277" s="41" t="s">
        <v>2058</v>
      </c>
      <c r="BT277" s="41" t="s">
        <v>72</v>
      </c>
      <c r="BW277" s="41" t="s">
        <v>72</v>
      </c>
      <c r="BX277" s="41">
        <f>VLOOKUP(B:B,Brand!B:D,3,0)</f>
        <v>38</v>
      </c>
      <c r="BY277" s="41">
        <f>VLOOKUP(M:M,Unit!B:D,3,0)</f>
        <v>2</v>
      </c>
      <c r="BZ277" s="41">
        <f>VLOOKUP(S:S,Promo!B:D,3,0)</f>
        <v>0</v>
      </c>
    </row>
    <row r="278" spans="1:78" s="41" customFormat="1" ht="15.75" customHeight="1">
      <c r="A278" s="41">
        <v>163724</v>
      </c>
      <c r="B278" s="41" t="s">
        <v>805</v>
      </c>
      <c r="C278" s="65" t="str">
        <f>VLOOKUP(B:B,Brand!B:C,2,0)</f>
        <v>Pin Ngoen</v>
      </c>
      <c r="D278" s="63">
        <f>VLOOKUP(E:E,'Product Category'!J:O,6,FALSE)</f>
        <v>171</v>
      </c>
      <c r="E278" s="41" t="s">
        <v>2113</v>
      </c>
      <c r="F278" s="63" t="str">
        <f>VLOOKUP(E:E,'Product Category'!J:K,2,FALSE)</f>
        <v>36-Rice / Organics Herb / Dry Fruits</v>
      </c>
      <c r="G278" s="63" t="str">
        <f>VLOOKUP(F:F,'Product Category'!K:L,2,FALSE)</f>
        <v>6-Dry Food / Dry Groceries</v>
      </c>
      <c r="H278" s="41" t="s">
        <v>3666</v>
      </c>
      <c r="I278" s="41" t="s">
        <v>2335</v>
      </c>
      <c r="J278" s="41" t="s">
        <v>4689</v>
      </c>
      <c r="K278" s="41" t="s">
        <v>4690</v>
      </c>
      <c r="L278" s="41">
        <v>5</v>
      </c>
      <c r="M278" s="41" t="s">
        <v>79</v>
      </c>
      <c r="N278" s="41" t="str">
        <f>VLOOKUP(M:M,Unit!B:C,2,0)</f>
        <v>kg</v>
      </c>
      <c r="O278" s="41" t="s">
        <v>67</v>
      </c>
      <c r="P278" s="41">
        <v>1</v>
      </c>
      <c r="Q278" s="41" t="s">
        <v>2153</v>
      </c>
      <c r="R278" s="41" t="str">
        <f>VLOOKUP(Q:Q,Unit!B:D,2,0)</f>
        <v>unit</v>
      </c>
      <c r="S278" s="41" t="s">
        <v>75</v>
      </c>
      <c r="T278" s="41" t="str">
        <f>VLOOKUP(S:S,Promo!B:D,2,0)</f>
        <v>Promo EN</v>
      </c>
      <c r="W278" s="41">
        <v>170</v>
      </c>
      <c r="X278" s="41">
        <v>159</v>
      </c>
      <c r="AB278" s="41" t="s">
        <v>91</v>
      </c>
      <c r="AG278" s="41" t="s">
        <v>71</v>
      </c>
      <c r="AH278" s="41" t="s">
        <v>71</v>
      </c>
      <c r="AI278" s="41" t="s">
        <v>71</v>
      </c>
      <c r="AJ278" s="41" t="s">
        <v>71</v>
      </c>
      <c r="AK278" s="41" t="s">
        <v>71</v>
      </c>
      <c r="AL278" s="41" t="s">
        <v>71</v>
      </c>
      <c r="BS278" s="41" t="s">
        <v>2058</v>
      </c>
      <c r="BT278" s="41" t="s">
        <v>72</v>
      </c>
      <c r="BW278" s="41" t="s">
        <v>72</v>
      </c>
      <c r="BX278" s="41">
        <f>VLOOKUP(B:B,Brand!B:D,3,0)</f>
        <v>394</v>
      </c>
      <c r="BY278" s="41">
        <f>VLOOKUP(M:M,Unit!B:D,3,0)</f>
        <v>2</v>
      </c>
      <c r="BZ278" s="41">
        <f>VLOOKUP(S:S,Promo!B:D,3,0)</f>
        <v>0</v>
      </c>
    </row>
    <row r="279" spans="1:78" s="41" customFormat="1" ht="15.75" customHeight="1">
      <c r="A279" s="41">
        <v>374933</v>
      </c>
      <c r="B279" s="41" t="s">
        <v>421</v>
      </c>
      <c r="C279" s="65" t="str">
        <f>VLOOKUP(B:B,Brand!B:C,2,0)</f>
        <v>Chaokoh</v>
      </c>
      <c r="D279" s="63">
        <f>VLOOKUP(E:E,'Product Category'!J:O,6,FALSE)</f>
        <v>172</v>
      </c>
      <c r="E279" s="41" t="s">
        <v>2127</v>
      </c>
      <c r="F279" s="63" t="str">
        <f>VLOOKUP(E:E,'Product Category'!J:K,2,FALSE)</f>
        <v>37-Cooking Ingredients</v>
      </c>
      <c r="G279" s="63" t="str">
        <f>VLOOKUP(F:F,'Product Category'!K:L,2,FALSE)</f>
        <v>6-Dry Food / Dry Groceries</v>
      </c>
      <c r="H279" s="41" t="s">
        <v>4063</v>
      </c>
      <c r="I279" s="41" t="s">
        <v>4064</v>
      </c>
      <c r="J279" s="41" t="s">
        <v>4944</v>
      </c>
      <c r="K279" s="41" t="s">
        <v>4945</v>
      </c>
      <c r="L279" s="41">
        <v>1000</v>
      </c>
      <c r="M279" s="41" t="s">
        <v>66</v>
      </c>
      <c r="N279" s="41" t="str">
        <f>VLOOKUP(M:M,Unit!B:C,2,0)</f>
        <v>ml</v>
      </c>
      <c r="O279" s="41" t="s">
        <v>67</v>
      </c>
      <c r="P279" s="41">
        <v>1</v>
      </c>
      <c r="Q279" s="41" t="s">
        <v>68</v>
      </c>
      <c r="R279" s="41" t="str">
        <f>VLOOKUP(Q:Q,Unit!B:D,2,0)</f>
        <v>pc</v>
      </c>
      <c r="S279" s="41" t="s">
        <v>75</v>
      </c>
      <c r="T279" s="41" t="str">
        <f>VLOOKUP(S:S,Promo!B:D,2,0)</f>
        <v>Promo EN</v>
      </c>
      <c r="W279" s="41">
        <v>59</v>
      </c>
      <c r="X279" s="41">
        <v>55</v>
      </c>
      <c r="AB279" s="41" t="s">
        <v>2056</v>
      </c>
      <c r="AG279" s="41" t="s">
        <v>71</v>
      </c>
      <c r="AH279" s="41" t="s">
        <v>71</v>
      </c>
      <c r="AI279" s="41" t="s">
        <v>71</v>
      </c>
      <c r="AJ279" s="41" t="s">
        <v>71</v>
      </c>
      <c r="AK279" s="41" t="s">
        <v>71</v>
      </c>
      <c r="AL279" s="41" t="s">
        <v>71</v>
      </c>
      <c r="AU279" s="41" t="s">
        <v>4065</v>
      </c>
      <c r="AV279" s="41" t="s">
        <v>2174</v>
      </c>
      <c r="BS279" s="41" t="s">
        <v>2058</v>
      </c>
      <c r="BT279" s="41" t="s">
        <v>72</v>
      </c>
      <c r="BW279" s="41" t="s">
        <v>72</v>
      </c>
      <c r="BX279" s="41">
        <f>VLOOKUP(B:B,Brand!B:D,3,0)</f>
        <v>139</v>
      </c>
      <c r="BY279" s="41">
        <f>VLOOKUP(M:M,Unit!B:D,3,0)</f>
        <v>4</v>
      </c>
      <c r="BZ279" s="41">
        <f>VLOOKUP(S:S,Promo!B:D,3,0)</f>
        <v>0</v>
      </c>
    </row>
    <row r="280" spans="1:78" s="41" customFormat="1" ht="15.75" customHeight="1">
      <c r="A280" s="41">
        <v>198417</v>
      </c>
      <c r="B280" s="41" t="s">
        <v>98</v>
      </c>
      <c r="C280" s="65" t="str">
        <f>VLOOKUP(B:B,Brand!B:C,2,0)</f>
        <v>Rosdee</v>
      </c>
      <c r="D280" s="63">
        <f>VLOOKUP(E:E,'Product Category'!J:O,6,FALSE)</f>
        <v>173</v>
      </c>
      <c r="E280" s="41" t="s">
        <v>2060</v>
      </c>
      <c r="F280" s="63" t="str">
        <f>VLOOKUP(E:E,'Product Category'!J:K,2,FALSE)</f>
        <v>37-Cooking Ingredients</v>
      </c>
      <c r="G280" s="63" t="str">
        <f>VLOOKUP(F:F,'Product Category'!K:L,2,FALSE)</f>
        <v>6-Dry Food / Dry Groceries</v>
      </c>
      <c r="H280" s="41" t="s">
        <v>3422</v>
      </c>
      <c r="I280" s="41" t="s">
        <v>3423</v>
      </c>
      <c r="J280" s="65" t="str">
        <f>TRIM(CONCATENATE(B280," ",H280," ",L280," ",M280," ",O280,P280," ",Q280))</f>
        <v>รสดี ซอสหมักย่าง ปรุงสำเร็จ 60 กรัม x10 ชิ้น</v>
      </c>
      <c r="K280" s="80" t="str">
        <f>TRIM(CONCATENATE(C280," ",I280," ",L280," ",N280," ",O280,P280," ",R280))</f>
        <v>Rosdee MARINATE&amp;GRILL 60 g x10 pc</v>
      </c>
      <c r="L280" s="41">
        <v>60</v>
      </c>
      <c r="M280" s="41" t="s">
        <v>83</v>
      </c>
      <c r="N280" s="41" t="str">
        <f>VLOOKUP(M:M,Unit!B:C,2,0)</f>
        <v>g</v>
      </c>
      <c r="O280" s="41" t="s">
        <v>67</v>
      </c>
      <c r="P280" s="41">
        <v>10</v>
      </c>
      <c r="Q280" s="41" t="s">
        <v>68</v>
      </c>
      <c r="R280" s="41" t="str">
        <f>VLOOKUP(Q:Q,Unit!B:D,2,0)</f>
        <v>pc</v>
      </c>
      <c r="S280" s="41" t="s">
        <v>75</v>
      </c>
      <c r="T280" s="41" t="str">
        <f>VLOOKUP(S:S,Promo!B:D,2,0)</f>
        <v>Promo EN</v>
      </c>
      <c r="W280" s="41">
        <v>125</v>
      </c>
      <c r="X280" s="41">
        <v>120</v>
      </c>
      <c r="AB280" s="41" t="s">
        <v>91</v>
      </c>
      <c r="AF280" s="41" t="s">
        <v>3373</v>
      </c>
      <c r="AG280" s="41" t="s">
        <v>71</v>
      </c>
      <c r="AH280" s="41" t="s">
        <v>71</v>
      </c>
      <c r="AI280" s="41" t="s">
        <v>71</v>
      </c>
      <c r="AJ280" s="41" t="s">
        <v>71</v>
      </c>
      <c r="AK280" s="41" t="s">
        <v>71</v>
      </c>
      <c r="AL280" s="41" t="s">
        <v>71</v>
      </c>
      <c r="AP280" s="41" t="s">
        <v>3424</v>
      </c>
      <c r="BS280" s="41" t="s">
        <v>2058</v>
      </c>
      <c r="BT280" s="41" t="s">
        <v>72</v>
      </c>
      <c r="BW280" s="41" t="s">
        <v>72</v>
      </c>
      <c r="BX280" s="41">
        <f>VLOOKUP(B:B,Brand!B:D,3,0)</f>
        <v>547</v>
      </c>
      <c r="BY280" s="41">
        <f>VLOOKUP(M:M,Unit!B:D,3,0)</f>
        <v>1</v>
      </c>
      <c r="BZ280" s="41">
        <f>VLOOKUP(S:S,Promo!B:D,3,0)</f>
        <v>0</v>
      </c>
    </row>
    <row r="281" spans="1:78" s="41" customFormat="1" ht="15.75" customHeight="1">
      <c r="A281" s="41">
        <v>144241</v>
      </c>
      <c r="B281" s="41" t="s">
        <v>98</v>
      </c>
      <c r="C281" s="65" t="str">
        <f>VLOOKUP(B:B,Brand!B:C,2,0)</f>
        <v>Rosdee</v>
      </c>
      <c r="D281" s="63">
        <f>VLOOKUP(E:E,'Product Category'!J:O,6,FALSE)</f>
        <v>173</v>
      </c>
      <c r="E281" s="41" t="s">
        <v>2060</v>
      </c>
      <c r="F281" s="63" t="str">
        <f>VLOOKUP(E:E,'Product Category'!J:K,2,FALSE)</f>
        <v>37-Cooking Ingredients</v>
      </c>
      <c r="G281" s="63" t="str">
        <f>VLOOKUP(F:F,'Product Category'!K:L,2,FALSE)</f>
        <v>6-Dry Food / Dry Groceries</v>
      </c>
      <c r="H281" s="41" t="s">
        <v>3425</v>
      </c>
      <c r="I281" s="41" t="s">
        <v>2308</v>
      </c>
      <c r="J281" s="65" t="str">
        <f>TRIM(CONCATENATE(B281," ",H281," ",L281," ",M281," ",O281,P281," ",Q281))</f>
        <v>รสดี ผงปรุงรส รสหมู 75 กรัม x10 ชิ้น</v>
      </c>
      <c r="K281" s="80" t="str">
        <f>TRIM(CONCATENATE(C281," ",I281," ",L281," ",N281," ",O281,P281," ",R281))</f>
        <v>Rosdee SEASONING PORK 75 g x10 pc</v>
      </c>
      <c r="L281" s="41">
        <v>75</v>
      </c>
      <c r="M281" s="41" t="s">
        <v>83</v>
      </c>
      <c r="N281" s="41" t="str">
        <f>VLOOKUP(M:M,Unit!B:C,2,0)</f>
        <v>g</v>
      </c>
      <c r="O281" s="41" t="s">
        <v>67</v>
      </c>
      <c r="P281" s="41">
        <v>10</v>
      </c>
      <c r="Q281" s="41" t="s">
        <v>68</v>
      </c>
      <c r="R281" s="41" t="str">
        <f>VLOOKUP(Q:Q,Unit!B:D,2,0)</f>
        <v>pc</v>
      </c>
      <c r="S281" s="41" t="s">
        <v>75</v>
      </c>
      <c r="T281" s="41" t="str">
        <f>VLOOKUP(S:S,Promo!B:D,2,0)</f>
        <v>Promo EN</v>
      </c>
      <c r="W281" s="41">
        <v>107</v>
      </c>
      <c r="X281" s="41">
        <v>102</v>
      </c>
      <c r="AB281" s="41" t="s">
        <v>91</v>
      </c>
      <c r="AF281" s="41" t="s">
        <v>3415</v>
      </c>
      <c r="AG281" s="41" t="s">
        <v>71</v>
      </c>
      <c r="AH281" s="41" t="s">
        <v>1846</v>
      </c>
      <c r="AI281" s="41" t="s">
        <v>71</v>
      </c>
      <c r="AJ281" s="41" t="s">
        <v>71</v>
      </c>
      <c r="AK281" s="41" t="s">
        <v>71</v>
      </c>
      <c r="AL281" s="41" t="s">
        <v>71</v>
      </c>
      <c r="AP281" s="41" t="s">
        <v>3424</v>
      </c>
      <c r="AU281" s="41" t="s">
        <v>2311</v>
      </c>
      <c r="AV281" s="41" t="s">
        <v>2161</v>
      </c>
      <c r="BS281" s="41" t="s">
        <v>2058</v>
      </c>
      <c r="BT281" s="41" t="s">
        <v>72</v>
      </c>
      <c r="BW281" s="41" t="s">
        <v>72</v>
      </c>
      <c r="BX281" s="41">
        <f>VLOOKUP(B:B,Brand!B:D,3,0)</f>
        <v>547</v>
      </c>
      <c r="BY281" s="41">
        <f>VLOOKUP(M:M,Unit!B:D,3,0)</f>
        <v>1</v>
      </c>
      <c r="BZ281" s="41">
        <f>VLOOKUP(S:S,Promo!B:D,3,0)</f>
        <v>0</v>
      </c>
    </row>
    <row r="282" spans="1:78" s="41" customFormat="1" ht="15.75" customHeight="1">
      <c r="A282" s="41">
        <v>144245</v>
      </c>
      <c r="B282" s="41" t="s">
        <v>98</v>
      </c>
      <c r="C282" s="65" t="str">
        <f>VLOOKUP(B:B,Brand!B:C,2,0)</f>
        <v>Rosdee</v>
      </c>
      <c r="D282" s="63">
        <f>VLOOKUP(E:E,'Product Category'!J:O,6,FALSE)</f>
        <v>173</v>
      </c>
      <c r="E282" s="41" t="s">
        <v>2060</v>
      </c>
      <c r="F282" s="63" t="str">
        <f>VLOOKUP(E:E,'Product Category'!J:K,2,FALSE)</f>
        <v>37-Cooking Ingredients</v>
      </c>
      <c r="G282" s="63" t="str">
        <f>VLOOKUP(F:F,'Product Category'!K:L,2,FALSE)</f>
        <v>6-Dry Food / Dry Groceries</v>
      </c>
      <c r="H282" s="41" t="s">
        <v>3426</v>
      </c>
      <c r="I282" s="41" t="s">
        <v>2309</v>
      </c>
      <c r="J282" s="65" t="str">
        <f>TRIM(CONCATENATE(B282," ",H282," ",L282," ",M282," ",O282,P282," ",Q282))</f>
        <v>รสดี ผงปรุงรส รสไก่ 75 กรัม x10 ชิ้น</v>
      </c>
      <c r="K282" s="80" t="str">
        <f>TRIM(CONCATENATE(C282," ",I282," ",L282," ",N282," ",O282,P282," ",R282))</f>
        <v>Rosdee SEASONING CHICKEN 75 g x10 pc</v>
      </c>
      <c r="L282" s="41">
        <v>75</v>
      </c>
      <c r="M282" s="41" t="s">
        <v>83</v>
      </c>
      <c r="N282" s="41" t="str">
        <f>VLOOKUP(M:M,Unit!B:C,2,0)</f>
        <v>g</v>
      </c>
      <c r="O282" s="41" t="s">
        <v>67</v>
      </c>
      <c r="P282" s="41">
        <v>10</v>
      </c>
      <c r="Q282" s="41" t="s">
        <v>68</v>
      </c>
      <c r="R282" s="41" t="str">
        <f>VLOOKUP(Q:Q,Unit!B:D,2,0)</f>
        <v>pc</v>
      </c>
      <c r="S282" s="41" t="s">
        <v>75</v>
      </c>
      <c r="T282" s="41" t="str">
        <f>VLOOKUP(S:S,Promo!B:D,2,0)</f>
        <v>Promo EN</v>
      </c>
      <c r="W282" s="41">
        <v>107</v>
      </c>
      <c r="X282" s="41">
        <v>102</v>
      </c>
      <c r="AB282" s="41" t="s">
        <v>91</v>
      </c>
      <c r="AF282" s="41" t="s">
        <v>3373</v>
      </c>
      <c r="AG282" s="41" t="s">
        <v>71</v>
      </c>
      <c r="AH282" s="41" t="s">
        <v>71</v>
      </c>
      <c r="AI282" s="41" t="s">
        <v>71</v>
      </c>
      <c r="AJ282" s="41" t="s">
        <v>71</v>
      </c>
      <c r="AK282" s="41" t="s">
        <v>71</v>
      </c>
      <c r="AL282" s="41" t="s">
        <v>71</v>
      </c>
      <c r="AP282" s="41" t="s">
        <v>3424</v>
      </c>
      <c r="AU282" s="41" t="s">
        <v>2292</v>
      </c>
      <c r="AV282" s="41" t="s">
        <v>2160</v>
      </c>
      <c r="BS282" s="41" t="s">
        <v>2058</v>
      </c>
      <c r="BT282" s="41" t="s">
        <v>72</v>
      </c>
      <c r="BW282" s="41" t="s">
        <v>72</v>
      </c>
      <c r="BX282" s="41">
        <f>VLOOKUP(B:B,Brand!B:D,3,0)</f>
        <v>547</v>
      </c>
      <c r="BY282" s="41">
        <f>VLOOKUP(M:M,Unit!B:D,3,0)</f>
        <v>1</v>
      </c>
      <c r="BZ282" s="41">
        <f>VLOOKUP(S:S,Promo!B:D,3,0)</f>
        <v>0</v>
      </c>
    </row>
    <row r="283" spans="1:78" s="41" customFormat="1" ht="15.75" customHeight="1">
      <c r="A283" s="41">
        <v>123182</v>
      </c>
      <c r="B283" s="41" t="s">
        <v>164</v>
      </c>
      <c r="C283" s="65" t="str">
        <f>VLOOKUP(B:B,Brand!B:C,2,0)</f>
        <v>Fa Thai</v>
      </c>
      <c r="D283" s="63">
        <f>VLOOKUP(E:E,'Product Category'!J:O,6,FALSE)</f>
        <v>173</v>
      </c>
      <c r="E283" s="41" t="s">
        <v>2060</v>
      </c>
      <c r="F283" s="63" t="str">
        <f>VLOOKUP(E:E,'Product Category'!J:K,2,FALSE)</f>
        <v>37-Cooking Ingredients</v>
      </c>
      <c r="G283" s="63" t="str">
        <f>VLOOKUP(F:F,'Product Category'!K:L,2,FALSE)</f>
        <v>6-Dry Food / Dry Groceries</v>
      </c>
      <c r="H283" s="41" t="s">
        <v>3515</v>
      </c>
      <c r="I283" s="41" t="s">
        <v>3516</v>
      </c>
      <c r="J283" s="41" t="s">
        <v>4575</v>
      </c>
      <c r="K283" s="41" t="s">
        <v>4576</v>
      </c>
      <c r="L283" s="41">
        <v>850</v>
      </c>
      <c r="M283" s="41" t="s">
        <v>83</v>
      </c>
      <c r="N283" s="41" t="str">
        <f>VLOOKUP(M:M,Unit!B:C,2,0)</f>
        <v>g</v>
      </c>
      <c r="O283" s="41" t="s">
        <v>67</v>
      </c>
      <c r="P283" s="41">
        <v>1</v>
      </c>
      <c r="Q283" s="41" t="s">
        <v>135</v>
      </c>
      <c r="R283" s="41" t="str">
        <f>VLOOKUP(Q:Q,Unit!B:D,2,0)</f>
        <v>g</v>
      </c>
      <c r="S283" s="41" t="s">
        <v>75</v>
      </c>
      <c r="T283" s="41" t="str">
        <f>VLOOKUP(S:S,Promo!B:D,2,0)</f>
        <v>Promo EN</v>
      </c>
      <c r="W283" s="41">
        <v>78</v>
      </c>
      <c r="X283" s="41">
        <v>72</v>
      </c>
      <c r="AB283" s="41" t="s">
        <v>2062</v>
      </c>
      <c r="AF283" s="41" t="s">
        <v>3373</v>
      </c>
      <c r="AG283" s="41" t="s">
        <v>71</v>
      </c>
      <c r="AH283" s="41" t="s">
        <v>71</v>
      </c>
      <c r="AI283" s="41" t="s">
        <v>71</v>
      </c>
      <c r="AJ283" s="41" t="s">
        <v>71</v>
      </c>
      <c r="AK283" s="41" t="s">
        <v>71</v>
      </c>
      <c r="AL283" s="41" t="s">
        <v>71</v>
      </c>
      <c r="AU283" s="41" t="s">
        <v>2080</v>
      </c>
      <c r="AV283" s="41" t="s">
        <v>2160</v>
      </c>
      <c r="BS283" s="41" t="s">
        <v>2058</v>
      </c>
      <c r="BT283" s="41" t="s">
        <v>72</v>
      </c>
      <c r="BW283" s="41" t="s">
        <v>72</v>
      </c>
      <c r="BX283" s="41">
        <f>VLOOKUP(B:B,Brand!B:D,3,0)</f>
        <v>457</v>
      </c>
      <c r="BY283" s="41">
        <f>VLOOKUP(M:M,Unit!B:D,3,0)</f>
        <v>1</v>
      </c>
      <c r="BZ283" s="41">
        <f>VLOOKUP(S:S,Promo!B:D,3,0)</f>
        <v>0</v>
      </c>
    </row>
    <row r="284" spans="1:78" s="41" customFormat="1" ht="15.75" customHeight="1">
      <c r="A284" s="41">
        <v>123184</v>
      </c>
      <c r="B284" s="41" t="s">
        <v>164</v>
      </c>
      <c r="C284" s="65" t="str">
        <f>VLOOKUP(B:B,Brand!B:C,2,0)</f>
        <v>Fa Thai</v>
      </c>
      <c r="D284" s="63">
        <f>VLOOKUP(E:E,'Product Category'!J:O,6,FALSE)</f>
        <v>173</v>
      </c>
      <c r="E284" s="41" t="s">
        <v>2060</v>
      </c>
      <c r="F284" s="63" t="str">
        <f>VLOOKUP(E:E,'Product Category'!J:K,2,FALSE)</f>
        <v>37-Cooking Ingredients</v>
      </c>
      <c r="G284" s="63" t="str">
        <f>VLOOKUP(F:F,'Product Category'!K:L,2,FALSE)</f>
        <v>6-Dry Food / Dry Groceries</v>
      </c>
      <c r="H284" s="41" t="s">
        <v>3517</v>
      </c>
      <c r="I284" s="41" t="s">
        <v>3518</v>
      </c>
      <c r="J284" s="41" t="s">
        <v>4577</v>
      </c>
      <c r="K284" s="41" t="s">
        <v>4578</v>
      </c>
      <c r="L284" s="41">
        <v>850</v>
      </c>
      <c r="M284" s="41" t="s">
        <v>83</v>
      </c>
      <c r="N284" s="41" t="str">
        <f>VLOOKUP(M:M,Unit!B:C,2,0)</f>
        <v>g</v>
      </c>
      <c r="O284" s="41" t="s">
        <v>67</v>
      </c>
      <c r="P284" s="41">
        <v>1</v>
      </c>
      <c r="Q284" s="41" t="s">
        <v>135</v>
      </c>
      <c r="R284" s="41" t="str">
        <f>VLOOKUP(Q:Q,Unit!B:D,2,0)</f>
        <v>g</v>
      </c>
      <c r="S284" s="41" t="s">
        <v>75</v>
      </c>
      <c r="T284" s="41" t="str">
        <f>VLOOKUP(S:S,Promo!B:D,2,0)</f>
        <v>Promo EN</v>
      </c>
      <c r="W284" s="41">
        <v>78</v>
      </c>
      <c r="X284" s="41">
        <v>72</v>
      </c>
      <c r="AB284" s="41" t="s">
        <v>2062</v>
      </c>
      <c r="AF284" s="41" t="s">
        <v>3373</v>
      </c>
      <c r="AG284" s="41" t="s">
        <v>71</v>
      </c>
      <c r="AH284" s="41" t="s">
        <v>71</v>
      </c>
      <c r="AI284" s="41" t="s">
        <v>71</v>
      </c>
      <c r="AJ284" s="41" t="s">
        <v>71</v>
      </c>
      <c r="AK284" s="41" t="s">
        <v>71</v>
      </c>
      <c r="AL284" s="41" t="s">
        <v>71</v>
      </c>
      <c r="AU284" s="41" t="s">
        <v>2363</v>
      </c>
      <c r="AV284" s="41" t="s">
        <v>2161</v>
      </c>
      <c r="BS284" s="41" t="s">
        <v>2058</v>
      </c>
      <c r="BT284" s="41" t="s">
        <v>72</v>
      </c>
      <c r="BW284" s="41" t="s">
        <v>72</v>
      </c>
      <c r="BX284" s="41">
        <f>VLOOKUP(B:B,Brand!B:D,3,0)</f>
        <v>457</v>
      </c>
      <c r="BY284" s="41">
        <f>VLOOKUP(M:M,Unit!B:D,3,0)</f>
        <v>1</v>
      </c>
      <c r="BZ284" s="41">
        <f>VLOOKUP(S:S,Promo!B:D,3,0)</f>
        <v>0</v>
      </c>
    </row>
    <row r="285" spans="1:78" s="41" customFormat="1" ht="15.75" customHeight="1">
      <c r="A285" s="41">
        <v>106251</v>
      </c>
      <c r="B285" s="41" t="s">
        <v>98</v>
      </c>
      <c r="C285" s="65" t="str">
        <f>VLOOKUP(B:B,Brand!B:C,2,0)</f>
        <v>Rosdee</v>
      </c>
      <c r="D285" s="63">
        <f>VLOOKUP(E:E,'Product Category'!J:O,6,FALSE)</f>
        <v>173</v>
      </c>
      <c r="E285" s="41" t="s">
        <v>2060</v>
      </c>
      <c r="F285" s="63" t="str">
        <f>VLOOKUP(E:E,'Product Category'!J:K,2,FALSE)</f>
        <v>37-Cooking Ingredients</v>
      </c>
      <c r="G285" s="63" t="str">
        <f>VLOOKUP(F:F,'Product Category'!K:L,2,FALSE)</f>
        <v>6-Dry Food / Dry Groceries</v>
      </c>
      <c r="H285" s="41" t="s">
        <v>3517</v>
      </c>
      <c r="I285" s="41" t="s">
        <v>3958</v>
      </c>
      <c r="J285" s="65" t="str">
        <f>TRIM(CONCATENATE(B285," ",H285," ",L285," ",M285," ",O285,P285," ",Q285))</f>
        <v>รสดี ผงปรุงรส รสหมู 425 กรัม x1 ชิ้น</v>
      </c>
      <c r="K285" s="80" t="str">
        <f>TRIM(CONCATENATE(C285," ",I285," ",L285," ",N285," ",O285,P285," ",R285))</f>
        <v>Rosdee POWDER PORK 425 g x1 pc</v>
      </c>
      <c r="L285" s="41">
        <v>425</v>
      </c>
      <c r="M285" s="41" t="s">
        <v>83</v>
      </c>
      <c r="N285" s="41" t="str">
        <f>VLOOKUP(M:M,Unit!B:C,2,0)</f>
        <v>g</v>
      </c>
      <c r="O285" s="41" t="s">
        <v>67</v>
      </c>
      <c r="P285" s="41">
        <v>1</v>
      </c>
      <c r="Q285" s="41" t="s">
        <v>68</v>
      </c>
      <c r="R285" s="41" t="str">
        <f>VLOOKUP(Q:Q,Unit!B:D,2,0)</f>
        <v>pc</v>
      </c>
      <c r="S285" s="41" t="s">
        <v>75</v>
      </c>
      <c r="T285" s="41" t="str">
        <f>VLOOKUP(S:S,Promo!B:D,2,0)</f>
        <v>Promo EN</v>
      </c>
      <c r="W285" s="41">
        <v>55</v>
      </c>
      <c r="X285" s="41">
        <v>49</v>
      </c>
      <c r="AB285" s="41" t="s">
        <v>2056</v>
      </c>
      <c r="AG285" s="41" t="s">
        <v>71</v>
      </c>
      <c r="AH285" s="41" t="s">
        <v>71</v>
      </c>
      <c r="AI285" s="41" t="s">
        <v>71</v>
      </c>
      <c r="AJ285" s="41" t="s">
        <v>71</v>
      </c>
      <c r="AK285" s="41" t="s">
        <v>71</v>
      </c>
      <c r="AL285" s="41" t="s">
        <v>71</v>
      </c>
      <c r="AU285" s="41" t="s">
        <v>2363</v>
      </c>
      <c r="AV285" s="41" t="s">
        <v>2161</v>
      </c>
      <c r="BS285" s="41" t="s">
        <v>2058</v>
      </c>
      <c r="BT285" s="41" t="s">
        <v>72</v>
      </c>
      <c r="BW285" s="41" t="s">
        <v>72</v>
      </c>
      <c r="BX285" s="41">
        <f>VLOOKUP(B:B,Brand!B:D,3,0)</f>
        <v>547</v>
      </c>
      <c r="BY285" s="41">
        <f>VLOOKUP(M:M,Unit!B:D,3,0)</f>
        <v>1</v>
      </c>
      <c r="BZ285" s="41">
        <f>VLOOKUP(S:S,Promo!B:D,3,0)</f>
        <v>0</v>
      </c>
    </row>
    <row r="286" spans="1:78" s="41" customFormat="1" ht="15.75" customHeight="1">
      <c r="A286" s="41">
        <v>106250</v>
      </c>
      <c r="B286" s="41" t="s">
        <v>98</v>
      </c>
      <c r="C286" s="65" t="str">
        <f>VLOOKUP(B:B,Brand!B:C,2,0)</f>
        <v>Rosdee</v>
      </c>
      <c r="D286" s="63">
        <f>VLOOKUP(E:E,'Product Category'!J:O,6,FALSE)</f>
        <v>173</v>
      </c>
      <c r="E286" s="41" t="s">
        <v>2060</v>
      </c>
      <c r="F286" s="63" t="str">
        <f>VLOOKUP(E:E,'Product Category'!J:K,2,FALSE)</f>
        <v>37-Cooking Ingredients</v>
      </c>
      <c r="G286" s="63" t="str">
        <f>VLOOKUP(F:F,'Product Category'!K:L,2,FALSE)</f>
        <v>6-Dry Food / Dry Groceries</v>
      </c>
      <c r="H286" s="41" t="s">
        <v>3515</v>
      </c>
      <c r="I286" s="41" t="s">
        <v>3959</v>
      </c>
      <c r="J286" s="65" t="str">
        <f>TRIM(CONCATENATE(B286," ",H286," ",L286," ",M286," ",O286,P286," ",Q286))</f>
        <v>รสดี ผงปรุงรส รสไก่ 425 กรัม x1 ชิ้น</v>
      </c>
      <c r="K286" s="80" t="str">
        <f>TRIM(CONCATENATE(C286," ",I286," ",L286," ",N286," ",O286,P286," ",R286))</f>
        <v>Rosdee POWDER CHICKEN 425 g x1 pc</v>
      </c>
      <c r="L286" s="41">
        <v>425</v>
      </c>
      <c r="M286" s="41" t="s">
        <v>83</v>
      </c>
      <c r="N286" s="41" t="str">
        <f>VLOOKUP(M:M,Unit!B:C,2,0)</f>
        <v>g</v>
      </c>
      <c r="O286" s="41" t="s">
        <v>67</v>
      </c>
      <c r="P286" s="41">
        <v>1</v>
      </c>
      <c r="Q286" s="41" t="s">
        <v>68</v>
      </c>
      <c r="R286" s="41" t="str">
        <f>VLOOKUP(Q:Q,Unit!B:D,2,0)</f>
        <v>pc</v>
      </c>
      <c r="S286" s="41" t="s">
        <v>75</v>
      </c>
      <c r="T286" s="41" t="str">
        <f>VLOOKUP(S:S,Promo!B:D,2,0)</f>
        <v>Promo EN</v>
      </c>
      <c r="W286" s="41">
        <v>55</v>
      </c>
      <c r="X286" s="41">
        <v>49</v>
      </c>
      <c r="AB286" s="41" t="s">
        <v>2056</v>
      </c>
      <c r="AG286" s="41" t="s">
        <v>71</v>
      </c>
      <c r="AH286" s="41" t="s">
        <v>71</v>
      </c>
      <c r="AI286" s="41" t="s">
        <v>71</v>
      </c>
      <c r="AJ286" s="41" t="s">
        <v>71</v>
      </c>
      <c r="AK286" s="41" t="s">
        <v>71</v>
      </c>
      <c r="AL286" s="41" t="s">
        <v>71</v>
      </c>
      <c r="AU286" s="41" t="s">
        <v>2080</v>
      </c>
      <c r="AV286" s="41" t="s">
        <v>2160</v>
      </c>
      <c r="BS286" s="41" t="s">
        <v>2058</v>
      </c>
      <c r="BT286" s="41" t="s">
        <v>72</v>
      </c>
      <c r="BW286" s="41" t="s">
        <v>72</v>
      </c>
      <c r="BX286" s="41">
        <f>VLOOKUP(B:B,Brand!B:D,3,0)</f>
        <v>547</v>
      </c>
      <c r="BY286" s="41">
        <f>VLOOKUP(M:M,Unit!B:D,3,0)</f>
        <v>1</v>
      </c>
      <c r="BZ286" s="41">
        <f>VLOOKUP(S:S,Promo!B:D,3,0)</f>
        <v>0</v>
      </c>
    </row>
    <row r="287" spans="1:78" s="41" customFormat="1" ht="15.75" customHeight="1">
      <c r="A287" s="41">
        <v>161691</v>
      </c>
      <c r="B287" s="41" t="s">
        <v>2820</v>
      </c>
      <c r="C287" s="65" t="str">
        <f>VLOOKUP(B:B,Brand!B:C,2,0)</f>
        <v>Hondashi</v>
      </c>
      <c r="D287" s="63">
        <f>VLOOKUP(E:E,'Product Category'!J:O,6,FALSE)</f>
        <v>173</v>
      </c>
      <c r="E287" s="41" t="s">
        <v>2060</v>
      </c>
      <c r="F287" s="63" t="str">
        <f>VLOOKUP(E:E,'Product Category'!J:K,2,FALSE)</f>
        <v>37-Cooking Ingredients</v>
      </c>
      <c r="G287" s="63" t="str">
        <f>VLOOKUP(F:F,'Product Category'!K:L,2,FALSE)</f>
        <v>6-Dry Food / Dry Groceries</v>
      </c>
      <c r="H287" s="41" t="s">
        <v>4107</v>
      </c>
      <c r="I287" s="41" t="s">
        <v>4108</v>
      </c>
      <c r="J287" s="65" t="str">
        <f>TRIM(CONCATENATE(B287," ",H287," ",L287," ",M287," ",O287,P287," ",Q287))</f>
        <v>ฮอนดาชิ ผงปรุง 1 กก. x1 กล่อง</v>
      </c>
      <c r="K287" s="80" t="str">
        <f>TRIM(CONCATENATE(C287," ",I287," ",L287," ",N287," ",O287,P287," ",R287))</f>
        <v>Hondashi Cooked powder 1 kg x1 box</v>
      </c>
      <c r="L287" s="41">
        <v>1</v>
      </c>
      <c r="M287" s="41" t="s">
        <v>79</v>
      </c>
      <c r="N287" s="41" t="str">
        <f>VLOOKUP(M:M,Unit!B:C,2,0)</f>
        <v>kg</v>
      </c>
      <c r="O287" s="41" t="s">
        <v>67</v>
      </c>
      <c r="P287" s="41">
        <v>1</v>
      </c>
      <c r="Q287" s="41" t="s">
        <v>104</v>
      </c>
      <c r="R287" s="41" t="str">
        <f>VLOOKUP(Q:Q,Unit!B:D,2,0)</f>
        <v>box</v>
      </c>
      <c r="S287" s="41" t="s">
        <v>75</v>
      </c>
      <c r="T287" s="41" t="str">
        <f>VLOOKUP(S:S,Promo!B:D,2,0)</f>
        <v>Promo EN</v>
      </c>
      <c r="W287" s="41">
        <v>386</v>
      </c>
      <c r="X287" s="41">
        <v>375</v>
      </c>
      <c r="AB287" s="41" t="s">
        <v>2054</v>
      </c>
      <c r="AG287" s="41" t="s">
        <v>71</v>
      </c>
      <c r="AH287" s="41" t="s">
        <v>71</v>
      </c>
      <c r="AI287" s="41" t="s">
        <v>71</v>
      </c>
      <c r="AJ287" s="41" t="s">
        <v>71</v>
      </c>
      <c r="AK287" s="41" t="s">
        <v>71</v>
      </c>
      <c r="AL287" s="41" t="s">
        <v>71</v>
      </c>
      <c r="BS287" s="41" t="s">
        <v>2058</v>
      </c>
      <c r="BT287" s="41" t="s">
        <v>72</v>
      </c>
      <c r="BW287" s="41" t="s">
        <v>72</v>
      </c>
      <c r="BX287" s="41">
        <f>VLOOKUP(B:B,Brand!B:D,3,0)</f>
        <v>1180</v>
      </c>
      <c r="BY287" s="41">
        <f>VLOOKUP(M:M,Unit!B:D,3,0)</f>
        <v>2</v>
      </c>
      <c r="BZ287" s="41">
        <f>VLOOKUP(S:S,Promo!B:D,3,0)</f>
        <v>0</v>
      </c>
    </row>
    <row r="288" spans="1:78" s="41" customFormat="1" ht="15.75" customHeight="1">
      <c r="A288" s="41">
        <v>107326</v>
      </c>
      <c r="B288" s="41" t="s">
        <v>97</v>
      </c>
      <c r="C288" s="65" t="str">
        <f>VLOOKUP(B:B,Brand!B:C,2,0)</f>
        <v>aro</v>
      </c>
      <c r="D288" s="63">
        <f>VLOOKUP(E:E,'Product Category'!J:O,6,FALSE)</f>
        <v>173</v>
      </c>
      <c r="E288" s="41" t="s">
        <v>2060</v>
      </c>
      <c r="F288" s="63" t="str">
        <f>VLOOKUP(E:E,'Product Category'!J:K,2,FALSE)</f>
        <v>37-Cooking Ingredients</v>
      </c>
      <c r="G288" s="63" t="str">
        <f>VLOOKUP(F:F,'Product Category'!K:L,2,FALSE)</f>
        <v>6-Dry Food / Dry Groceries</v>
      </c>
      <c r="H288" s="41" t="s">
        <v>4366</v>
      </c>
      <c r="I288" s="41" t="s">
        <v>4367</v>
      </c>
      <c r="J288" s="41" t="s">
        <v>5128</v>
      </c>
      <c r="K288" s="41" t="s">
        <v>5129</v>
      </c>
      <c r="L288" s="41">
        <v>1</v>
      </c>
      <c r="M288" s="41" t="s">
        <v>79</v>
      </c>
      <c r="N288" s="41" t="str">
        <f>VLOOKUP(M:M,Unit!B:C,2,0)</f>
        <v>kg</v>
      </c>
      <c r="O288" s="41" t="s">
        <v>67</v>
      </c>
      <c r="P288" s="41">
        <v>1</v>
      </c>
      <c r="Q288" s="41" t="s">
        <v>135</v>
      </c>
      <c r="R288" s="41" t="str">
        <f>VLOOKUP(Q:Q,Unit!B:D,2,0)</f>
        <v>g</v>
      </c>
      <c r="S288" s="41" t="s">
        <v>75</v>
      </c>
      <c r="T288" s="41" t="str">
        <f>VLOOKUP(S:S,Promo!B:D,2,0)</f>
        <v>Promo EN</v>
      </c>
      <c r="W288" s="41">
        <v>74</v>
      </c>
      <c r="X288" s="41">
        <v>70</v>
      </c>
      <c r="AB288" s="41" t="s">
        <v>2062</v>
      </c>
      <c r="AF288" s="41" t="s">
        <v>3373</v>
      </c>
      <c r="AG288" s="41" t="s">
        <v>71</v>
      </c>
      <c r="AH288" s="41" t="s">
        <v>71</v>
      </c>
      <c r="AI288" s="41" t="s">
        <v>71</v>
      </c>
      <c r="AJ288" s="41" t="s">
        <v>71</v>
      </c>
      <c r="AK288" s="41" t="s">
        <v>71</v>
      </c>
      <c r="AL288" s="41" t="s">
        <v>71</v>
      </c>
      <c r="BS288" s="41" t="s">
        <v>2058</v>
      </c>
      <c r="BT288" s="41" t="s">
        <v>72</v>
      </c>
      <c r="BW288" s="41" t="s">
        <v>72</v>
      </c>
      <c r="BX288" s="41">
        <f>VLOOKUP(B:B,Brand!B:D,3,0)</f>
        <v>692</v>
      </c>
      <c r="BY288" s="41">
        <f>VLOOKUP(M:M,Unit!B:D,3,0)</f>
        <v>2</v>
      </c>
      <c r="BZ288" s="41">
        <f>VLOOKUP(S:S,Promo!B:D,3,0)</f>
        <v>0</v>
      </c>
    </row>
    <row r="289" spans="1:78" s="41" customFormat="1" ht="15.75" customHeight="1">
      <c r="A289" s="41">
        <v>107325</v>
      </c>
      <c r="B289" s="41" t="s">
        <v>97</v>
      </c>
      <c r="C289" s="65" t="str">
        <f>VLOOKUP(B:B,Brand!B:C,2,0)</f>
        <v>aro</v>
      </c>
      <c r="D289" s="63">
        <f>VLOOKUP(E:E,'Product Category'!J:O,6,FALSE)</f>
        <v>173</v>
      </c>
      <c r="E289" s="41" t="s">
        <v>2060</v>
      </c>
      <c r="F289" s="63" t="str">
        <f>VLOOKUP(E:E,'Product Category'!J:K,2,FALSE)</f>
        <v>37-Cooking Ingredients</v>
      </c>
      <c r="G289" s="63" t="str">
        <f>VLOOKUP(F:F,'Product Category'!K:L,2,FALSE)</f>
        <v>6-Dry Food / Dry Groceries</v>
      </c>
      <c r="H289" s="41" t="s">
        <v>4375</v>
      </c>
      <c r="I289" s="41" t="s">
        <v>4376</v>
      </c>
      <c r="J289" s="41" t="s">
        <v>5140</v>
      </c>
      <c r="K289" s="41" t="s">
        <v>5141</v>
      </c>
      <c r="L289" s="41">
        <v>1000</v>
      </c>
      <c r="M289" s="41" t="s">
        <v>83</v>
      </c>
      <c r="N289" s="41" t="str">
        <f>VLOOKUP(M:M,Unit!B:C,2,0)</f>
        <v>g</v>
      </c>
      <c r="O289" s="41" t="s">
        <v>67</v>
      </c>
      <c r="P289" s="41">
        <v>1</v>
      </c>
      <c r="Q289" s="41" t="s">
        <v>135</v>
      </c>
      <c r="R289" s="41" t="str">
        <f>VLOOKUP(Q:Q,Unit!B:D,2,0)</f>
        <v>g</v>
      </c>
      <c r="S289" s="41" t="s">
        <v>75</v>
      </c>
      <c r="T289" s="41" t="str">
        <f>VLOOKUP(S:S,Promo!B:D,2,0)</f>
        <v>Promo EN</v>
      </c>
      <c r="W289" s="41">
        <v>74</v>
      </c>
      <c r="X289" s="41">
        <v>70</v>
      </c>
      <c r="AB289" s="41" t="s">
        <v>2062</v>
      </c>
      <c r="AG289" s="41" t="s">
        <v>71</v>
      </c>
      <c r="AH289" s="41" t="s">
        <v>71</v>
      </c>
      <c r="AI289" s="41" t="s">
        <v>71</v>
      </c>
      <c r="AJ289" s="41" t="s">
        <v>71</v>
      </c>
      <c r="AK289" s="41" t="s">
        <v>71</v>
      </c>
      <c r="AL289" s="41" t="s">
        <v>71</v>
      </c>
      <c r="BS289" s="41" t="s">
        <v>2058</v>
      </c>
      <c r="BT289" s="41" t="s">
        <v>72</v>
      </c>
      <c r="BW289" s="41" t="s">
        <v>72</v>
      </c>
      <c r="BX289" s="41">
        <f>VLOOKUP(B:B,Brand!B:D,3,0)</f>
        <v>692</v>
      </c>
      <c r="BY289" s="41">
        <f>VLOOKUP(M:M,Unit!B:D,3,0)</f>
        <v>1</v>
      </c>
      <c r="BZ289" s="41">
        <f>VLOOKUP(S:S,Promo!B:D,3,0)</f>
        <v>0</v>
      </c>
    </row>
    <row r="290" spans="1:78" s="41" customFormat="1" ht="15.75" customHeight="1">
      <c r="A290" s="41">
        <v>114011</v>
      </c>
      <c r="B290" s="41" t="s">
        <v>97</v>
      </c>
      <c r="C290" s="65" t="str">
        <f>VLOOKUP(B:B,Brand!B:C,2,0)</f>
        <v>aro</v>
      </c>
      <c r="D290" s="63">
        <f>VLOOKUP(E:E,'Product Category'!J:O,6,FALSE)</f>
        <v>173</v>
      </c>
      <c r="E290" s="41" t="s">
        <v>2060</v>
      </c>
      <c r="F290" s="63" t="str">
        <f>VLOOKUP(E:E,'Product Category'!J:K,2,FALSE)</f>
        <v>37-Cooking Ingredients</v>
      </c>
      <c r="G290" s="63" t="str">
        <f>VLOOKUP(F:F,'Product Category'!K:L,2,FALSE)</f>
        <v>6-Dry Food / Dry Groceries</v>
      </c>
      <c r="H290" s="41" t="s">
        <v>2314</v>
      </c>
      <c r="I290" s="41" t="s">
        <v>2315</v>
      </c>
      <c r="J290" s="41" t="s">
        <v>5194</v>
      </c>
      <c r="K290" s="41" t="s">
        <v>5195</v>
      </c>
      <c r="L290" s="41">
        <v>3000</v>
      </c>
      <c r="M290" s="41" t="s">
        <v>83</v>
      </c>
      <c r="N290" s="41" t="str">
        <f>VLOOKUP(M:M,Unit!B:C,2,0)</f>
        <v>g</v>
      </c>
      <c r="O290" s="41" t="s">
        <v>67</v>
      </c>
      <c r="P290" s="41">
        <v>1</v>
      </c>
      <c r="Q290" s="41" t="s">
        <v>135</v>
      </c>
      <c r="R290" s="41" t="str">
        <f>VLOOKUP(Q:Q,Unit!B:D,2,0)</f>
        <v>g</v>
      </c>
      <c r="S290" s="41" t="s">
        <v>75</v>
      </c>
      <c r="T290" s="41" t="str">
        <f>VLOOKUP(S:S,Promo!B:D,2,0)</f>
        <v>Promo EN</v>
      </c>
      <c r="W290" s="41">
        <v>219</v>
      </c>
      <c r="X290" s="41">
        <v>215</v>
      </c>
      <c r="AB290" s="41" t="s">
        <v>91</v>
      </c>
      <c r="AG290" s="41" t="s">
        <v>71</v>
      </c>
      <c r="AH290" s="41" t="s">
        <v>71</v>
      </c>
      <c r="AI290" s="41" t="s">
        <v>71</v>
      </c>
      <c r="AJ290" s="41" t="s">
        <v>71</v>
      </c>
      <c r="AK290" s="41" t="s">
        <v>71</v>
      </c>
      <c r="AL290" s="41" t="s">
        <v>71</v>
      </c>
      <c r="BS290" s="41" t="s">
        <v>2058</v>
      </c>
      <c r="BT290" s="41" t="s">
        <v>72</v>
      </c>
      <c r="BW290" s="41" t="s">
        <v>72</v>
      </c>
      <c r="BX290" s="41">
        <f>VLOOKUP(B:B,Brand!B:D,3,0)</f>
        <v>692</v>
      </c>
      <c r="BY290" s="41">
        <f>VLOOKUP(M:M,Unit!B:D,3,0)</f>
        <v>1</v>
      </c>
      <c r="BZ290" s="41">
        <f>VLOOKUP(S:S,Promo!B:D,3,0)</f>
        <v>0</v>
      </c>
    </row>
    <row r="291" spans="1:78" s="41" customFormat="1" ht="15.75" customHeight="1">
      <c r="A291" s="41">
        <v>113969</v>
      </c>
      <c r="B291" s="41" t="s">
        <v>97</v>
      </c>
      <c r="C291" s="65" t="str">
        <f>VLOOKUP(B:B,Brand!B:C,2,0)</f>
        <v>aro</v>
      </c>
      <c r="D291" s="63">
        <f>VLOOKUP(E:E,'Product Category'!J:O,6,FALSE)</f>
        <v>173</v>
      </c>
      <c r="E291" s="41" t="s">
        <v>2060</v>
      </c>
      <c r="F291" s="63" t="str">
        <f>VLOOKUP(E:E,'Product Category'!J:K,2,FALSE)</f>
        <v>37-Cooking Ingredients</v>
      </c>
      <c r="G291" s="63" t="str">
        <f>VLOOKUP(F:F,'Product Category'!K:L,2,FALSE)</f>
        <v>6-Dry Food / Dry Groceries</v>
      </c>
      <c r="H291" s="41" t="s">
        <v>2314</v>
      </c>
      <c r="I291" s="41" t="s">
        <v>2315</v>
      </c>
      <c r="J291" s="41" t="s">
        <v>5196</v>
      </c>
      <c r="K291" s="41" t="s">
        <v>5197</v>
      </c>
      <c r="L291" s="41">
        <v>1000</v>
      </c>
      <c r="M291" s="41" t="s">
        <v>83</v>
      </c>
      <c r="N291" s="41" t="str">
        <f>VLOOKUP(M:M,Unit!B:C,2,0)</f>
        <v>g</v>
      </c>
      <c r="O291" s="41" t="s">
        <v>67</v>
      </c>
      <c r="P291" s="41">
        <v>1</v>
      </c>
      <c r="Q291" s="41" t="s">
        <v>135</v>
      </c>
      <c r="R291" s="41" t="str">
        <f>VLOOKUP(Q:Q,Unit!B:D,2,0)</f>
        <v>g</v>
      </c>
      <c r="S291" s="41" t="s">
        <v>75</v>
      </c>
      <c r="T291" s="41" t="str">
        <f>VLOOKUP(S:S,Promo!B:D,2,0)</f>
        <v>Promo EN</v>
      </c>
      <c r="X291" s="41">
        <v>72</v>
      </c>
      <c r="AB291" s="41" t="s">
        <v>91</v>
      </c>
      <c r="AG291" s="41" t="s">
        <v>71</v>
      </c>
      <c r="AH291" s="41" t="s">
        <v>71</v>
      </c>
      <c r="AI291" s="41" t="s">
        <v>71</v>
      </c>
      <c r="AJ291" s="41" t="s">
        <v>3388</v>
      </c>
      <c r="AK291" s="41" t="s">
        <v>71</v>
      </c>
      <c r="AL291" s="41" t="s">
        <v>71</v>
      </c>
      <c r="BS291" s="41" t="s">
        <v>2058</v>
      </c>
      <c r="BT291" s="41" t="s">
        <v>72</v>
      </c>
      <c r="BW291" s="41" t="s">
        <v>72</v>
      </c>
      <c r="BX291" s="41">
        <f>VLOOKUP(B:B,Brand!B:D,3,0)</f>
        <v>692</v>
      </c>
      <c r="BY291" s="41">
        <f>VLOOKUP(M:M,Unit!B:D,3,0)</f>
        <v>1</v>
      </c>
      <c r="BZ291" s="41">
        <f>VLOOKUP(S:S,Promo!B:D,3,0)</f>
        <v>0</v>
      </c>
    </row>
    <row r="292" spans="1:78" s="41" customFormat="1" ht="15.75" customHeight="1">
      <c r="A292" s="41">
        <v>37817</v>
      </c>
      <c r="B292" s="41" t="s">
        <v>366</v>
      </c>
      <c r="C292" s="65" t="str">
        <f>VLOOKUP(B:B,Brand!B:C,2,0)</f>
        <v>Nguan Chiang</v>
      </c>
      <c r="D292" s="63">
        <f>VLOOKUP(E:E,'Product Category'!J:O,6,FALSE)</f>
        <v>175</v>
      </c>
      <c r="E292" s="41" t="s">
        <v>2066</v>
      </c>
      <c r="F292" s="63" t="str">
        <f>VLOOKUP(E:E,'Product Category'!J:K,2,FALSE)</f>
        <v>37-Cooking Ingredients</v>
      </c>
      <c r="G292" s="63" t="str">
        <f>VLOOKUP(F:F,'Product Category'!K:L,2,FALSE)</f>
        <v>6-Dry Food / Dry Groceries</v>
      </c>
      <c r="H292" s="41" t="s">
        <v>3379</v>
      </c>
      <c r="I292" s="41" t="s">
        <v>3380</v>
      </c>
      <c r="J292" s="41" t="s">
        <v>4505</v>
      </c>
      <c r="K292" s="41" t="s">
        <v>4506</v>
      </c>
      <c r="L292" s="41">
        <v>4300</v>
      </c>
      <c r="M292" s="41" t="s">
        <v>66</v>
      </c>
      <c r="N292" s="41" t="str">
        <f>VLOOKUP(M:M,Unit!B:C,2,0)</f>
        <v>ml</v>
      </c>
      <c r="O292" s="41" t="s">
        <v>67</v>
      </c>
      <c r="P292" s="41">
        <v>1</v>
      </c>
      <c r="Q292" s="41" t="s">
        <v>2152</v>
      </c>
      <c r="R292" s="41" t="str">
        <f>VLOOKUP(Q:Q,Unit!B:D,2,0)</f>
        <v>gal</v>
      </c>
      <c r="S292" s="41" t="s">
        <v>75</v>
      </c>
      <c r="T292" s="41" t="str">
        <f>VLOOKUP(S:S,Promo!B:D,2,0)</f>
        <v>Promo EN</v>
      </c>
      <c r="W292" s="41">
        <v>156</v>
      </c>
      <c r="X292" s="41">
        <v>135</v>
      </c>
      <c r="AB292" s="41" t="s">
        <v>91</v>
      </c>
      <c r="AF292" s="41" t="s">
        <v>3373</v>
      </c>
      <c r="AG292" s="41" t="s">
        <v>71</v>
      </c>
      <c r="AH292" s="41" t="s">
        <v>71</v>
      </c>
      <c r="AI292" s="41" t="s">
        <v>71</v>
      </c>
      <c r="AJ292" s="41" t="s">
        <v>71</v>
      </c>
      <c r="AK292" s="41" t="s">
        <v>71</v>
      </c>
      <c r="AL292" s="41" t="s">
        <v>71</v>
      </c>
      <c r="AP292" s="41" t="s">
        <v>3381</v>
      </c>
      <c r="BS292" s="41" t="s">
        <v>2058</v>
      </c>
      <c r="BT292" s="41" t="s">
        <v>72</v>
      </c>
      <c r="BW292" s="41" t="s">
        <v>72</v>
      </c>
      <c r="BX292" s="41">
        <f>VLOOKUP(B:B,Brand!B:D,3,0)</f>
        <v>103</v>
      </c>
      <c r="BY292" s="41">
        <f>VLOOKUP(M:M,Unit!B:D,3,0)</f>
        <v>4</v>
      </c>
      <c r="BZ292" s="41">
        <f>VLOOKUP(S:S,Promo!B:D,3,0)</f>
        <v>0</v>
      </c>
    </row>
    <row r="293" spans="1:78" s="41" customFormat="1" ht="15.75" customHeight="1">
      <c r="A293" s="41">
        <v>161259</v>
      </c>
      <c r="B293" s="41" t="s">
        <v>366</v>
      </c>
      <c r="C293" s="65" t="str">
        <f>VLOOKUP(B:B,Brand!B:C,2,0)</f>
        <v>Nguan Chiang</v>
      </c>
      <c r="D293" s="63">
        <f>VLOOKUP(E:E,'Product Category'!J:O,6,FALSE)</f>
        <v>175</v>
      </c>
      <c r="E293" s="41" t="s">
        <v>2066</v>
      </c>
      <c r="F293" s="63" t="str">
        <f>VLOOKUP(E:E,'Product Category'!J:K,2,FALSE)</f>
        <v>37-Cooking Ingredients</v>
      </c>
      <c r="G293" s="63" t="str">
        <f>VLOOKUP(F:F,'Product Category'!K:L,2,FALSE)</f>
        <v>6-Dry Food / Dry Groceries</v>
      </c>
      <c r="H293" s="41" t="s">
        <v>3507</v>
      </c>
      <c r="I293" s="41" t="s">
        <v>3508</v>
      </c>
      <c r="J293" s="41" t="s">
        <v>4571</v>
      </c>
      <c r="K293" s="41" t="s">
        <v>4572</v>
      </c>
      <c r="L293" s="41">
        <v>1950</v>
      </c>
      <c r="M293" s="41" t="s">
        <v>149</v>
      </c>
      <c r="N293" s="41" t="str">
        <f>VLOOKUP(M:M,Unit!B:C,2,0)</f>
        <v>cc</v>
      </c>
      <c r="O293" s="41" t="s">
        <v>67</v>
      </c>
      <c r="P293" s="41">
        <v>1</v>
      </c>
      <c r="Q293" s="41" t="s">
        <v>95</v>
      </c>
      <c r="R293" s="41" t="str">
        <f>VLOOKUP(Q:Q,Unit!B:D,2,0)</f>
        <v>bottle</v>
      </c>
      <c r="S293" s="41" t="s">
        <v>75</v>
      </c>
      <c r="T293" s="41" t="str">
        <f>VLOOKUP(S:S,Promo!B:D,2,0)</f>
        <v>Promo EN</v>
      </c>
      <c r="W293" s="41">
        <v>141</v>
      </c>
      <c r="X293" s="41">
        <v>135</v>
      </c>
      <c r="AB293" s="41" t="s">
        <v>2054</v>
      </c>
      <c r="AF293" s="41" t="s">
        <v>3373</v>
      </c>
      <c r="AG293" s="41" t="s">
        <v>71</v>
      </c>
      <c r="AH293" s="41" t="s">
        <v>71</v>
      </c>
      <c r="AI293" s="41" t="s">
        <v>71</v>
      </c>
      <c r="AJ293" s="41" t="s">
        <v>71</v>
      </c>
      <c r="AK293" s="41" t="s">
        <v>71</v>
      </c>
      <c r="AL293" s="41" t="s">
        <v>71</v>
      </c>
      <c r="BS293" s="41" t="s">
        <v>2058</v>
      </c>
      <c r="BT293" s="41" t="s">
        <v>72</v>
      </c>
      <c r="BW293" s="41" t="s">
        <v>72</v>
      </c>
      <c r="BX293" s="41">
        <f>VLOOKUP(B:B,Brand!B:D,3,0)</f>
        <v>103</v>
      </c>
      <c r="BY293" s="41">
        <f>VLOOKUP(M:M,Unit!B:D,3,0)</f>
        <v>11</v>
      </c>
      <c r="BZ293" s="41">
        <f>VLOOKUP(S:S,Promo!B:D,3,0)</f>
        <v>0</v>
      </c>
    </row>
    <row r="294" spans="1:78" s="41" customFormat="1" ht="15.75" customHeight="1">
      <c r="A294" s="41">
        <v>146447</v>
      </c>
      <c r="B294" s="41" t="s">
        <v>168</v>
      </c>
      <c r="C294" s="65" t="str">
        <f>VLOOKUP(B:B,Brand!B:C,2,0)</f>
        <v>Healthy Boy</v>
      </c>
      <c r="D294" s="63">
        <f>VLOOKUP(E:E,'Product Category'!J:O,6,FALSE)</f>
        <v>175</v>
      </c>
      <c r="E294" s="41" t="s">
        <v>2066</v>
      </c>
      <c r="F294" s="63" t="str">
        <f>VLOOKUP(E:E,'Product Category'!J:K,2,FALSE)</f>
        <v>37-Cooking Ingredients</v>
      </c>
      <c r="G294" s="63" t="str">
        <f>VLOOKUP(F:F,'Product Category'!K:L,2,FALSE)</f>
        <v>6-Dry Food / Dry Groceries</v>
      </c>
      <c r="H294" s="41" t="s">
        <v>3635</v>
      </c>
      <c r="I294" s="41" t="s">
        <v>3636</v>
      </c>
      <c r="J294" s="41" t="s">
        <v>4643</v>
      </c>
      <c r="K294" s="41" t="s">
        <v>4644</v>
      </c>
      <c r="L294" s="41">
        <v>700</v>
      </c>
      <c r="M294" s="41" t="s">
        <v>66</v>
      </c>
      <c r="N294" s="41" t="str">
        <f>VLOOKUP(M:M,Unit!B:C,2,0)</f>
        <v>ml</v>
      </c>
      <c r="O294" s="41" t="s">
        <v>67</v>
      </c>
      <c r="P294" s="41">
        <v>3</v>
      </c>
      <c r="Q294" s="41" t="s">
        <v>95</v>
      </c>
      <c r="R294" s="41" t="str">
        <f>VLOOKUP(Q:Q,Unit!B:D,2,0)</f>
        <v>bottle</v>
      </c>
      <c r="S294" s="41" t="s">
        <v>75</v>
      </c>
      <c r="T294" s="41" t="str">
        <f>VLOOKUP(S:S,Promo!B:D,2,0)</f>
        <v>Promo EN</v>
      </c>
      <c r="W294" s="41">
        <v>132</v>
      </c>
      <c r="X294" s="41">
        <v>121</v>
      </c>
      <c r="AB294" s="41" t="s">
        <v>91</v>
      </c>
      <c r="AF294" s="41" t="s">
        <v>3373</v>
      </c>
      <c r="AG294" s="41" t="s">
        <v>71</v>
      </c>
      <c r="AH294" s="41" t="s">
        <v>71</v>
      </c>
      <c r="AI294" s="41" t="s">
        <v>71</v>
      </c>
      <c r="AJ294" s="41" t="s">
        <v>71</v>
      </c>
      <c r="AK294" s="41" t="s">
        <v>71</v>
      </c>
      <c r="AL294" s="41" t="s">
        <v>71</v>
      </c>
      <c r="BS294" s="41" t="s">
        <v>2058</v>
      </c>
      <c r="BT294" s="41" t="s">
        <v>72</v>
      </c>
      <c r="BW294" s="41" t="s">
        <v>72</v>
      </c>
      <c r="BX294" s="41">
        <f>VLOOKUP(B:B,Brand!B:D,3,0)</f>
        <v>233</v>
      </c>
      <c r="BY294" s="41">
        <f>VLOOKUP(M:M,Unit!B:D,3,0)</f>
        <v>4</v>
      </c>
      <c r="BZ294" s="41">
        <f>VLOOKUP(S:S,Promo!B:D,3,0)</f>
        <v>0</v>
      </c>
    </row>
    <row r="295" spans="1:78" s="41" customFormat="1" ht="15.75" customHeight="1">
      <c r="A295" s="41">
        <v>194766</v>
      </c>
      <c r="B295" s="41" t="s">
        <v>168</v>
      </c>
      <c r="C295" s="65" t="str">
        <f>VLOOKUP(B:B,Brand!B:C,2,0)</f>
        <v>Healthy Boy</v>
      </c>
      <c r="D295" s="63">
        <f>VLOOKUP(E:E,'Product Category'!J:O,6,FALSE)</f>
        <v>175</v>
      </c>
      <c r="E295" s="41" t="s">
        <v>2066</v>
      </c>
      <c r="F295" s="63" t="str">
        <f>VLOOKUP(E:E,'Product Category'!J:K,2,FALSE)</f>
        <v>37-Cooking Ingredients</v>
      </c>
      <c r="G295" s="63" t="str">
        <f>VLOOKUP(F:F,'Product Category'!K:L,2,FALSE)</f>
        <v>6-Dry Food / Dry Groceries</v>
      </c>
      <c r="H295" s="41" t="s">
        <v>3640</v>
      </c>
      <c r="I295" s="41" t="s">
        <v>2233</v>
      </c>
      <c r="J295" s="41" t="s">
        <v>4657</v>
      </c>
      <c r="K295" s="41" t="s">
        <v>4658</v>
      </c>
      <c r="L295" s="41">
        <v>5</v>
      </c>
      <c r="M295" s="41" t="s">
        <v>79</v>
      </c>
      <c r="N295" s="41" t="str">
        <f>VLOOKUP(M:M,Unit!B:C,2,0)</f>
        <v>kg</v>
      </c>
      <c r="O295" s="41" t="s">
        <v>67</v>
      </c>
      <c r="P295" s="41">
        <v>1</v>
      </c>
      <c r="Q295" s="41" t="s">
        <v>95</v>
      </c>
      <c r="R295" s="41" t="str">
        <f>VLOOKUP(Q:Q,Unit!B:D,2,0)</f>
        <v>bottle</v>
      </c>
      <c r="S295" s="41" t="s">
        <v>75</v>
      </c>
      <c r="T295" s="41" t="str">
        <f>VLOOKUP(S:S,Promo!B:D,2,0)</f>
        <v>Promo EN</v>
      </c>
      <c r="W295" s="41">
        <v>243</v>
      </c>
      <c r="X295" s="41">
        <v>229</v>
      </c>
      <c r="AB295" s="41" t="s">
        <v>91</v>
      </c>
      <c r="AG295" s="41" t="s">
        <v>71</v>
      </c>
      <c r="AH295" s="41" t="s">
        <v>71</v>
      </c>
      <c r="AI295" s="41" t="s">
        <v>71</v>
      </c>
      <c r="AJ295" s="41" t="s">
        <v>71</v>
      </c>
      <c r="AK295" s="41" t="s">
        <v>71</v>
      </c>
      <c r="AL295" s="41" t="s">
        <v>71</v>
      </c>
      <c r="BS295" s="41" t="s">
        <v>2058</v>
      </c>
      <c r="BT295" s="41" t="s">
        <v>72</v>
      </c>
      <c r="BW295" s="41" t="s">
        <v>72</v>
      </c>
      <c r="BX295" s="41">
        <f>VLOOKUP(B:B,Brand!B:D,3,0)</f>
        <v>233</v>
      </c>
      <c r="BY295" s="41">
        <f>VLOOKUP(M:M,Unit!B:D,3,0)</f>
        <v>2</v>
      </c>
      <c r="BZ295" s="41">
        <f>VLOOKUP(S:S,Promo!B:D,3,0)</f>
        <v>0</v>
      </c>
    </row>
    <row r="296" spans="1:78" s="41" customFormat="1" ht="15.75" customHeight="1">
      <c r="A296" s="41">
        <v>147361</v>
      </c>
      <c r="B296" s="41" t="s">
        <v>168</v>
      </c>
      <c r="C296" s="65" t="str">
        <f>VLOOKUP(B:B,Brand!B:C,2,0)</f>
        <v>Healthy Boy</v>
      </c>
      <c r="D296" s="63">
        <f>VLOOKUP(E:E,'Product Category'!J:O,6,FALSE)</f>
        <v>175</v>
      </c>
      <c r="E296" s="41" t="s">
        <v>2066</v>
      </c>
      <c r="F296" s="63" t="str">
        <f>VLOOKUP(E:E,'Product Category'!J:K,2,FALSE)</f>
        <v>37-Cooking Ingredients</v>
      </c>
      <c r="G296" s="63" t="str">
        <f>VLOOKUP(F:F,'Product Category'!K:L,2,FALSE)</f>
        <v>6-Dry Food / Dry Groceries</v>
      </c>
      <c r="H296" s="41" t="s">
        <v>2329</v>
      </c>
      <c r="I296" s="41" t="s">
        <v>2330</v>
      </c>
      <c r="J296" s="41" t="s">
        <v>4663</v>
      </c>
      <c r="K296" s="41" t="s">
        <v>4664</v>
      </c>
      <c r="L296" s="41">
        <v>2000</v>
      </c>
      <c r="M296" s="41" t="s">
        <v>149</v>
      </c>
      <c r="N296" s="41" t="str">
        <f>VLOOKUP(M:M,Unit!B:C,2,0)</f>
        <v>cc</v>
      </c>
      <c r="O296" s="41" t="s">
        <v>67</v>
      </c>
      <c r="P296" s="41">
        <v>1</v>
      </c>
      <c r="Q296" s="41" t="s">
        <v>95</v>
      </c>
      <c r="R296" s="41" t="str">
        <f>VLOOKUP(Q:Q,Unit!B:D,2,0)</f>
        <v>bottle</v>
      </c>
      <c r="S296" s="41" t="s">
        <v>75</v>
      </c>
      <c r="T296" s="41" t="str">
        <f>VLOOKUP(S:S,Promo!B:D,2,0)</f>
        <v>Promo EN</v>
      </c>
      <c r="W296" s="41">
        <v>90</v>
      </c>
      <c r="X296" s="41">
        <v>85</v>
      </c>
      <c r="AB296" s="41" t="s">
        <v>2056</v>
      </c>
      <c r="AG296" s="41" t="s">
        <v>71</v>
      </c>
      <c r="AH296" s="41" t="s">
        <v>71</v>
      </c>
      <c r="AI296" s="41" t="s">
        <v>71</v>
      </c>
      <c r="AJ296" s="41" t="s">
        <v>71</v>
      </c>
      <c r="AK296" s="41" t="s">
        <v>71</v>
      </c>
      <c r="AL296" s="41" t="s">
        <v>71</v>
      </c>
      <c r="BS296" s="41" t="s">
        <v>2058</v>
      </c>
      <c r="BT296" s="41" t="s">
        <v>72</v>
      </c>
      <c r="BW296" s="41" t="s">
        <v>72</v>
      </c>
      <c r="BX296" s="41">
        <f>VLOOKUP(B:B,Brand!B:D,3,0)</f>
        <v>233</v>
      </c>
      <c r="BY296" s="41">
        <f>VLOOKUP(M:M,Unit!B:D,3,0)</f>
        <v>11</v>
      </c>
      <c r="BZ296" s="41">
        <f>VLOOKUP(S:S,Promo!B:D,3,0)</f>
        <v>0</v>
      </c>
    </row>
    <row r="297" spans="1:78" s="41" customFormat="1" ht="15.75" customHeight="1">
      <c r="A297" s="41">
        <v>902837</v>
      </c>
      <c r="B297" s="41" t="s">
        <v>148</v>
      </c>
      <c r="C297" s="65" t="str">
        <f>VLOOKUP(B:B,Brand!B:C,2,0)</f>
        <v>Golden Mountain</v>
      </c>
      <c r="D297" s="63">
        <f>VLOOKUP(E:E,'Product Category'!J:O,6,FALSE)</f>
        <v>175</v>
      </c>
      <c r="E297" s="41" t="s">
        <v>2066</v>
      </c>
      <c r="F297" s="63" t="str">
        <f>VLOOKUP(E:E,'Product Category'!J:K,2,FALSE)</f>
        <v>37-Cooking Ingredients</v>
      </c>
      <c r="G297" s="63" t="str">
        <f>VLOOKUP(F:F,'Product Category'!K:L,2,FALSE)</f>
        <v>6-Dry Food / Dry Groceries</v>
      </c>
      <c r="H297" s="41" t="s">
        <v>2316</v>
      </c>
      <c r="I297" s="41" t="s">
        <v>3939</v>
      </c>
      <c r="J297" s="41" t="s">
        <v>4847</v>
      </c>
      <c r="K297" s="41" t="s">
        <v>4848</v>
      </c>
      <c r="L297" s="41">
        <v>3000</v>
      </c>
      <c r="M297" s="41" t="s">
        <v>83</v>
      </c>
      <c r="N297" s="41" t="str">
        <f>VLOOKUP(M:M,Unit!B:C,2,0)</f>
        <v>g</v>
      </c>
      <c r="O297" s="41" t="s">
        <v>67</v>
      </c>
      <c r="P297" s="41">
        <v>1</v>
      </c>
      <c r="Q297" s="41" t="s">
        <v>2152</v>
      </c>
      <c r="R297" s="41" t="str">
        <f>VLOOKUP(Q:Q,Unit!B:D,2,0)</f>
        <v>gal</v>
      </c>
      <c r="S297" s="41" t="s">
        <v>75</v>
      </c>
      <c r="T297" s="41" t="str">
        <f>VLOOKUP(S:S,Promo!B:D,2,0)</f>
        <v>Promo EN</v>
      </c>
      <c r="W297" s="41">
        <v>122</v>
      </c>
      <c r="X297" s="41">
        <v>109</v>
      </c>
      <c r="AB297" s="41" t="s">
        <v>91</v>
      </c>
      <c r="AG297" s="41" t="s">
        <v>71</v>
      </c>
      <c r="AH297" s="41" t="s">
        <v>71</v>
      </c>
      <c r="AI297" s="41" t="s">
        <v>71</v>
      </c>
      <c r="AJ297" s="41" t="s">
        <v>3388</v>
      </c>
      <c r="AK297" s="41" t="s">
        <v>71</v>
      </c>
      <c r="AL297" s="41" t="s">
        <v>71</v>
      </c>
      <c r="BS297" s="41" t="s">
        <v>2058</v>
      </c>
      <c r="BT297" s="41" t="s">
        <v>72</v>
      </c>
      <c r="BW297" s="41" t="s">
        <v>72</v>
      </c>
      <c r="BX297" s="41">
        <f>VLOOKUP(B:B,Brand!B:D,3,0)</f>
        <v>474</v>
      </c>
      <c r="BY297" s="41">
        <f>VLOOKUP(M:M,Unit!B:D,3,0)</f>
        <v>1</v>
      </c>
      <c r="BZ297" s="41">
        <f>VLOOKUP(S:S,Promo!B:D,3,0)</f>
        <v>0</v>
      </c>
    </row>
    <row r="298" spans="1:78" s="41" customFormat="1" ht="15.75" customHeight="1">
      <c r="A298" s="41">
        <v>125537</v>
      </c>
      <c r="B298" s="41" t="s">
        <v>148</v>
      </c>
      <c r="C298" s="65" t="str">
        <f>VLOOKUP(B:B,Brand!B:C,2,0)</f>
        <v>Golden Mountain</v>
      </c>
      <c r="D298" s="63">
        <f>VLOOKUP(E:E,'Product Category'!J:O,6,FALSE)</f>
        <v>175</v>
      </c>
      <c r="E298" s="41" t="s">
        <v>2066</v>
      </c>
      <c r="F298" s="63" t="str">
        <f>VLOOKUP(E:E,'Product Category'!J:K,2,FALSE)</f>
        <v>37-Cooking Ingredients</v>
      </c>
      <c r="G298" s="63" t="str">
        <f>VLOOKUP(F:F,'Product Category'!K:L,2,FALSE)</f>
        <v>6-Dry Food / Dry Groceries</v>
      </c>
      <c r="H298" s="41" t="s">
        <v>2388</v>
      </c>
      <c r="I298" s="41" t="s">
        <v>2389</v>
      </c>
      <c r="J298" s="41" t="s">
        <v>5039</v>
      </c>
      <c r="K298" s="41" t="s">
        <v>5040</v>
      </c>
      <c r="L298" s="41">
        <v>500</v>
      </c>
      <c r="M298" s="41" t="s">
        <v>149</v>
      </c>
      <c r="N298" s="41" t="str">
        <f>VLOOKUP(M:M,Unit!B:C,2,0)</f>
        <v>cc</v>
      </c>
      <c r="O298" s="41" t="s">
        <v>67</v>
      </c>
      <c r="P298" s="41">
        <v>6</v>
      </c>
      <c r="Q298" s="41" t="s">
        <v>95</v>
      </c>
      <c r="R298" s="41" t="str">
        <f>VLOOKUP(Q:Q,Unit!B:D,2,0)</f>
        <v>bottle</v>
      </c>
      <c r="S298" s="41" t="s">
        <v>75</v>
      </c>
      <c r="T298" s="41" t="str">
        <f>VLOOKUP(S:S,Promo!B:D,2,0)</f>
        <v>Promo EN</v>
      </c>
      <c r="W298" s="41">
        <v>155</v>
      </c>
      <c r="X298" s="41">
        <v>132</v>
      </c>
      <c r="AB298" s="41" t="s">
        <v>91</v>
      </c>
      <c r="AG298" s="41" t="s">
        <v>71</v>
      </c>
      <c r="AH298" s="41" t="s">
        <v>71</v>
      </c>
      <c r="AI298" s="41" t="s">
        <v>71</v>
      </c>
      <c r="AJ298" s="41" t="s">
        <v>71</v>
      </c>
      <c r="AK298" s="41" t="s">
        <v>71</v>
      </c>
      <c r="AL298" s="41" t="s">
        <v>71</v>
      </c>
      <c r="BS298" s="41" t="s">
        <v>2058</v>
      </c>
      <c r="BT298" s="41" t="s">
        <v>72</v>
      </c>
      <c r="BW298" s="41" t="s">
        <v>72</v>
      </c>
      <c r="BX298" s="41">
        <f>VLOOKUP(B:B,Brand!B:D,3,0)</f>
        <v>474</v>
      </c>
      <c r="BY298" s="41">
        <f>VLOOKUP(M:M,Unit!B:D,3,0)</f>
        <v>11</v>
      </c>
      <c r="BZ298" s="41">
        <f>VLOOKUP(S:S,Promo!B:D,3,0)</f>
        <v>0</v>
      </c>
    </row>
    <row r="299" spans="1:78" s="41" customFormat="1" ht="15.75" customHeight="1">
      <c r="A299" s="41">
        <v>147395</v>
      </c>
      <c r="B299" s="41" t="s">
        <v>168</v>
      </c>
      <c r="C299" s="65" t="str">
        <f>VLOOKUP(B:B,Brand!B:C,2,0)</f>
        <v>Healthy Boy</v>
      </c>
      <c r="D299" s="63">
        <f>VLOOKUP(E:E,'Product Category'!J:O,6,FALSE)</f>
        <v>175</v>
      </c>
      <c r="E299" s="41" t="s">
        <v>2066</v>
      </c>
      <c r="F299" s="63" t="str">
        <f>VLOOKUP(E:E,'Product Category'!J:K,2,FALSE)</f>
        <v>37-Cooking Ingredients</v>
      </c>
      <c r="G299" s="63" t="str">
        <f>VLOOKUP(F:F,'Product Category'!K:L,2,FALSE)</f>
        <v>6-Dry Food / Dry Groceries</v>
      </c>
      <c r="H299" s="41" t="s">
        <v>4401</v>
      </c>
      <c r="I299" s="41" t="s">
        <v>4402</v>
      </c>
      <c r="J299" s="41" t="s">
        <v>5168</v>
      </c>
      <c r="K299" s="41" t="s">
        <v>5169</v>
      </c>
      <c r="L299" s="41">
        <v>940</v>
      </c>
      <c r="M299" s="41" t="s">
        <v>66</v>
      </c>
      <c r="N299" s="41" t="str">
        <f>VLOOKUP(M:M,Unit!B:C,2,0)</f>
        <v>ml</v>
      </c>
      <c r="O299" s="41" t="s">
        <v>67</v>
      </c>
      <c r="P299" s="41">
        <v>3</v>
      </c>
      <c r="Q299" s="41" t="s">
        <v>95</v>
      </c>
      <c r="R299" s="41" t="str">
        <f>VLOOKUP(Q:Q,Unit!B:D,2,0)</f>
        <v>bottle</v>
      </c>
      <c r="S299" s="41" t="s">
        <v>75</v>
      </c>
      <c r="T299" s="41" t="str">
        <f>VLOOKUP(S:S,Promo!B:D,2,0)</f>
        <v>Promo EN</v>
      </c>
      <c r="W299" s="41">
        <v>75</v>
      </c>
      <c r="X299" s="41">
        <v>69</v>
      </c>
      <c r="AB299" s="41" t="s">
        <v>91</v>
      </c>
      <c r="AF299" s="41" t="s">
        <v>3373</v>
      </c>
      <c r="AG299" s="41" t="s">
        <v>71</v>
      </c>
      <c r="AH299" s="41" t="s">
        <v>71</v>
      </c>
      <c r="AI299" s="41" t="s">
        <v>71</v>
      </c>
      <c r="AJ299" s="41" t="s">
        <v>71</v>
      </c>
      <c r="AK299" s="41" t="s">
        <v>71</v>
      </c>
      <c r="AL299" s="41" t="s">
        <v>71</v>
      </c>
      <c r="BS299" s="41" t="s">
        <v>2058</v>
      </c>
      <c r="BT299" s="41" t="s">
        <v>72</v>
      </c>
      <c r="BW299" s="41" t="s">
        <v>72</v>
      </c>
      <c r="BX299" s="41">
        <f>VLOOKUP(B:B,Brand!B:D,3,0)</f>
        <v>233</v>
      </c>
      <c r="BY299" s="41">
        <f>VLOOKUP(M:M,Unit!B:D,3,0)</f>
        <v>4</v>
      </c>
      <c r="BZ299" s="41">
        <f>VLOOKUP(S:S,Promo!B:D,3,0)</f>
        <v>0</v>
      </c>
    </row>
    <row r="300" spans="1:78" s="41" customFormat="1" ht="15.75" customHeight="1">
      <c r="A300" s="41">
        <v>109609</v>
      </c>
      <c r="B300" s="41" t="s">
        <v>1045</v>
      </c>
      <c r="C300" s="65" t="str">
        <f>VLOOKUP(B:B,Brand!B:C,2,0)</f>
        <v>Roza</v>
      </c>
      <c r="D300" s="63">
        <f>VLOOKUP(E:E,'Product Category'!J:O,6,FALSE)</f>
        <v>176</v>
      </c>
      <c r="E300" s="41" t="s">
        <v>2129</v>
      </c>
      <c r="F300" s="63" t="str">
        <f>VLOOKUP(E:E,'Product Category'!J:K,2,FALSE)</f>
        <v>37-Cooking Ingredients</v>
      </c>
      <c r="G300" s="63" t="str">
        <f>VLOOKUP(F:F,'Product Category'!K:L,2,FALSE)</f>
        <v>6-Dry Food / Dry Groceries</v>
      </c>
      <c r="H300" s="41" t="s">
        <v>3521</v>
      </c>
      <c r="I300" s="41" t="s">
        <v>3522</v>
      </c>
      <c r="J300" s="41" t="s">
        <v>4581</v>
      </c>
      <c r="K300" s="41" t="s">
        <v>4582</v>
      </c>
      <c r="L300" s="41">
        <v>5500</v>
      </c>
      <c r="M300" s="41" t="s">
        <v>83</v>
      </c>
      <c r="N300" s="41" t="str">
        <f>VLOOKUP(M:M,Unit!B:C,2,0)</f>
        <v>g</v>
      </c>
      <c r="O300" s="41" t="s">
        <v>67</v>
      </c>
      <c r="P300" s="41">
        <v>1</v>
      </c>
      <c r="Q300" s="41" t="s">
        <v>2152</v>
      </c>
      <c r="R300" s="41" t="str">
        <f>VLOOKUP(Q:Q,Unit!B:D,2,0)</f>
        <v>gal</v>
      </c>
      <c r="S300" s="41" t="s">
        <v>75</v>
      </c>
      <c r="T300" s="41" t="str">
        <f>VLOOKUP(S:S,Promo!B:D,2,0)</f>
        <v>Promo EN</v>
      </c>
      <c r="W300" s="41">
        <v>184</v>
      </c>
      <c r="X300" s="41">
        <v>182</v>
      </c>
      <c r="AB300" s="41" t="s">
        <v>2054</v>
      </c>
      <c r="AF300" s="41" t="s">
        <v>3373</v>
      </c>
      <c r="AG300" s="41" t="s">
        <v>71</v>
      </c>
      <c r="AH300" s="41" t="s">
        <v>71</v>
      </c>
      <c r="AI300" s="41" t="s">
        <v>71</v>
      </c>
      <c r="AJ300" s="41" t="s">
        <v>71</v>
      </c>
      <c r="AK300" s="41" t="s">
        <v>71</v>
      </c>
      <c r="AL300" s="41" t="s">
        <v>71</v>
      </c>
      <c r="BS300" s="41" t="s">
        <v>2058</v>
      </c>
      <c r="BT300" s="41" t="s">
        <v>72</v>
      </c>
      <c r="BW300" s="41" t="s">
        <v>72</v>
      </c>
      <c r="BX300" s="41">
        <f>VLOOKUP(B:B,Brand!B:D,3,0)</f>
        <v>556</v>
      </c>
      <c r="BY300" s="41">
        <f>VLOOKUP(M:M,Unit!B:D,3,0)</f>
        <v>1</v>
      </c>
      <c r="BZ300" s="41">
        <f>VLOOKUP(S:S,Promo!B:D,3,0)</f>
        <v>0</v>
      </c>
    </row>
    <row r="301" spans="1:78" s="41" customFormat="1" ht="15.75" customHeight="1">
      <c r="A301" s="41">
        <v>75972</v>
      </c>
      <c r="B301" s="41" t="s">
        <v>160</v>
      </c>
      <c r="C301" s="65" t="str">
        <f>VLOOKUP(B:B,Brand!B:C,2,0)</f>
        <v>Super-C-Chef</v>
      </c>
      <c r="D301" s="63">
        <f>VLOOKUP(E:E,'Product Category'!J:O,6,FALSE)</f>
        <v>176</v>
      </c>
      <c r="E301" s="41" t="s">
        <v>2129</v>
      </c>
      <c r="F301" s="63" t="str">
        <f>VLOOKUP(E:E,'Product Category'!J:K,2,FALSE)</f>
        <v>37-Cooking Ingredients</v>
      </c>
      <c r="G301" s="63" t="str">
        <f>VLOOKUP(F:F,'Product Category'!K:L,2,FALSE)</f>
        <v>6-Dry Food / Dry Groceries</v>
      </c>
      <c r="H301" s="41" t="s">
        <v>4235</v>
      </c>
      <c r="I301" s="41" t="s">
        <v>4236</v>
      </c>
      <c r="J301" s="41" t="s">
        <v>5073</v>
      </c>
      <c r="K301" s="41" t="s">
        <v>5074</v>
      </c>
      <c r="L301" s="41">
        <v>155</v>
      </c>
      <c r="M301" s="41" t="s">
        <v>83</v>
      </c>
      <c r="N301" s="41" t="str">
        <f>VLOOKUP(M:M,Unit!B:C,2,0)</f>
        <v>g</v>
      </c>
      <c r="O301" s="41" t="s">
        <v>67</v>
      </c>
      <c r="P301" s="41">
        <v>10</v>
      </c>
      <c r="Q301" s="41" t="s">
        <v>2154</v>
      </c>
      <c r="R301" s="41" t="str">
        <f>VLOOKUP(Q:Q,Unit!B:D,2,0)</f>
        <v>can</v>
      </c>
      <c r="S301" s="41" t="s">
        <v>75</v>
      </c>
      <c r="T301" s="41" t="str">
        <f>VLOOKUP(S:S,Promo!B:D,2,0)</f>
        <v>Promo EN</v>
      </c>
      <c r="W301" s="41">
        <v>155</v>
      </c>
      <c r="X301" s="41">
        <v>129</v>
      </c>
      <c r="AB301" s="41" t="s">
        <v>2062</v>
      </c>
      <c r="AG301" s="41" t="s">
        <v>71</v>
      </c>
      <c r="AH301" s="41" t="s">
        <v>71</v>
      </c>
      <c r="AI301" s="41" t="s">
        <v>71</v>
      </c>
      <c r="AJ301" s="41" t="s">
        <v>71</v>
      </c>
      <c r="AK301" s="41" t="s">
        <v>71</v>
      </c>
      <c r="AL301" s="41" t="s">
        <v>71</v>
      </c>
      <c r="BS301" s="41" t="s">
        <v>2058</v>
      </c>
      <c r="BT301" s="41" t="s">
        <v>72</v>
      </c>
      <c r="BW301" s="41" t="s">
        <v>72</v>
      </c>
      <c r="BX301" s="41">
        <f>VLOOKUP(B:B,Brand!B:D,3,0)</f>
        <v>944</v>
      </c>
      <c r="BY301" s="41">
        <f>VLOOKUP(M:M,Unit!B:D,3,0)</f>
        <v>1</v>
      </c>
      <c r="BZ301" s="41">
        <f>VLOOKUP(S:S,Promo!B:D,3,0)</f>
        <v>0</v>
      </c>
    </row>
    <row r="302" spans="1:78" s="41" customFormat="1" ht="15.75" customHeight="1">
      <c r="A302" s="41">
        <v>114083</v>
      </c>
      <c r="B302" s="41" t="s">
        <v>1045</v>
      </c>
      <c r="C302" s="65" t="str">
        <f>VLOOKUP(B:B,Brand!B:C,2,0)</f>
        <v>Roza</v>
      </c>
      <c r="D302" s="63">
        <f>VLOOKUP(E:E,'Product Category'!J:O,6,FALSE)</f>
        <v>176</v>
      </c>
      <c r="E302" s="41" t="s">
        <v>2129</v>
      </c>
      <c r="F302" s="63" t="str">
        <f>VLOOKUP(E:E,'Product Category'!J:K,2,FALSE)</f>
        <v>37-Cooking Ingredients</v>
      </c>
      <c r="G302" s="63" t="str">
        <f>VLOOKUP(F:F,'Product Category'!K:L,2,FALSE)</f>
        <v>6-Dry Food / Dry Groceries</v>
      </c>
      <c r="H302" s="41" t="s">
        <v>2178</v>
      </c>
      <c r="I302" s="41" t="s">
        <v>2317</v>
      </c>
      <c r="J302" s="41" t="s">
        <v>5148</v>
      </c>
      <c r="K302" s="41" t="s">
        <v>5149</v>
      </c>
      <c r="L302" s="41">
        <v>1000</v>
      </c>
      <c r="M302" s="41" t="s">
        <v>83</v>
      </c>
      <c r="N302" s="41" t="str">
        <f>VLOOKUP(M:M,Unit!B:C,2,0)</f>
        <v>g</v>
      </c>
      <c r="O302" s="41" t="s">
        <v>67</v>
      </c>
      <c r="P302" s="41">
        <v>1</v>
      </c>
      <c r="Q302" s="41" t="s">
        <v>135</v>
      </c>
      <c r="R302" s="41" t="str">
        <f>VLOOKUP(Q:Q,Unit!B:D,2,0)</f>
        <v>g</v>
      </c>
      <c r="S302" s="41" t="s">
        <v>75</v>
      </c>
      <c r="T302" s="41" t="str">
        <f>VLOOKUP(S:S,Promo!B:D,2,0)</f>
        <v>Promo EN</v>
      </c>
      <c r="W302" s="41">
        <v>30</v>
      </c>
      <c r="X302" s="41">
        <v>29</v>
      </c>
      <c r="AB302" s="41" t="s">
        <v>2054</v>
      </c>
      <c r="AG302" s="41" t="s">
        <v>71</v>
      </c>
      <c r="AH302" s="41" t="s">
        <v>71</v>
      </c>
      <c r="AI302" s="41" t="s">
        <v>71</v>
      </c>
      <c r="AJ302" s="41" t="s">
        <v>71</v>
      </c>
      <c r="AK302" s="41" t="s">
        <v>71</v>
      </c>
      <c r="AL302" s="41" t="s">
        <v>71</v>
      </c>
      <c r="BS302" s="41" t="s">
        <v>2058</v>
      </c>
      <c r="BT302" s="41" t="s">
        <v>72</v>
      </c>
      <c r="BW302" s="41" t="s">
        <v>72</v>
      </c>
      <c r="BX302" s="41">
        <f>VLOOKUP(B:B,Brand!B:D,3,0)</f>
        <v>556</v>
      </c>
      <c r="BY302" s="41">
        <f>VLOOKUP(M:M,Unit!B:D,3,0)</f>
        <v>1</v>
      </c>
      <c r="BZ302" s="41">
        <f>VLOOKUP(S:S,Promo!B:D,3,0)</f>
        <v>0</v>
      </c>
    </row>
    <row r="303" spans="1:78" s="41" customFormat="1" ht="15.75" customHeight="1">
      <c r="A303" s="41">
        <v>148794</v>
      </c>
      <c r="B303" s="41" t="s">
        <v>97</v>
      </c>
      <c r="C303" s="65" t="str">
        <f>VLOOKUP(B:B,Brand!B:C,2,0)</f>
        <v>aro</v>
      </c>
      <c r="D303" s="63">
        <f>VLOOKUP(E:E,'Product Category'!J:O,6,FALSE)</f>
        <v>177</v>
      </c>
      <c r="E303" s="41" t="s">
        <v>2090</v>
      </c>
      <c r="F303" s="63" t="str">
        <f>VLOOKUP(E:E,'Product Category'!J:K,2,FALSE)</f>
        <v>37-Cooking Ingredients</v>
      </c>
      <c r="G303" s="63" t="str">
        <f>VLOOKUP(F:F,'Product Category'!K:L,2,FALSE)</f>
        <v>6-Dry Food / Dry Groceries</v>
      </c>
      <c r="H303" s="41" t="s">
        <v>1718</v>
      </c>
      <c r="I303" s="41" t="s">
        <v>1717</v>
      </c>
      <c r="J303" s="41" t="s">
        <v>5071</v>
      </c>
      <c r="K303" s="41" t="s">
        <v>5072</v>
      </c>
      <c r="L303" s="41">
        <v>4500</v>
      </c>
      <c r="M303" s="41" t="s">
        <v>83</v>
      </c>
      <c r="N303" s="41" t="str">
        <f>VLOOKUP(M:M,Unit!B:C,2,0)</f>
        <v>g</v>
      </c>
      <c r="O303" s="41" t="s">
        <v>67</v>
      </c>
      <c r="P303" s="41">
        <v>1</v>
      </c>
      <c r="Q303" s="41" t="s">
        <v>2152</v>
      </c>
      <c r="R303" s="41" t="str">
        <f>VLOOKUP(Q:Q,Unit!B:D,2,0)</f>
        <v>gal</v>
      </c>
      <c r="S303" s="41" t="s">
        <v>75</v>
      </c>
      <c r="T303" s="41" t="str">
        <f>VLOOKUP(S:S,Promo!B:D,2,0)</f>
        <v>Promo EN</v>
      </c>
      <c r="W303" s="41">
        <v>92</v>
      </c>
      <c r="X303" s="41">
        <v>87</v>
      </c>
      <c r="Z303" s="41">
        <v>241249</v>
      </c>
      <c r="AA303" s="41" t="s">
        <v>3659</v>
      </c>
      <c r="AB303" s="41" t="s">
        <v>2054</v>
      </c>
      <c r="AF303" s="41" t="s">
        <v>3373</v>
      </c>
      <c r="AG303" s="41" t="s">
        <v>71</v>
      </c>
      <c r="AH303" s="41" t="s">
        <v>71</v>
      </c>
      <c r="AI303" s="41" t="s">
        <v>71</v>
      </c>
      <c r="AJ303" s="41" t="s">
        <v>71</v>
      </c>
      <c r="AK303" s="41" t="s">
        <v>71</v>
      </c>
      <c r="AL303" s="41" t="s">
        <v>71</v>
      </c>
      <c r="BS303" s="41" t="s">
        <v>2058</v>
      </c>
      <c r="BT303" s="41" t="s">
        <v>72</v>
      </c>
      <c r="BW303" s="41" t="s">
        <v>72</v>
      </c>
      <c r="BX303" s="41">
        <f>VLOOKUP(B:B,Brand!B:D,3,0)</f>
        <v>692</v>
      </c>
      <c r="BY303" s="41">
        <f>VLOOKUP(M:M,Unit!B:D,3,0)</f>
        <v>1</v>
      </c>
      <c r="BZ303" s="41">
        <f>VLOOKUP(S:S,Promo!B:D,3,0)</f>
        <v>0</v>
      </c>
    </row>
    <row r="304" spans="1:78" s="41" customFormat="1" ht="15.75" customHeight="1">
      <c r="A304" s="41">
        <v>156524</v>
      </c>
      <c r="B304" s="41" t="s">
        <v>1349</v>
      </c>
      <c r="C304" s="65" t="str">
        <f>VLOOKUP(B:B,Brand!B:C,2,0)</f>
        <v>Hahne</v>
      </c>
      <c r="D304" s="63">
        <f>VLOOKUP(E:E,'Product Category'!J:O,6,FALSE)</f>
        <v>179</v>
      </c>
      <c r="E304" s="41" t="s">
        <v>2142</v>
      </c>
      <c r="F304" s="63" t="str">
        <f>VLOOKUP(E:E,'Product Category'!J:K,2,FALSE)</f>
        <v>37-Cooking Ingredients</v>
      </c>
      <c r="G304" s="63" t="str">
        <f>VLOOKUP(F:F,'Product Category'!K:L,2,FALSE)</f>
        <v>6-Dry Food / Dry Groceries</v>
      </c>
      <c r="H304" s="41" t="s">
        <v>2374</v>
      </c>
      <c r="I304" s="41" t="s">
        <v>2375</v>
      </c>
      <c r="J304" s="65" t="str">
        <f>TRIM(CONCATENATE(B304," ",H304," ",L304," ",M304," ",O304,P304," ",Q304))</f>
        <v>ฮาทเน่ มูสลีไม่มีน้ำตาล 1 กก. x1 ถุง</v>
      </c>
      <c r="K304" s="80" t="str">
        <f>TRIM(CONCATENATE(C304," ",I304," ",L304," ",N304," ",O304,P304," ",R304))</f>
        <v>Hahne MOUSLI NO SUGAR ADDED 1 kg x1 unit</v>
      </c>
      <c r="L304" s="41">
        <v>1</v>
      </c>
      <c r="M304" s="41" t="s">
        <v>79</v>
      </c>
      <c r="N304" s="41" t="str">
        <f>VLOOKUP(M:M,Unit!B:C,2,0)</f>
        <v>kg</v>
      </c>
      <c r="O304" s="41" t="s">
        <v>67</v>
      </c>
      <c r="P304" s="41">
        <v>1</v>
      </c>
      <c r="Q304" s="41" t="s">
        <v>2153</v>
      </c>
      <c r="R304" s="41" t="str">
        <f>VLOOKUP(Q:Q,Unit!B:D,2,0)</f>
        <v>unit</v>
      </c>
      <c r="S304" s="41" t="s">
        <v>75</v>
      </c>
      <c r="T304" s="41" t="str">
        <f>VLOOKUP(S:S,Promo!B:D,2,0)</f>
        <v>Promo EN</v>
      </c>
      <c r="W304" s="41">
        <v>198</v>
      </c>
      <c r="X304" s="41">
        <v>179</v>
      </c>
      <c r="AB304" s="41" t="s">
        <v>91</v>
      </c>
      <c r="AG304" s="41" t="s">
        <v>71</v>
      </c>
      <c r="AH304" s="41" t="s">
        <v>71</v>
      </c>
      <c r="AI304" s="41" t="s">
        <v>71</v>
      </c>
      <c r="AJ304" s="41" t="s">
        <v>71</v>
      </c>
      <c r="AK304" s="41" t="s">
        <v>71</v>
      </c>
      <c r="AL304" s="41" t="s">
        <v>71</v>
      </c>
      <c r="BS304" s="41" t="s">
        <v>2058</v>
      </c>
      <c r="BT304" s="41" t="s">
        <v>72</v>
      </c>
      <c r="BW304" s="41" t="s">
        <v>72</v>
      </c>
      <c r="BX304" s="41">
        <f>VLOOKUP(B:B,Brand!B:D,3,0)</f>
        <v>742</v>
      </c>
      <c r="BY304" s="41">
        <f>VLOOKUP(M:M,Unit!B:D,3,0)</f>
        <v>2</v>
      </c>
      <c r="BZ304" s="41">
        <f>VLOOKUP(S:S,Promo!B:D,3,0)</f>
        <v>0</v>
      </c>
    </row>
    <row r="305" spans="1:78" s="41" customFormat="1" ht="15.75" customHeight="1">
      <c r="A305" s="41">
        <v>185841</v>
      </c>
      <c r="D305" s="63">
        <f>VLOOKUP(E:E,'Product Category'!J:O,6,FALSE)</f>
        <v>179</v>
      </c>
      <c r="E305" s="41" t="s">
        <v>2142</v>
      </c>
      <c r="F305" s="63" t="str">
        <f>VLOOKUP(E:E,'Product Category'!J:K,2,FALSE)</f>
        <v>37-Cooking Ingredients</v>
      </c>
      <c r="G305" s="63" t="str">
        <f>VLOOKUP(F:F,'Product Category'!K:L,2,FALSE)</f>
        <v>6-Dry Food / Dry Groceries</v>
      </c>
      <c r="H305" s="41" t="s">
        <v>4123</v>
      </c>
      <c r="I305" s="41" t="s">
        <v>4124</v>
      </c>
      <c r="J305" s="65" t="str">
        <f>TRIM(CONCATENATE(B305," ",H305," ",L305," ",M305," ",O305,P305," ",Q305))</f>
        <v>โดนัทน้ำตาล วงแหวน 30 กรัม x5 ชิ้น</v>
      </c>
      <c r="K305" s="80" t="str">
        <f>TRIM(CONCATENATE(C305," ",I305," ",L305," ",N305," ",O305,P305," ",R305))</f>
        <v>SUGAR DONUT (RING) 30 g x5 pc</v>
      </c>
      <c r="L305" s="41">
        <v>30</v>
      </c>
      <c r="M305" s="41" t="s">
        <v>83</v>
      </c>
      <c r="N305" s="41" t="str">
        <f>VLOOKUP(M:M,Unit!B:C,2,0)</f>
        <v>g</v>
      </c>
      <c r="O305" s="41" t="s">
        <v>67</v>
      </c>
      <c r="P305" s="41">
        <v>5</v>
      </c>
      <c r="Q305" s="41" t="s">
        <v>68</v>
      </c>
      <c r="R305" s="41" t="str">
        <f>VLOOKUP(Q:Q,Unit!B:D,2,0)</f>
        <v>pc</v>
      </c>
      <c r="S305" s="41" t="s">
        <v>75</v>
      </c>
      <c r="T305" s="41" t="str">
        <f>VLOOKUP(S:S,Promo!B:D,2,0)</f>
        <v>Promo EN</v>
      </c>
      <c r="W305" s="41">
        <v>39</v>
      </c>
      <c r="X305" s="41">
        <v>35</v>
      </c>
      <c r="AB305" s="41" t="s">
        <v>2062</v>
      </c>
      <c r="AG305" s="41" t="s">
        <v>71</v>
      </c>
      <c r="AH305" s="41" t="s">
        <v>71</v>
      </c>
      <c r="AI305" s="41" t="s">
        <v>71</v>
      </c>
      <c r="AJ305" s="41" t="s">
        <v>71</v>
      </c>
      <c r="AK305" s="41" t="s">
        <v>71</v>
      </c>
      <c r="AL305" s="41" t="s">
        <v>71</v>
      </c>
      <c r="BS305" s="41" t="s">
        <v>2058</v>
      </c>
      <c r="BT305" s="41" t="s">
        <v>72</v>
      </c>
      <c r="BW305" s="41" t="s">
        <v>72</v>
      </c>
      <c r="BY305" s="41">
        <f>VLOOKUP(M:M,Unit!B:D,3,0)</f>
        <v>1</v>
      </c>
      <c r="BZ305" s="41">
        <f>VLOOKUP(S:S,Promo!B:D,3,0)</f>
        <v>0</v>
      </c>
    </row>
    <row r="306" spans="1:78" s="41" customFormat="1" ht="15.75" customHeight="1">
      <c r="A306" s="41">
        <v>185844</v>
      </c>
      <c r="D306" s="63">
        <f>VLOOKUP(E:E,'Product Category'!J:O,6,FALSE)</f>
        <v>179</v>
      </c>
      <c r="E306" s="41" t="s">
        <v>2142</v>
      </c>
      <c r="F306" s="63" t="str">
        <f>VLOOKUP(E:E,'Product Category'!J:K,2,FALSE)</f>
        <v>37-Cooking Ingredients</v>
      </c>
      <c r="G306" s="63" t="str">
        <f>VLOOKUP(F:F,'Product Category'!K:L,2,FALSE)</f>
        <v>6-Dry Food / Dry Groceries</v>
      </c>
      <c r="H306" s="41" t="s">
        <v>4125</v>
      </c>
      <c r="I306" s="41" t="s">
        <v>4126</v>
      </c>
      <c r="J306" s="65" t="str">
        <f>TRIM(CONCATENATE(B306," ",H306," ",L306," ",M306," ",O306,P306," ",Q306))</f>
        <v>โดนัทน้ำตาล เกลียว 30 กรัม x5 ชิ้น</v>
      </c>
      <c r="K306" s="80" t="str">
        <f>TRIM(CONCATENATE(C306," ",I306," ",L306," ",N306," ",O306,P306," ",R306))</f>
        <v>SUGAR DONUT (TWIST) 30 g x5 pc</v>
      </c>
      <c r="L306" s="41">
        <v>30</v>
      </c>
      <c r="M306" s="41" t="s">
        <v>83</v>
      </c>
      <c r="N306" s="41" t="str">
        <f>VLOOKUP(M:M,Unit!B:C,2,0)</f>
        <v>g</v>
      </c>
      <c r="O306" s="41" t="s">
        <v>67</v>
      </c>
      <c r="P306" s="41">
        <v>5</v>
      </c>
      <c r="Q306" s="41" t="s">
        <v>68</v>
      </c>
      <c r="R306" s="41" t="str">
        <f>VLOOKUP(Q:Q,Unit!B:D,2,0)</f>
        <v>pc</v>
      </c>
      <c r="S306" s="41" t="s">
        <v>75</v>
      </c>
      <c r="T306" s="41" t="str">
        <f>VLOOKUP(S:S,Promo!B:D,2,0)</f>
        <v>Promo EN</v>
      </c>
      <c r="W306" s="41">
        <v>39</v>
      </c>
      <c r="X306" s="41">
        <v>35</v>
      </c>
      <c r="AB306" s="41" t="s">
        <v>2062</v>
      </c>
      <c r="AG306" s="41" t="s">
        <v>71</v>
      </c>
      <c r="AH306" s="41" t="s">
        <v>71</v>
      </c>
      <c r="AI306" s="41" t="s">
        <v>71</v>
      </c>
      <c r="AJ306" s="41" t="s">
        <v>71</v>
      </c>
      <c r="AK306" s="41" t="s">
        <v>71</v>
      </c>
      <c r="AL306" s="41" t="s">
        <v>71</v>
      </c>
      <c r="BS306" s="41" t="s">
        <v>2058</v>
      </c>
      <c r="BT306" s="41" t="s">
        <v>72</v>
      </c>
      <c r="BW306" s="41" t="s">
        <v>72</v>
      </c>
      <c r="BY306" s="41">
        <f>VLOOKUP(M:M,Unit!B:D,3,0)</f>
        <v>1</v>
      </c>
      <c r="BZ306" s="41">
        <f>VLOOKUP(S:S,Promo!B:D,3,0)</f>
        <v>0</v>
      </c>
    </row>
    <row r="307" spans="1:78" s="41" customFormat="1" ht="15.75" customHeight="1">
      <c r="A307" s="41">
        <v>819253</v>
      </c>
      <c r="D307" s="63">
        <f>VLOOKUP(E:E,'Product Category'!J:O,6,FALSE)</f>
        <v>179</v>
      </c>
      <c r="E307" s="41" t="s">
        <v>2142</v>
      </c>
      <c r="F307" s="63" t="str">
        <f>VLOOKUP(E:E,'Product Category'!J:K,2,FALSE)</f>
        <v>37-Cooking Ingredients</v>
      </c>
      <c r="G307" s="63" t="str">
        <f>VLOOKUP(F:F,'Product Category'!K:L,2,FALSE)</f>
        <v>6-Dry Food / Dry Groceries</v>
      </c>
      <c r="H307" s="41" t="s">
        <v>4281</v>
      </c>
      <c r="I307" s="41" t="s">
        <v>4282</v>
      </c>
      <c r="J307" s="65" t="str">
        <f>TRIM(CONCATENATE(B307," ",H307," ",L307," ",M307," ",O307,P307," ",Q307))</f>
        <v>ถังเหลี่ยม เจาะรู+ฝา #413 สีน้ำตาล 20 ใบ x1 ชุด</v>
      </c>
      <c r="K307" s="80" t="str">
        <f>TRIM(CONCATENATE(C307," ",I307," ",L307," ",N307," ",O307,P307," ",R307))</f>
        <v>BUCKET SQUARE #413 BROWN 20 pc x1 set</v>
      </c>
      <c r="L307" s="41">
        <v>20</v>
      </c>
      <c r="M307" s="41" t="s">
        <v>100</v>
      </c>
      <c r="N307" s="41" t="str">
        <f>VLOOKUP(M:M,Unit!B:C,2,0)</f>
        <v>pc</v>
      </c>
      <c r="O307" s="41" t="s">
        <v>67</v>
      </c>
      <c r="P307" s="41">
        <v>1</v>
      </c>
      <c r="Q307" s="41" t="s">
        <v>183</v>
      </c>
      <c r="R307" s="41" t="str">
        <f>VLOOKUP(Q:Q,Unit!B:D,2,0)</f>
        <v>set</v>
      </c>
      <c r="S307" s="41" t="s">
        <v>186</v>
      </c>
      <c r="T307" s="41" t="str">
        <f>VLOOKUP(S:S,Promo!B:D,2,0)</f>
        <v>buy 2 get 1</v>
      </c>
      <c r="X307" s="41">
        <v>159</v>
      </c>
      <c r="AB307" s="41" t="s">
        <v>2056</v>
      </c>
      <c r="AG307" s="41" t="s">
        <v>71</v>
      </c>
      <c r="AH307" s="41" t="s">
        <v>71</v>
      </c>
      <c r="AI307" s="41" t="s">
        <v>71</v>
      </c>
      <c r="AJ307" s="41" t="s">
        <v>71</v>
      </c>
      <c r="AK307" s="41" t="s">
        <v>71</v>
      </c>
      <c r="AL307" s="41" t="s">
        <v>71</v>
      </c>
      <c r="AQ307" s="41" t="s">
        <v>4283</v>
      </c>
      <c r="AR307" s="41" t="s">
        <v>1722</v>
      </c>
      <c r="BS307" s="41" t="s">
        <v>2058</v>
      </c>
      <c r="BT307" s="41" t="s">
        <v>72</v>
      </c>
      <c r="BW307" s="41" t="s">
        <v>72</v>
      </c>
      <c r="BY307" s="41">
        <f>VLOOKUP(M:M,Unit!B:D,3,0)</f>
        <v>10</v>
      </c>
      <c r="BZ307" s="41">
        <f>VLOOKUP(S:S,Promo!B:D,3,0)</f>
        <v>2</v>
      </c>
    </row>
    <row r="308" spans="1:78" s="41" customFormat="1" ht="15.75" customHeight="1">
      <c r="A308" s="41">
        <v>148797</v>
      </c>
      <c r="B308" s="41" t="s">
        <v>586</v>
      </c>
      <c r="C308" s="65" t="str">
        <f>VLOOKUP(B:B,Brand!B:C,2,0)</f>
        <v>Squid brand</v>
      </c>
      <c r="D308" s="63">
        <f>VLOOKUP(E:E,'Product Category'!J:O,6,FALSE)</f>
        <v>180</v>
      </c>
      <c r="E308" s="41" t="s">
        <v>2079</v>
      </c>
      <c r="F308" s="63" t="str">
        <f>VLOOKUP(E:E,'Product Category'!J:K,2,FALSE)</f>
        <v>37-Cooking Ingredients</v>
      </c>
      <c r="G308" s="63" t="str">
        <f>VLOOKUP(F:F,'Product Category'!K:L,2,FALSE)</f>
        <v>6-Dry Food / Dry Groceries</v>
      </c>
      <c r="H308" s="41" t="s">
        <v>1723</v>
      </c>
      <c r="I308" s="41" t="s">
        <v>4206</v>
      </c>
      <c r="J308" s="41" t="s">
        <v>5027</v>
      </c>
      <c r="K308" s="41" t="s">
        <v>5028</v>
      </c>
      <c r="L308" s="41">
        <v>700</v>
      </c>
      <c r="M308" s="41" t="s">
        <v>66</v>
      </c>
      <c r="N308" s="41" t="str">
        <f>VLOOKUP(M:M,Unit!B:C,2,0)</f>
        <v>ml</v>
      </c>
      <c r="O308" s="41" t="s">
        <v>67</v>
      </c>
      <c r="P308" s="41">
        <v>3</v>
      </c>
      <c r="Q308" s="41" t="s">
        <v>95</v>
      </c>
      <c r="R308" s="41" t="str">
        <f>VLOOKUP(Q:Q,Unit!B:D,2,0)</f>
        <v>bottle</v>
      </c>
      <c r="S308" s="41" t="s">
        <v>75</v>
      </c>
      <c r="T308" s="41" t="str">
        <f>VLOOKUP(S:S,Promo!B:D,2,0)</f>
        <v>Promo EN</v>
      </c>
      <c r="W308" s="41">
        <v>77</v>
      </c>
      <c r="X308" s="41">
        <v>72</v>
      </c>
      <c r="AB308" s="41" t="s">
        <v>2056</v>
      </c>
      <c r="AF308" s="41" t="s">
        <v>3373</v>
      </c>
      <c r="AG308" s="41" t="s">
        <v>71</v>
      </c>
      <c r="AH308" s="41" t="s">
        <v>71</v>
      </c>
      <c r="AI308" s="41" t="s">
        <v>71</v>
      </c>
      <c r="AJ308" s="41" t="s">
        <v>71</v>
      </c>
      <c r="AK308" s="41" t="s">
        <v>71</v>
      </c>
      <c r="AL308" s="41" t="s">
        <v>71</v>
      </c>
      <c r="BS308" s="41" t="s">
        <v>2058</v>
      </c>
      <c r="BT308" s="41" t="s">
        <v>72</v>
      </c>
      <c r="BW308" s="41" t="s">
        <v>72</v>
      </c>
      <c r="BX308" s="41">
        <f>VLOOKUP(B:B,Brand!B:D,3,0)</f>
        <v>250</v>
      </c>
      <c r="BY308" s="41">
        <f>VLOOKUP(M:M,Unit!B:D,3,0)</f>
        <v>4</v>
      </c>
      <c r="BZ308" s="41">
        <f>VLOOKUP(S:S,Promo!B:D,3,0)</f>
        <v>0</v>
      </c>
    </row>
    <row r="309" spans="1:78" s="41" customFormat="1" ht="15.75" customHeight="1">
      <c r="A309" s="41">
        <v>48620</v>
      </c>
      <c r="B309" s="41" t="s">
        <v>1849</v>
      </c>
      <c r="C309" s="65" t="str">
        <f>VLOOKUP(B:B,Brand!B:C,2,0)</f>
        <v>Spoon</v>
      </c>
      <c r="D309" s="63">
        <f>VLOOKUP(E:E,'Product Category'!J:O,6,FALSE)</f>
        <v>180</v>
      </c>
      <c r="E309" s="41" t="s">
        <v>2079</v>
      </c>
      <c r="F309" s="63" t="str">
        <f>VLOOKUP(E:E,'Product Category'!J:K,2,FALSE)</f>
        <v>37-Cooking Ingredients</v>
      </c>
      <c r="G309" s="63" t="str">
        <f>VLOOKUP(F:F,'Product Category'!K:L,2,FALSE)</f>
        <v>6-Dry Food / Dry Groceries</v>
      </c>
      <c r="H309" s="41" t="s">
        <v>4415</v>
      </c>
      <c r="I309" s="41" t="s">
        <v>2318</v>
      </c>
      <c r="J309" s="41" t="s">
        <v>5186</v>
      </c>
      <c r="K309" s="41" t="s">
        <v>5187</v>
      </c>
      <c r="L309" s="41">
        <v>7</v>
      </c>
      <c r="M309" s="41" t="s">
        <v>83</v>
      </c>
      <c r="N309" s="41" t="str">
        <f>VLOOKUP(M:M,Unit!B:C,2,0)</f>
        <v>g</v>
      </c>
      <c r="O309" s="41" t="s">
        <v>67</v>
      </c>
      <c r="P309" s="41">
        <v>50</v>
      </c>
      <c r="Q309" s="41" t="s">
        <v>135</v>
      </c>
      <c r="R309" s="41" t="str">
        <f>VLOOKUP(Q:Q,Unit!B:D,2,0)</f>
        <v>g</v>
      </c>
      <c r="S309" s="41" t="s">
        <v>75</v>
      </c>
      <c r="T309" s="41" t="str">
        <f>VLOOKUP(S:S,Promo!B:D,2,0)</f>
        <v>Promo EN</v>
      </c>
      <c r="W309" s="41">
        <v>27</v>
      </c>
      <c r="X309" s="41">
        <v>25</v>
      </c>
      <c r="AB309" s="41" t="s">
        <v>2056</v>
      </c>
      <c r="AG309" s="41" t="s">
        <v>71</v>
      </c>
      <c r="AH309" s="41" t="s">
        <v>71</v>
      </c>
      <c r="AI309" s="41" t="s">
        <v>71</v>
      </c>
      <c r="AJ309" s="41" t="s">
        <v>71</v>
      </c>
      <c r="AK309" s="41" t="s">
        <v>71</v>
      </c>
      <c r="AL309" s="41" t="s">
        <v>71</v>
      </c>
      <c r="BS309" s="41" t="s">
        <v>2058</v>
      </c>
      <c r="BT309" s="41" t="s">
        <v>72</v>
      </c>
      <c r="BW309" s="41" t="s">
        <v>72</v>
      </c>
      <c r="BX309" s="41">
        <f>VLOOKUP(B:B,Brand!B:D,3,0)</f>
        <v>866</v>
      </c>
      <c r="BY309" s="41">
        <f>VLOOKUP(M:M,Unit!B:D,3,0)</f>
        <v>1</v>
      </c>
      <c r="BZ309" s="41">
        <f>VLOOKUP(S:S,Promo!B:D,3,0)</f>
        <v>0</v>
      </c>
    </row>
    <row r="310" spans="1:78" s="41" customFormat="1" ht="15.75" customHeight="1">
      <c r="A310" s="41">
        <v>91858</v>
      </c>
      <c r="B310" s="41" t="s">
        <v>146</v>
      </c>
      <c r="C310" s="65" t="str">
        <f>VLOOKUP(B:B,Brand!B:C,2,0)</f>
        <v>Konbakkung</v>
      </c>
      <c r="D310" s="63">
        <f>VLOOKUP(E:E,'Product Category'!J:O,6,FALSE)</f>
        <v>180</v>
      </c>
      <c r="E310" s="41" t="s">
        <v>2079</v>
      </c>
      <c r="F310" s="63" t="str">
        <f>VLOOKUP(E:E,'Product Category'!J:K,2,FALSE)</f>
        <v>37-Cooking Ingredients</v>
      </c>
      <c r="G310" s="63" t="str">
        <f>VLOOKUP(F:F,'Product Category'!K:L,2,FALSE)</f>
        <v>6-Dry Food / Dry Groceries</v>
      </c>
      <c r="H310" s="41" t="s">
        <v>4416</v>
      </c>
      <c r="I310" s="41" t="s">
        <v>2318</v>
      </c>
      <c r="J310" s="41" t="s">
        <v>5188</v>
      </c>
      <c r="K310" s="41" t="s">
        <v>5189</v>
      </c>
      <c r="L310" s="41">
        <v>4500</v>
      </c>
      <c r="M310" s="41" t="s">
        <v>66</v>
      </c>
      <c r="N310" s="41" t="str">
        <f>VLOOKUP(M:M,Unit!B:C,2,0)</f>
        <v>ml</v>
      </c>
      <c r="O310" s="41" t="s">
        <v>67</v>
      </c>
      <c r="P310" s="41">
        <v>1</v>
      </c>
      <c r="Q310" s="41" t="s">
        <v>2152</v>
      </c>
      <c r="R310" s="41" t="str">
        <f>VLOOKUP(Q:Q,Unit!B:D,2,0)</f>
        <v>gal</v>
      </c>
      <c r="S310" s="41" t="s">
        <v>75</v>
      </c>
      <c r="T310" s="41" t="str">
        <f>VLOOKUP(S:S,Promo!B:D,2,0)</f>
        <v>Promo EN</v>
      </c>
      <c r="W310" s="41">
        <v>153</v>
      </c>
      <c r="X310" s="41">
        <v>139</v>
      </c>
      <c r="AB310" s="41" t="s">
        <v>2056</v>
      </c>
      <c r="AG310" s="41" t="s">
        <v>71</v>
      </c>
      <c r="AH310" s="41" t="s">
        <v>71</v>
      </c>
      <c r="AI310" s="41" t="s">
        <v>71</v>
      </c>
      <c r="AJ310" s="41" t="s">
        <v>71</v>
      </c>
      <c r="AK310" s="41" t="s">
        <v>71</v>
      </c>
      <c r="AL310" s="41" t="s">
        <v>71</v>
      </c>
      <c r="BS310" s="41" t="s">
        <v>2058</v>
      </c>
      <c r="BT310" s="41" t="s">
        <v>72</v>
      </c>
      <c r="BW310" s="41" t="s">
        <v>72</v>
      </c>
      <c r="BX310" s="41">
        <f>VLOOKUP(B:B,Brand!B:D,3,0)</f>
        <v>939</v>
      </c>
      <c r="BY310" s="41">
        <f>VLOOKUP(M:M,Unit!B:D,3,0)</f>
        <v>4</v>
      </c>
      <c r="BZ310" s="41">
        <f>VLOOKUP(S:S,Promo!B:D,3,0)</f>
        <v>0</v>
      </c>
    </row>
    <row r="311" spans="1:78" s="41" customFormat="1" ht="15.75" customHeight="1">
      <c r="A311" s="41">
        <v>124213</v>
      </c>
      <c r="B311" s="41" t="s">
        <v>97</v>
      </c>
      <c r="C311" s="65" t="str">
        <f>VLOOKUP(B:B,Brand!B:C,2,0)</f>
        <v>aro</v>
      </c>
      <c r="D311" s="63">
        <f>VLOOKUP(E:E,'Product Category'!J:O,6,FALSE)</f>
        <v>181</v>
      </c>
      <c r="E311" s="41" t="s">
        <v>2105</v>
      </c>
      <c r="F311" s="63" t="str">
        <f>VLOOKUP(E:E,'Product Category'!J:K,2,FALSE)</f>
        <v>37-Cooking Ingredients</v>
      </c>
      <c r="G311" s="63" t="str">
        <f>VLOOKUP(F:F,'Product Category'!K:L,2,FALSE)</f>
        <v>6-Dry Food / Dry Groceries</v>
      </c>
      <c r="H311" s="41" t="s">
        <v>4418</v>
      </c>
      <c r="I311" s="41" t="s">
        <v>4419</v>
      </c>
      <c r="J311" s="41" t="s">
        <v>5198</v>
      </c>
      <c r="K311" s="41" t="s">
        <v>5199</v>
      </c>
      <c r="L311" s="41">
        <v>10</v>
      </c>
      <c r="M311" s="41" t="s">
        <v>94</v>
      </c>
      <c r="N311" s="41" t="str">
        <f>VLOOKUP(M:M,Unit!B:C,2,0)</f>
        <v>L</v>
      </c>
      <c r="O311" s="41" t="s">
        <v>67</v>
      </c>
      <c r="P311" s="41">
        <v>1</v>
      </c>
      <c r="Q311" s="41" t="s">
        <v>2152</v>
      </c>
      <c r="R311" s="41" t="str">
        <f>VLOOKUP(Q:Q,Unit!B:D,2,0)</f>
        <v>gal</v>
      </c>
      <c r="S311" s="41" t="s">
        <v>75</v>
      </c>
      <c r="T311" s="41" t="str">
        <f>VLOOKUP(S:S,Promo!B:D,2,0)</f>
        <v>Promo EN</v>
      </c>
      <c r="W311" s="41">
        <v>110</v>
      </c>
      <c r="X311" s="41">
        <v>107</v>
      </c>
      <c r="AB311" s="41" t="s">
        <v>91</v>
      </c>
      <c r="AG311" s="41" t="s">
        <v>71</v>
      </c>
      <c r="AH311" s="41" t="s">
        <v>71</v>
      </c>
      <c r="AI311" s="41" t="s">
        <v>71</v>
      </c>
      <c r="AJ311" s="41" t="s">
        <v>71</v>
      </c>
      <c r="AK311" s="41" t="s">
        <v>71</v>
      </c>
      <c r="AL311" s="41" t="s">
        <v>71</v>
      </c>
      <c r="BS311" s="41" t="s">
        <v>2058</v>
      </c>
      <c r="BT311" s="41" t="s">
        <v>72</v>
      </c>
      <c r="BW311" s="41" t="s">
        <v>72</v>
      </c>
      <c r="BX311" s="41">
        <f>VLOOKUP(B:B,Brand!B:D,3,0)</f>
        <v>692</v>
      </c>
      <c r="BY311" s="41">
        <f>VLOOKUP(M:M,Unit!B:D,3,0)</f>
        <v>7</v>
      </c>
      <c r="BZ311" s="41">
        <f>VLOOKUP(S:S,Promo!B:D,3,0)</f>
        <v>0</v>
      </c>
    </row>
    <row r="312" spans="1:78" s="41" customFormat="1" ht="15.75" customHeight="1">
      <c r="A312" s="41">
        <v>24908</v>
      </c>
      <c r="B312" s="41" t="s">
        <v>143</v>
      </c>
      <c r="C312" s="65" t="str">
        <f>VLOOKUP(B:B,Brand!B:C,2,0)</f>
        <v>Mae Pranom</v>
      </c>
      <c r="D312" s="63">
        <f>VLOOKUP(E:E,'Product Category'!J:O,6,FALSE)</f>
        <v>182</v>
      </c>
      <c r="E312" s="41" t="s">
        <v>2065</v>
      </c>
      <c r="F312" s="63" t="str">
        <f>VLOOKUP(E:E,'Product Category'!J:K,2,FALSE)</f>
        <v>37-Cooking Ingredients</v>
      </c>
      <c r="G312" s="63" t="str">
        <f>VLOOKUP(F:F,'Product Category'!K:L,2,FALSE)</f>
        <v>6-Dry Food / Dry Groceries</v>
      </c>
      <c r="H312" s="41" t="s">
        <v>3523</v>
      </c>
      <c r="I312" s="41" t="s">
        <v>3524</v>
      </c>
      <c r="J312" s="41" t="s">
        <v>4583</v>
      </c>
      <c r="K312" s="41" t="s">
        <v>4584</v>
      </c>
      <c r="L312" s="41">
        <v>5</v>
      </c>
      <c r="M312" s="41" t="s">
        <v>79</v>
      </c>
      <c r="N312" s="41" t="str">
        <f>VLOOKUP(M:M,Unit!B:C,2,0)</f>
        <v>kg</v>
      </c>
      <c r="O312" s="41" t="s">
        <v>67</v>
      </c>
      <c r="P312" s="41">
        <v>1</v>
      </c>
      <c r="Q312" s="41" t="s">
        <v>2152</v>
      </c>
      <c r="R312" s="41" t="str">
        <f>VLOOKUP(Q:Q,Unit!B:D,2,0)</f>
        <v>gal</v>
      </c>
      <c r="S312" s="41" t="s">
        <v>75</v>
      </c>
      <c r="T312" s="41" t="str">
        <f>VLOOKUP(S:S,Promo!B:D,2,0)</f>
        <v>Promo EN</v>
      </c>
      <c r="W312" s="41">
        <v>311</v>
      </c>
      <c r="X312" s="41">
        <v>300</v>
      </c>
      <c r="AB312" s="41" t="s">
        <v>2054</v>
      </c>
      <c r="AF312" s="41" t="s">
        <v>3387</v>
      </c>
      <c r="AG312" s="41" t="s">
        <v>71</v>
      </c>
      <c r="AH312" s="41" t="s">
        <v>71</v>
      </c>
      <c r="AI312" s="41" t="s">
        <v>71</v>
      </c>
      <c r="AJ312" s="41" t="s">
        <v>3388</v>
      </c>
      <c r="AK312" s="41" t="s">
        <v>71</v>
      </c>
      <c r="AL312" s="41" t="s">
        <v>71</v>
      </c>
      <c r="BS312" s="41" t="s">
        <v>2058</v>
      </c>
      <c r="BT312" s="41" t="s">
        <v>72</v>
      </c>
      <c r="BW312" s="41" t="s">
        <v>72</v>
      </c>
      <c r="BX312" s="41">
        <f>VLOOKUP(B:B,Brand!B:D,3,0)</f>
        <v>526</v>
      </c>
      <c r="BY312" s="41">
        <f>VLOOKUP(M:M,Unit!B:D,3,0)</f>
        <v>2</v>
      </c>
      <c r="BZ312" s="41">
        <f>VLOOKUP(S:S,Promo!B:D,3,0)</f>
        <v>0</v>
      </c>
    </row>
    <row r="313" spans="1:78" s="41" customFormat="1" ht="15.75" customHeight="1">
      <c r="A313" s="41">
        <v>206297</v>
      </c>
      <c r="B313" s="41" t="s">
        <v>161</v>
      </c>
      <c r="C313" s="65" t="str">
        <f>VLOOKUP(B:B,Brand!B:C,2,0)</f>
        <v>Maggi</v>
      </c>
      <c r="D313" s="63">
        <f>VLOOKUP(E:E,'Product Category'!J:O,6,FALSE)</f>
        <v>182</v>
      </c>
      <c r="E313" s="41" t="s">
        <v>2065</v>
      </c>
      <c r="F313" s="63" t="str">
        <f>VLOOKUP(E:E,'Product Category'!J:K,2,FALSE)</f>
        <v>37-Cooking Ingredients</v>
      </c>
      <c r="G313" s="63" t="str">
        <f>VLOOKUP(F:F,'Product Category'!K:L,2,FALSE)</f>
        <v>6-Dry Food / Dry Groceries</v>
      </c>
      <c r="H313" s="41" t="s">
        <v>2166</v>
      </c>
      <c r="I313" s="41" t="s">
        <v>3658</v>
      </c>
      <c r="J313" s="41" t="s">
        <v>4677</v>
      </c>
      <c r="K313" s="41" t="s">
        <v>4678</v>
      </c>
      <c r="L313" s="41">
        <v>980</v>
      </c>
      <c r="M313" s="41" t="s">
        <v>66</v>
      </c>
      <c r="N313" s="41" t="str">
        <f>VLOOKUP(M:M,Unit!B:C,2,0)</f>
        <v>ml</v>
      </c>
      <c r="O313" s="41" t="s">
        <v>67</v>
      </c>
      <c r="P313" s="41">
        <v>3</v>
      </c>
      <c r="Q313" s="41" t="s">
        <v>95</v>
      </c>
      <c r="R313" s="41" t="str">
        <f>VLOOKUP(Q:Q,Unit!B:D,2,0)</f>
        <v>bottle</v>
      </c>
      <c r="S313" s="41" t="s">
        <v>194</v>
      </c>
      <c r="T313" s="41" t="str">
        <f>VLOOKUP(S:S,Promo!B:D,2,0)</f>
        <v>buy 3 get 1</v>
      </c>
      <c r="X313" s="41">
        <v>124</v>
      </c>
      <c r="AA313" s="41" t="s">
        <v>3659</v>
      </c>
      <c r="AB313" s="41" t="s">
        <v>2054</v>
      </c>
      <c r="AF313" s="41" t="s">
        <v>3373</v>
      </c>
      <c r="AG313" s="41" t="s">
        <v>71</v>
      </c>
      <c r="AH313" s="41" t="s">
        <v>71</v>
      </c>
      <c r="AI313" s="41" t="s">
        <v>71</v>
      </c>
      <c r="AJ313" s="41" t="s">
        <v>71</v>
      </c>
      <c r="AK313" s="41" t="s">
        <v>71</v>
      </c>
      <c r="AL313" s="41" t="s">
        <v>71</v>
      </c>
      <c r="BS313" s="41" t="s">
        <v>2058</v>
      </c>
      <c r="BT313" s="41" t="s">
        <v>72</v>
      </c>
      <c r="BW313" s="41" t="s">
        <v>72</v>
      </c>
      <c r="BX313" s="41">
        <f>VLOOKUP(B:B,Brand!B:D,3,0)</f>
        <v>519</v>
      </c>
      <c r="BY313" s="41">
        <f>VLOOKUP(M:M,Unit!B:D,3,0)</f>
        <v>4</v>
      </c>
      <c r="BZ313" s="41">
        <f>VLOOKUP(S:S,Promo!B:D,3,0)</f>
        <v>3</v>
      </c>
    </row>
    <row r="314" spans="1:78" s="41" customFormat="1" ht="15.75" customHeight="1">
      <c r="A314" s="41">
        <v>110597</v>
      </c>
      <c r="B314" s="41" t="s">
        <v>629</v>
      </c>
      <c r="C314" s="65" t="str">
        <f>VLOOKUP(B:B,Brand!B:C,2,0)</f>
        <v>TCB</v>
      </c>
      <c r="D314" s="63">
        <f>VLOOKUP(E:E,'Product Category'!J:O,6,FALSE)</f>
        <v>182</v>
      </c>
      <c r="E314" s="41" t="s">
        <v>2065</v>
      </c>
      <c r="F314" s="63" t="str">
        <f>VLOOKUP(E:E,'Product Category'!J:K,2,FALSE)</f>
        <v>37-Cooking Ingredients</v>
      </c>
      <c r="G314" s="63" t="str">
        <f>VLOOKUP(F:F,'Product Category'!K:L,2,FALSE)</f>
        <v>6-Dry Food / Dry Groceries</v>
      </c>
      <c r="H314" s="41" t="s">
        <v>3714</v>
      </c>
      <c r="I314" s="41" t="s">
        <v>3715</v>
      </c>
      <c r="J314" s="41" t="s">
        <v>4719</v>
      </c>
      <c r="K314" s="41" t="s">
        <v>4720</v>
      </c>
      <c r="L314" s="41">
        <v>155</v>
      </c>
      <c r="M314" s="41" t="s">
        <v>83</v>
      </c>
      <c r="N314" s="41" t="str">
        <f>VLOOKUP(M:M,Unit!B:C,2,0)</f>
        <v>g</v>
      </c>
      <c r="O314" s="41" t="s">
        <v>67</v>
      </c>
      <c r="P314" s="41">
        <v>10</v>
      </c>
      <c r="Q314" s="41" t="s">
        <v>2154</v>
      </c>
      <c r="R314" s="41" t="str">
        <f>VLOOKUP(Q:Q,Unit!B:D,2,0)</f>
        <v>can</v>
      </c>
      <c r="S314" s="41" t="s">
        <v>75</v>
      </c>
      <c r="T314" s="41" t="str">
        <f>VLOOKUP(S:S,Promo!B:D,2,0)</f>
        <v>Promo EN</v>
      </c>
      <c r="W314" s="41">
        <v>148</v>
      </c>
      <c r="X314" s="41">
        <v>144</v>
      </c>
      <c r="Z314" s="41" t="s">
        <v>3573</v>
      </c>
      <c r="AA314" s="41" t="s">
        <v>3574</v>
      </c>
      <c r="AB314" s="41" t="s">
        <v>91</v>
      </c>
      <c r="AG314" s="41" t="s">
        <v>71</v>
      </c>
      <c r="AH314" s="41" t="s">
        <v>71</v>
      </c>
      <c r="AI314" s="41" t="s">
        <v>71</v>
      </c>
      <c r="AJ314" s="41" t="s">
        <v>71</v>
      </c>
      <c r="AK314" s="41" t="s">
        <v>71</v>
      </c>
      <c r="AL314" s="41" t="s">
        <v>71</v>
      </c>
      <c r="AP314" s="41" t="s">
        <v>3716</v>
      </c>
      <c r="AU314" s="41" t="s">
        <v>3717</v>
      </c>
      <c r="AV314" s="41" t="s">
        <v>2190</v>
      </c>
      <c r="BS314" s="41" t="s">
        <v>2058</v>
      </c>
      <c r="BT314" s="41" t="s">
        <v>72</v>
      </c>
      <c r="BW314" s="41" t="s">
        <v>72</v>
      </c>
      <c r="BX314" s="41">
        <f>VLOOKUP(B:B,Brand!B:D,3,0)</f>
        <v>278</v>
      </c>
      <c r="BY314" s="41">
        <f>VLOOKUP(M:M,Unit!B:D,3,0)</f>
        <v>1</v>
      </c>
      <c r="BZ314" s="41">
        <f>VLOOKUP(S:S,Promo!B:D,3,0)</f>
        <v>0</v>
      </c>
    </row>
    <row r="315" spans="1:78" s="41" customFormat="1" ht="15.75" customHeight="1">
      <c r="A315" s="41">
        <v>140316</v>
      </c>
      <c r="B315" s="41" t="s">
        <v>615</v>
      </c>
      <c r="C315" s="65" t="str">
        <f>VLOOKUP(B:B,Brand!B:C,2,0)</f>
        <v>Takumi Aji</v>
      </c>
      <c r="D315" s="63">
        <f>VLOOKUP(E:E,'Product Category'!J:O,6,FALSE)</f>
        <v>182</v>
      </c>
      <c r="E315" s="41" t="s">
        <v>2065</v>
      </c>
      <c r="F315" s="63" t="str">
        <f>VLOOKUP(E:E,'Product Category'!J:K,2,FALSE)</f>
        <v>37-Cooking Ingredients</v>
      </c>
      <c r="G315" s="63" t="str">
        <f>VLOOKUP(F:F,'Product Category'!K:L,2,FALSE)</f>
        <v>6-Dry Food / Dry Groceries</v>
      </c>
      <c r="H315" s="41" t="s">
        <v>3761</v>
      </c>
      <c r="I315" s="41" t="s">
        <v>3762</v>
      </c>
      <c r="J315" s="41" t="s">
        <v>4755</v>
      </c>
      <c r="K315" s="41" t="s">
        <v>4756</v>
      </c>
      <c r="L315" s="41">
        <v>1000</v>
      </c>
      <c r="M315" s="41" t="s">
        <v>66</v>
      </c>
      <c r="N315" s="41" t="str">
        <f>VLOOKUP(M:M,Unit!B:C,2,0)</f>
        <v>ml</v>
      </c>
      <c r="O315" s="41" t="s">
        <v>67</v>
      </c>
      <c r="P315" s="41">
        <v>2</v>
      </c>
      <c r="Q315" s="41" t="s">
        <v>95</v>
      </c>
      <c r="R315" s="41" t="str">
        <f>VLOOKUP(Q:Q,Unit!B:D,2,0)</f>
        <v>bottle</v>
      </c>
      <c r="S315" s="41" t="s">
        <v>75</v>
      </c>
      <c r="T315" s="41" t="str">
        <f>VLOOKUP(S:S,Promo!B:D,2,0)</f>
        <v>Promo EN</v>
      </c>
      <c r="W315" s="41">
        <v>185</v>
      </c>
      <c r="X315" s="41">
        <v>177</v>
      </c>
      <c r="AB315" s="41" t="s">
        <v>91</v>
      </c>
      <c r="AG315" s="41" t="s">
        <v>71</v>
      </c>
      <c r="AH315" s="41" t="s">
        <v>71</v>
      </c>
      <c r="AI315" s="41" t="s">
        <v>71</v>
      </c>
      <c r="AJ315" s="41" t="s">
        <v>71</v>
      </c>
      <c r="AK315" s="41" t="s">
        <v>71</v>
      </c>
      <c r="AL315" s="41" t="s">
        <v>71</v>
      </c>
      <c r="BS315" s="41" t="s">
        <v>2058</v>
      </c>
      <c r="BT315" s="41" t="s">
        <v>72</v>
      </c>
      <c r="BW315" s="41" t="s">
        <v>72</v>
      </c>
      <c r="BX315" s="41">
        <f>VLOOKUP(B:B,Brand!B:D,3,0)</f>
        <v>270</v>
      </c>
      <c r="BY315" s="41">
        <f>VLOOKUP(M:M,Unit!B:D,3,0)</f>
        <v>4</v>
      </c>
      <c r="BZ315" s="41">
        <f>VLOOKUP(S:S,Promo!B:D,3,0)</f>
        <v>0</v>
      </c>
    </row>
    <row r="316" spans="1:78" s="41" customFormat="1" ht="15.75" customHeight="1">
      <c r="A316" s="41">
        <v>108096</v>
      </c>
      <c r="B316" s="41" t="s">
        <v>161</v>
      </c>
      <c r="C316" s="65" t="str">
        <f>VLOOKUP(B:B,Brand!B:C,2,0)</f>
        <v>Maggi</v>
      </c>
      <c r="D316" s="63">
        <f>VLOOKUP(E:E,'Product Category'!J:O,6,FALSE)</f>
        <v>182</v>
      </c>
      <c r="E316" s="41" t="s">
        <v>2065</v>
      </c>
      <c r="F316" s="63" t="str">
        <f>VLOOKUP(E:E,'Product Category'!J:K,2,FALSE)</f>
        <v>37-Cooking Ingredients</v>
      </c>
      <c r="G316" s="63" t="str">
        <f>VLOOKUP(F:F,'Product Category'!K:L,2,FALSE)</f>
        <v>6-Dry Food / Dry Groceries</v>
      </c>
      <c r="H316" s="41" t="s">
        <v>2166</v>
      </c>
      <c r="I316" s="41" t="s">
        <v>2312</v>
      </c>
      <c r="J316" s="41" t="s">
        <v>4829</v>
      </c>
      <c r="K316" s="41" t="s">
        <v>4830</v>
      </c>
      <c r="L316" s="41">
        <v>680</v>
      </c>
      <c r="M316" s="41" t="s">
        <v>66</v>
      </c>
      <c r="N316" s="41" t="str">
        <f>VLOOKUP(M:M,Unit!B:C,2,0)</f>
        <v>ml</v>
      </c>
      <c r="O316" s="41" t="s">
        <v>67</v>
      </c>
      <c r="P316" s="41">
        <v>3</v>
      </c>
      <c r="Q316" s="41" t="s">
        <v>95</v>
      </c>
      <c r="R316" s="41" t="str">
        <f>VLOOKUP(Q:Q,Unit!B:D,2,0)</f>
        <v>bottle</v>
      </c>
      <c r="S316" s="41" t="s">
        <v>75</v>
      </c>
      <c r="T316" s="41" t="str">
        <f>VLOOKUP(S:S,Promo!B:D,2,0)</f>
        <v>Promo EN</v>
      </c>
      <c r="X316" s="41">
        <v>89</v>
      </c>
      <c r="AB316" s="41" t="s">
        <v>2056</v>
      </c>
      <c r="AG316" s="41" t="s">
        <v>71</v>
      </c>
      <c r="AH316" s="41" t="s">
        <v>71</v>
      </c>
      <c r="AI316" s="41" t="s">
        <v>71</v>
      </c>
      <c r="AJ316" s="41" t="s">
        <v>71</v>
      </c>
      <c r="AK316" s="41" t="s">
        <v>71</v>
      </c>
      <c r="AL316" s="41" t="s">
        <v>71</v>
      </c>
      <c r="AP316" s="41" t="s">
        <v>3918</v>
      </c>
      <c r="BS316" s="41" t="s">
        <v>2058</v>
      </c>
      <c r="BT316" s="41" t="s">
        <v>72</v>
      </c>
      <c r="BW316" s="41" t="s">
        <v>72</v>
      </c>
      <c r="BX316" s="41">
        <f>VLOOKUP(B:B,Brand!B:D,3,0)</f>
        <v>519</v>
      </c>
      <c r="BY316" s="41">
        <f>VLOOKUP(M:M,Unit!B:D,3,0)</f>
        <v>4</v>
      </c>
      <c r="BZ316" s="41">
        <f>VLOOKUP(S:S,Promo!B:D,3,0)</f>
        <v>0</v>
      </c>
    </row>
    <row r="317" spans="1:78" s="41" customFormat="1" ht="15.75" customHeight="1">
      <c r="A317" s="41">
        <v>145864</v>
      </c>
      <c r="B317" s="41" t="s">
        <v>97</v>
      </c>
      <c r="C317" s="65" t="str">
        <f>VLOOKUP(B:B,Brand!B:C,2,0)</f>
        <v>aro</v>
      </c>
      <c r="D317" s="63">
        <f>VLOOKUP(E:E,'Product Category'!J:O,6,FALSE)</f>
        <v>182</v>
      </c>
      <c r="E317" s="41" t="s">
        <v>2065</v>
      </c>
      <c r="F317" s="63" t="str">
        <f>VLOOKUP(E:E,'Product Category'!J:K,2,FALSE)</f>
        <v>37-Cooking Ingredients</v>
      </c>
      <c r="G317" s="63" t="str">
        <f>VLOOKUP(F:F,'Product Category'!K:L,2,FALSE)</f>
        <v>6-Dry Food / Dry Groceries</v>
      </c>
      <c r="H317" s="41" t="s">
        <v>4246</v>
      </c>
      <c r="I317" s="41" t="s">
        <v>4247</v>
      </c>
      <c r="J317" s="41" t="s">
        <v>5083</v>
      </c>
      <c r="K317" s="41" t="s">
        <v>5084</v>
      </c>
      <c r="L317" s="41">
        <v>5000</v>
      </c>
      <c r="M317" s="41" t="s">
        <v>83</v>
      </c>
      <c r="N317" s="41" t="str">
        <f>VLOOKUP(M:M,Unit!B:C,2,0)</f>
        <v>g</v>
      </c>
      <c r="O317" s="41" t="s">
        <v>67</v>
      </c>
      <c r="P317" s="41">
        <v>1</v>
      </c>
      <c r="Q317" s="41" t="s">
        <v>2152</v>
      </c>
      <c r="R317" s="41" t="str">
        <f>VLOOKUP(Q:Q,Unit!B:D,2,0)</f>
        <v>gal</v>
      </c>
      <c r="S317" s="41" t="s">
        <v>75</v>
      </c>
      <c r="T317" s="41" t="str">
        <f>VLOOKUP(S:S,Promo!B:D,2,0)</f>
        <v>Promo EN</v>
      </c>
      <c r="W317" s="41">
        <v>189</v>
      </c>
      <c r="X317" s="41">
        <v>179</v>
      </c>
      <c r="AB317" s="41" t="s">
        <v>2062</v>
      </c>
      <c r="AG317" s="41" t="s">
        <v>71</v>
      </c>
      <c r="AH317" s="41" t="s">
        <v>71</v>
      </c>
      <c r="AI317" s="41" t="s">
        <v>71</v>
      </c>
      <c r="AJ317" s="41" t="s">
        <v>3388</v>
      </c>
      <c r="AK317" s="41" t="s">
        <v>71</v>
      </c>
      <c r="AL317" s="41" t="s">
        <v>71</v>
      </c>
      <c r="BS317" s="41" t="s">
        <v>2058</v>
      </c>
      <c r="BT317" s="41" t="s">
        <v>72</v>
      </c>
      <c r="BW317" s="41" t="s">
        <v>72</v>
      </c>
      <c r="BX317" s="41">
        <f>VLOOKUP(B:B,Brand!B:D,3,0)</f>
        <v>692</v>
      </c>
      <c r="BY317" s="41">
        <f>VLOOKUP(M:M,Unit!B:D,3,0)</f>
        <v>1</v>
      </c>
      <c r="BZ317" s="41">
        <f>VLOOKUP(S:S,Promo!B:D,3,0)</f>
        <v>0</v>
      </c>
    </row>
    <row r="318" spans="1:78" s="41" customFormat="1" ht="15.75" customHeight="1">
      <c r="A318" s="41">
        <v>150719</v>
      </c>
      <c r="B318" s="41" t="s">
        <v>97</v>
      </c>
      <c r="C318" s="65" t="str">
        <f>VLOOKUP(B:B,Brand!B:C,2,0)</f>
        <v>aro</v>
      </c>
      <c r="D318" s="63">
        <f>VLOOKUP(E:E,'Product Category'!J:O,6,FALSE)</f>
        <v>182</v>
      </c>
      <c r="E318" s="41" t="s">
        <v>2065</v>
      </c>
      <c r="F318" s="63" t="str">
        <f>VLOOKUP(E:E,'Product Category'!J:K,2,FALSE)</f>
        <v>37-Cooking Ingredients</v>
      </c>
      <c r="G318" s="63" t="str">
        <f>VLOOKUP(F:F,'Product Category'!K:L,2,FALSE)</f>
        <v>6-Dry Food / Dry Groceries</v>
      </c>
      <c r="H318" s="41" t="s">
        <v>4368</v>
      </c>
      <c r="I318" s="41" t="s">
        <v>4369</v>
      </c>
      <c r="J318" s="41" t="s">
        <v>5130</v>
      </c>
      <c r="K318" s="41" t="s">
        <v>5131</v>
      </c>
      <c r="L318" s="41">
        <v>1</v>
      </c>
      <c r="M318" s="41" t="s">
        <v>79</v>
      </c>
      <c r="N318" s="41" t="str">
        <f>VLOOKUP(M:M,Unit!B:C,2,0)</f>
        <v>kg</v>
      </c>
      <c r="O318" s="41" t="s">
        <v>67</v>
      </c>
      <c r="P318" s="41">
        <v>1</v>
      </c>
      <c r="Q318" s="41" t="s">
        <v>135</v>
      </c>
      <c r="R318" s="41" t="str">
        <f>VLOOKUP(Q:Q,Unit!B:D,2,0)</f>
        <v>g</v>
      </c>
      <c r="S318" s="41" t="s">
        <v>75</v>
      </c>
      <c r="T318" s="41" t="str">
        <f>VLOOKUP(S:S,Promo!B:D,2,0)</f>
        <v>Promo EN</v>
      </c>
      <c r="W318" s="41">
        <v>50</v>
      </c>
      <c r="X318" s="41">
        <v>48</v>
      </c>
      <c r="AB318" s="41" t="s">
        <v>2062</v>
      </c>
      <c r="AG318" s="41" t="s">
        <v>71</v>
      </c>
      <c r="AH318" s="41" t="s">
        <v>71</v>
      </c>
      <c r="AI318" s="41" t="s">
        <v>71</v>
      </c>
      <c r="AJ318" s="41" t="s">
        <v>71</v>
      </c>
      <c r="AK318" s="41" t="s">
        <v>71</v>
      </c>
      <c r="AL318" s="41" t="s">
        <v>71</v>
      </c>
      <c r="BS318" s="41" t="s">
        <v>2058</v>
      </c>
      <c r="BT318" s="41" t="s">
        <v>72</v>
      </c>
      <c r="BW318" s="41" t="s">
        <v>72</v>
      </c>
      <c r="BX318" s="41">
        <f>VLOOKUP(B:B,Brand!B:D,3,0)</f>
        <v>692</v>
      </c>
      <c r="BY318" s="41">
        <f>VLOOKUP(M:M,Unit!B:D,3,0)</f>
        <v>2</v>
      </c>
      <c r="BZ318" s="41">
        <f>VLOOKUP(S:S,Promo!B:D,3,0)</f>
        <v>0</v>
      </c>
    </row>
    <row r="319" spans="1:78" s="41" customFormat="1" ht="15.75" customHeight="1">
      <c r="A319" s="41">
        <v>115833</v>
      </c>
      <c r="B319" s="41" t="s">
        <v>852</v>
      </c>
      <c r="C319" s="65" t="str">
        <f>VLOOKUP(B:B,Brand!B:C,2,0)</f>
        <v>Pantainorasingh</v>
      </c>
      <c r="D319" s="63">
        <f>VLOOKUP(E:E,'Product Category'!J:O,6,FALSE)</f>
        <v>182</v>
      </c>
      <c r="E319" s="41" t="s">
        <v>2065</v>
      </c>
      <c r="F319" s="63" t="str">
        <f>VLOOKUP(E:E,'Product Category'!J:K,2,FALSE)</f>
        <v>37-Cooking Ingredients</v>
      </c>
      <c r="G319" s="63" t="str">
        <f>VLOOKUP(F:F,'Product Category'!K:L,2,FALSE)</f>
        <v>6-Dry Food / Dry Groceries</v>
      </c>
      <c r="H319" s="41" t="s">
        <v>4368</v>
      </c>
      <c r="I319" s="41" t="s">
        <v>4369</v>
      </c>
      <c r="J319" s="41" t="s">
        <v>5182</v>
      </c>
      <c r="K319" s="41" t="s">
        <v>5183</v>
      </c>
      <c r="L319" s="41">
        <v>330</v>
      </c>
      <c r="M319" s="41" t="s">
        <v>66</v>
      </c>
      <c r="N319" s="41" t="str">
        <f>VLOOKUP(M:M,Unit!B:C,2,0)</f>
        <v>ml</v>
      </c>
      <c r="O319" s="41" t="s">
        <v>67</v>
      </c>
      <c r="P319" s="41">
        <v>6</v>
      </c>
      <c r="Q319" s="41" t="s">
        <v>95</v>
      </c>
      <c r="R319" s="41" t="str">
        <f>VLOOKUP(Q:Q,Unit!B:D,2,0)</f>
        <v>bottle</v>
      </c>
      <c r="S319" s="41" t="s">
        <v>75</v>
      </c>
      <c r="T319" s="41" t="str">
        <f>VLOOKUP(S:S,Promo!B:D,2,0)</f>
        <v>Promo EN</v>
      </c>
      <c r="W319" s="41">
        <v>270</v>
      </c>
      <c r="X319" s="41">
        <v>258</v>
      </c>
      <c r="AB319" s="41" t="s">
        <v>91</v>
      </c>
      <c r="AG319" s="41" t="s">
        <v>71</v>
      </c>
      <c r="AH319" s="41" t="s">
        <v>71</v>
      </c>
      <c r="AI319" s="41" t="s">
        <v>71</v>
      </c>
      <c r="AJ319" s="41" t="s">
        <v>71</v>
      </c>
      <c r="AK319" s="41" t="s">
        <v>71</v>
      </c>
      <c r="AL319" s="41" t="s">
        <v>71</v>
      </c>
      <c r="BS319" s="41" t="s">
        <v>2058</v>
      </c>
      <c r="BT319" s="41" t="s">
        <v>72</v>
      </c>
      <c r="BW319" s="41" t="s">
        <v>72</v>
      </c>
      <c r="BX319" s="41">
        <f>VLOOKUP(B:B,Brand!B:D,3,0)</f>
        <v>425</v>
      </c>
      <c r="BY319" s="41">
        <f>VLOOKUP(M:M,Unit!B:D,3,0)</f>
        <v>4</v>
      </c>
      <c r="BZ319" s="41">
        <f>VLOOKUP(S:S,Promo!B:D,3,0)</f>
        <v>0</v>
      </c>
    </row>
    <row r="320" spans="1:78" s="41" customFormat="1" ht="15.75" customHeight="1">
      <c r="A320" s="41">
        <v>220840</v>
      </c>
      <c r="B320" s="41" t="s">
        <v>207</v>
      </c>
      <c r="C320" s="65" t="str">
        <f>VLOOKUP(B:B,Brand!B:C,2,0)</f>
        <v>Bonus</v>
      </c>
      <c r="D320" s="63">
        <f>VLOOKUP(E:E,'Product Category'!J:O,6,FALSE)</f>
        <v>184</v>
      </c>
      <c r="E320" s="41" t="s">
        <v>2089</v>
      </c>
      <c r="F320" s="63" t="str">
        <f>VLOOKUP(E:E,'Product Category'!J:K,2,FALSE)</f>
        <v>38-Oil</v>
      </c>
      <c r="G320" s="63" t="str">
        <f>VLOOKUP(F:F,'Product Category'!K:L,2,FALSE)</f>
        <v>6-Dry Food / Dry Groceries</v>
      </c>
      <c r="H320" s="41" t="s">
        <v>3519</v>
      </c>
      <c r="I320" s="41" t="s">
        <v>3520</v>
      </c>
      <c r="J320" s="41" t="s">
        <v>4579</v>
      </c>
      <c r="K320" s="41" t="s">
        <v>4580</v>
      </c>
      <c r="L320" s="41">
        <v>1</v>
      </c>
      <c r="M320" s="41" t="s">
        <v>94</v>
      </c>
      <c r="N320" s="41" t="str">
        <f>VLOOKUP(M:M,Unit!B:C,2,0)</f>
        <v>L</v>
      </c>
      <c r="O320" s="41" t="s">
        <v>67</v>
      </c>
      <c r="P320" s="41">
        <v>12</v>
      </c>
      <c r="Q320" s="41" t="s">
        <v>95</v>
      </c>
      <c r="R320" s="41" t="str">
        <f>VLOOKUP(Q:Q,Unit!B:D,2,0)</f>
        <v>bottle</v>
      </c>
      <c r="S320" s="41" t="s">
        <v>75</v>
      </c>
      <c r="T320" s="41" t="str">
        <f>VLOOKUP(S:S,Promo!B:D,2,0)</f>
        <v>Promo EN</v>
      </c>
      <c r="W320" s="41">
        <v>440</v>
      </c>
      <c r="X320" s="41">
        <v>408</v>
      </c>
      <c r="AB320" s="41" t="s">
        <v>2062</v>
      </c>
      <c r="AF320" s="41" t="s">
        <v>3484</v>
      </c>
      <c r="AG320" s="41" t="s">
        <v>71</v>
      </c>
      <c r="AH320" s="41" t="s">
        <v>1846</v>
      </c>
      <c r="AI320" s="41" t="s">
        <v>71</v>
      </c>
      <c r="AJ320" s="41" t="s">
        <v>3388</v>
      </c>
      <c r="AK320" s="41" t="s">
        <v>71</v>
      </c>
      <c r="AL320" s="41" t="s">
        <v>71</v>
      </c>
      <c r="BS320" s="41" t="s">
        <v>2058</v>
      </c>
      <c r="BT320" s="41" t="s">
        <v>72</v>
      </c>
      <c r="BW320" s="41" t="s">
        <v>72</v>
      </c>
      <c r="BX320" s="41">
        <f>VLOOKUP(B:B,Brand!B:D,3,0)</f>
        <v>378</v>
      </c>
      <c r="BY320" s="41">
        <f>VLOOKUP(M:M,Unit!B:D,3,0)</f>
        <v>7</v>
      </c>
      <c r="BZ320" s="41">
        <f>VLOOKUP(S:S,Promo!B:D,3,0)</f>
        <v>0</v>
      </c>
    </row>
    <row r="321" spans="1:78" s="41" customFormat="1" ht="15.75" customHeight="1">
      <c r="A321" s="41">
        <v>985296</v>
      </c>
      <c r="B321" s="41" t="s">
        <v>1319</v>
      </c>
      <c r="C321" s="65" t="str">
        <f>VLOOKUP(B:B,Brand!B:C,2,0)</f>
        <v>Oleen</v>
      </c>
      <c r="D321" s="63">
        <f>VLOOKUP(E:E,'Product Category'!J:O,6,FALSE)</f>
        <v>184</v>
      </c>
      <c r="E321" s="41" t="s">
        <v>2089</v>
      </c>
      <c r="F321" s="63" t="str">
        <f>VLOOKUP(E:E,'Product Category'!J:K,2,FALSE)</f>
        <v>38-Oil</v>
      </c>
      <c r="G321" s="63" t="str">
        <f>VLOOKUP(F:F,'Product Category'!K:L,2,FALSE)</f>
        <v>6-Dry Food / Dry Groceries</v>
      </c>
      <c r="H321" s="41" t="s">
        <v>3633</v>
      </c>
      <c r="I321" s="41" t="s">
        <v>2391</v>
      </c>
      <c r="J321" s="41" t="s">
        <v>4641</v>
      </c>
      <c r="K321" s="41" t="s">
        <v>4642</v>
      </c>
      <c r="L321" s="41">
        <v>13.75</v>
      </c>
      <c r="M321" s="41" t="s">
        <v>94</v>
      </c>
      <c r="N321" s="41" t="str">
        <f>VLOOKUP(M:M,Unit!B:C,2,0)</f>
        <v>L</v>
      </c>
      <c r="O321" s="41" t="s">
        <v>67</v>
      </c>
      <c r="P321" s="41">
        <v>1</v>
      </c>
      <c r="Q321" s="41" t="s">
        <v>3634</v>
      </c>
      <c r="R321" s="41" t="str">
        <f>VLOOKUP(Q:Q,Unit!B:D,2,0)</f>
        <v>box</v>
      </c>
      <c r="S321" s="41" t="s">
        <v>75</v>
      </c>
      <c r="T321" s="41" t="str">
        <f>VLOOKUP(S:S,Promo!B:D,2,0)</f>
        <v>Promo EN</v>
      </c>
      <c r="W321" s="41">
        <v>532</v>
      </c>
      <c r="X321" s="41">
        <v>515</v>
      </c>
      <c r="AB321" s="41" t="s">
        <v>91</v>
      </c>
      <c r="AF321" s="41" t="s">
        <v>3373</v>
      </c>
      <c r="AG321" s="41" t="s">
        <v>71</v>
      </c>
      <c r="AH321" s="41" t="s">
        <v>71</v>
      </c>
      <c r="AI321" s="41" t="s">
        <v>71</v>
      </c>
      <c r="AJ321" s="41" t="s">
        <v>71</v>
      </c>
      <c r="AK321" s="41" t="s">
        <v>71</v>
      </c>
      <c r="AL321" s="41" t="s">
        <v>71</v>
      </c>
      <c r="BS321" s="41" t="s">
        <v>2058</v>
      </c>
      <c r="BT321" s="41" t="s">
        <v>72</v>
      </c>
      <c r="BW321" s="41" t="s">
        <v>72</v>
      </c>
      <c r="BX321" s="41">
        <f>VLOOKUP(B:B,Brand!B:D,3,0)</f>
        <v>726</v>
      </c>
      <c r="BY321" s="41">
        <f>VLOOKUP(M:M,Unit!B:D,3,0)</f>
        <v>7</v>
      </c>
      <c r="BZ321" s="41">
        <f>VLOOKUP(S:S,Promo!B:D,3,0)</f>
        <v>0</v>
      </c>
    </row>
    <row r="322" spans="1:78" s="41" customFormat="1" ht="15.75" customHeight="1">
      <c r="A322" s="41">
        <v>159224</v>
      </c>
      <c r="B322" s="41" t="s">
        <v>614</v>
      </c>
      <c r="C322" s="65" t="str">
        <f>VLOOKUP(B:B,Brand!B:C,2,0)</f>
        <v>TubTim</v>
      </c>
      <c r="D322" s="63">
        <f>VLOOKUP(E:E,'Product Category'!J:O,6,FALSE)</f>
        <v>184</v>
      </c>
      <c r="E322" s="41" t="s">
        <v>2089</v>
      </c>
      <c r="F322" s="63" t="str">
        <f>VLOOKUP(E:E,'Product Category'!J:K,2,FALSE)</f>
        <v>38-Oil</v>
      </c>
      <c r="G322" s="63" t="str">
        <f>VLOOKUP(F:F,'Product Category'!K:L,2,FALSE)</f>
        <v>6-Dry Food / Dry Groceries</v>
      </c>
      <c r="H322" s="41" t="s">
        <v>3663</v>
      </c>
      <c r="I322" s="41" t="s">
        <v>2391</v>
      </c>
      <c r="J322" s="41" t="s">
        <v>4685</v>
      </c>
      <c r="K322" s="41" t="s">
        <v>4686</v>
      </c>
      <c r="L322" s="41">
        <v>1</v>
      </c>
      <c r="M322" s="41" t="s">
        <v>94</v>
      </c>
      <c r="N322" s="41" t="str">
        <f>VLOOKUP(M:M,Unit!B:C,2,0)</f>
        <v>L</v>
      </c>
      <c r="O322" s="41" t="s">
        <v>67</v>
      </c>
      <c r="P322" s="41">
        <v>12</v>
      </c>
      <c r="Q322" s="41" t="s">
        <v>95</v>
      </c>
      <c r="R322" s="41" t="str">
        <f>VLOOKUP(Q:Q,Unit!B:D,2,0)</f>
        <v>bottle</v>
      </c>
      <c r="S322" s="41" t="s">
        <v>75</v>
      </c>
      <c r="T322" s="41" t="str">
        <f>VLOOKUP(S:S,Promo!B:D,2,0)</f>
        <v>Promo EN</v>
      </c>
      <c r="W322" s="41">
        <v>450</v>
      </c>
      <c r="X322" s="41">
        <v>412</v>
      </c>
      <c r="AB322" s="41" t="s">
        <v>91</v>
      </c>
      <c r="AG322" s="41" t="s">
        <v>71</v>
      </c>
      <c r="AH322" s="41" t="s">
        <v>71</v>
      </c>
      <c r="AI322" s="41" t="s">
        <v>71</v>
      </c>
      <c r="AJ322" s="41" t="s">
        <v>71</v>
      </c>
      <c r="AK322" s="41" t="s">
        <v>71</v>
      </c>
      <c r="AL322" s="41" t="s">
        <v>71</v>
      </c>
      <c r="BS322" s="41" t="s">
        <v>2058</v>
      </c>
      <c r="BT322" s="41" t="s">
        <v>72</v>
      </c>
      <c r="BW322" s="41" t="s">
        <v>72</v>
      </c>
      <c r="BX322" s="41">
        <f>VLOOKUP(B:B,Brand!B:D,3,0)</f>
        <v>269</v>
      </c>
      <c r="BY322" s="41">
        <f>VLOOKUP(M:M,Unit!B:D,3,0)</f>
        <v>7</v>
      </c>
      <c r="BZ322" s="41">
        <f>VLOOKUP(S:S,Promo!B:D,3,0)</f>
        <v>0</v>
      </c>
    </row>
    <row r="323" spans="1:78" s="41" customFormat="1" ht="15.75" customHeight="1">
      <c r="A323" s="41">
        <v>812552</v>
      </c>
      <c r="B323" s="41" t="s">
        <v>165</v>
      </c>
      <c r="C323" s="65" t="str">
        <f>VLOOKUP(B:B,Brand!B:C,2,0)</f>
        <v>Morakot</v>
      </c>
      <c r="D323" s="63">
        <f>VLOOKUP(E:E,'Product Category'!J:O,6,FALSE)</f>
        <v>184</v>
      </c>
      <c r="E323" s="41" t="s">
        <v>2089</v>
      </c>
      <c r="F323" s="63" t="str">
        <f>VLOOKUP(E:E,'Product Category'!J:K,2,FALSE)</f>
        <v>38-Oil</v>
      </c>
      <c r="G323" s="63" t="str">
        <f>VLOOKUP(F:F,'Product Category'!K:L,2,FALSE)</f>
        <v>6-Dry Food / Dry Groceries</v>
      </c>
      <c r="H323" s="41" t="s">
        <v>2390</v>
      </c>
      <c r="I323" s="41" t="s">
        <v>2391</v>
      </c>
      <c r="J323" s="41" t="s">
        <v>4839</v>
      </c>
      <c r="K323" s="41" t="s">
        <v>4840</v>
      </c>
      <c r="L323" s="41">
        <v>1</v>
      </c>
      <c r="M323" s="41" t="s">
        <v>94</v>
      </c>
      <c r="N323" s="41" t="str">
        <f>VLOOKUP(M:M,Unit!B:C,2,0)</f>
        <v>L</v>
      </c>
      <c r="O323" s="41" t="s">
        <v>67</v>
      </c>
      <c r="P323" s="41">
        <v>12</v>
      </c>
      <c r="Q323" s="41" t="s">
        <v>95</v>
      </c>
      <c r="R323" s="41" t="str">
        <f>VLOOKUP(Q:Q,Unit!B:D,2,0)</f>
        <v>bottle</v>
      </c>
      <c r="S323" s="41" t="s">
        <v>75</v>
      </c>
      <c r="T323" s="41" t="str">
        <f>VLOOKUP(S:S,Promo!B:D,2,0)</f>
        <v>Promo EN</v>
      </c>
      <c r="W323" s="41">
        <v>504</v>
      </c>
      <c r="X323" s="41">
        <v>420</v>
      </c>
      <c r="AB323" s="41" t="s">
        <v>2056</v>
      </c>
      <c r="AG323" s="41" t="s">
        <v>71</v>
      </c>
      <c r="AH323" s="41" t="s">
        <v>1846</v>
      </c>
      <c r="AI323" s="41" t="s">
        <v>71</v>
      </c>
      <c r="AJ323" s="41" t="s">
        <v>71</v>
      </c>
      <c r="AK323" s="41" t="s">
        <v>71</v>
      </c>
      <c r="AL323" s="41" t="s">
        <v>71</v>
      </c>
      <c r="BS323" s="41" t="s">
        <v>2058</v>
      </c>
      <c r="BT323" s="41" t="s">
        <v>72</v>
      </c>
      <c r="BW323" s="41" t="s">
        <v>72</v>
      </c>
      <c r="BX323" s="41">
        <f>VLOOKUP(B:B,Brand!B:D,3,0)</f>
        <v>482</v>
      </c>
      <c r="BY323" s="41">
        <f>VLOOKUP(M:M,Unit!B:D,3,0)</f>
        <v>7</v>
      </c>
      <c r="BZ323" s="41">
        <f>VLOOKUP(S:S,Promo!B:D,3,0)</f>
        <v>0</v>
      </c>
    </row>
    <row r="324" spans="1:78" s="41" customFormat="1" ht="15.75" customHeight="1">
      <c r="A324" s="41">
        <v>104083</v>
      </c>
      <c r="B324" s="41" t="s">
        <v>327</v>
      </c>
      <c r="C324" s="65" t="str">
        <f>VLOOKUP(B:B,Brand!B:C,2,0)</f>
        <v>King</v>
      </c>
      <c r="D324" s="63">
        <f>VLOOKUP(E:E,'Product Category'!J:O,6,FALSE)</f>
        <v>186</v>
      </c>
      <c r="E324" s="41" t="s">
        <v>2077</v>
      </c>
      <c r="F324" s="63" t="str">
        <f>VLOOKUP(E:E,'Product Category'!J:K,2,FALSE)</f>
        <v>38-Oil</v>
      </c>
      <c r="G324" s="63" t="str">
        <f>VLOOKUP(F:F,'Product Category'!K:L,2,FALSE)</f>
        <v>6-Dry Food / Dry Groceries</v>
      </c>
      <c r="H324" s="41" t="s">
        <v>2159</v>
      </c>
      <c r="I324" s="41" t="s">
        <v>4207</v>
      </c>
      <c r="J324" s="41" t="s">
        <v>5029</v>
      </c>
      <c r="K324" s="41" t="s">
        <v>5030</v>
      </c>
      <c r="L324" s="41">
        <v>1</v>
      </c>
      <c r="M324" s="41" t="s">
        <v>94</v>
      </c>
      <c r="N324" s="41" t="str">
        <f>VLOOKUP(M:M,Unit!B:C,2,0)</f>
        <v>L</v>
      </c>
      <c r="O324" s="41" t="s">
        <v>67</v>
      </c>
      <c r="P324" s="41">
        <v>1</v>
      </c>
      <c r="Q324" s="41" t="s">
        <v>95</v>
      </c>
      <c r="R324" s="41" t="str">
        <f>VLOOKUP(Q:Q,Unit!B:D,2,0)</f>
        <v>bottle</v>
      </c>
      <c r="S324" s="41" t="s">
        <v>75</v>
      </c>
      <c r="T324" s="41" t="str">
        <f>VLOOKUP(S:S,Promo!B:D,2,0)</f>
        <v>Promo EN</v>
      </c>
      <c r="W324" s="41">
        <v>125</v>
      </c>
      <c r="X324" s="41">
        <v>103</v>
      </c>
      <c r="AB324" s="41" t="s">
        <v>91</v>
      </c>
      <c r="AF324" s="41" t="s">
        <v>3373</v>
      </c>
      <c r="AG324" s="41" t="s">
        <v>71</v>
      </c>
      <c r="AH324" s="41" t="s">
        <v>71</v>
      </c>
      <c r="AI324" s="41" t="s">
        <v>71</v>
      </c>
      <c r="AJ324" s="41" t="s">
        <v>71</v>
      </c>
      <c r="AK324" s="41" t="s">
        <v>71</v>
      </c>
      <c r="AL324" s="41" t="s">
        <v>71</v>
      </c>
      <c r="BS324" s="41" t="s">
        <v>2058</v>
      </c>
      <c r="BT324" s="41" t="s">
        <v>72</v>
      </c>
      <c r="BW324" s="41" t="s">
        <v>72</v>
      </c>
      <c r="BX324" s="41">
        <f>VLOOKUP(B:B,Brand!B:D,3,0)</f>
        <v>77</v>
      </c>
      <c r="BY324" s="41">
        <f>VLOOKUP(M:M,Unit!B:D,3,0)</f>
        <v>7</v>
      </c>
      <c r="BZ324" s="41">
        <f>VLOOKUP(S:S,Promo!B:D,3,0)</f>
        <v>0</v>
      </c>
    </row>
    <row r="325" spans="1:78" s="41" customFormat="1" ht="15.75" customHeight="1">
      <c r="A325" s="41">
        <v>3198</v>
      </c>
      <c r="B325" s="41" t="s">
        <v>809</v>
      </c>
      <c r="C325" s="65" t="str">
        <f>VLOOKUP(B:B,Brand!B:C,2,0)</f>
        <v>Pumpui</v>
      </c>
      <c r="D325" s="63">
        <f>VLOOKUP(E:E,'Product Category'!J:O,6,FALSE)</f>
        <v>190</v>
      </c>
      <c r="E325" s="41" t="s">
        <v>2071</v>
      </c>
      <c r="F325" s="63" t="str">
        <f>VLOOKUP(E:E,'Product Category'!J:K,2,FALSE)</f>
        <v>39-Canned Food</v>
      </c>
      <c r="G325" s="63" t="str">
        <f>VLOOKUP(F:F,'Product Category'!K:L,2,FALSE)</f>
        <v>6-Dry Food / Dry Groceries</v>
      </c>
      <c r="H325" s="41" t="s">
        <v>3631</v>
      </c>
      <c r="I325" s="41" t="s">
        <v>3632</v>
      </c>
      <c r="J325" s="41" t="s">
        <v>4639</v>
      </c>
      <c r="K325" s="41" t="s">
        <v>4640</v>
      </c>
      <c r="L325" s="41">
        <v>155</v>
      </c>
      <c r="M325" s="41" t="s">
        <v>83</v>
      </c>
      <c r="N325" s="41" t="str">
        <f>VLOOKUP(M:M,Unit!B:C,2,0)</f>
        <v>g</v>
      </c>
      <c r="O325" s="41" t="s">
        <v>67</v>
      </c>
      <c r="P325" s="41">
        <v>10</v>
      </c>
      <c r="Q325" s="41" t="s">
        <v>2154</v>
      </c>
      <c r="R325" s="41" t="str">
        <f>VLOOKUP(Q:Q,Unit!B:D,2,0)</f>
        <v>can</v>
      </c>
      <c r="S325" s="41" t="s">
        <v>75</v>
      </c>
      <c r="T325" s="41" t="str">
        <f>VLOOKUP(S:S,Promo!B:D,2,0)</f>
        <v>Promo EN</v>
      </c>
      <c r="W325" s="41">
        <v>192</v>
      </c>
      <c r="X325" s="41">
        <v>189</v>
      </c>
      <c r="AB325" s="41" t="s">
        <v>91</v>
      </c>
      <c r="AF325" s="41" t="s">
        <v>3373</v>
      </c>
      <c r="AG325" s="41" t="s">
        <v>71</v>
      </c>
      <c r="AH325" s="41" t="s">
        <v>71</v>
      </c>
      <c r="AI325" s="41" t="s">
        <v>71</v>
      </c>
      <c r="AJ325" s="41" t="s">
        <v>71</v>
      </c>
      <c r="AK325" s="41" t="s">
        <v>71</v>
      </c>
      <c r="AL325" s="41" t="s">
        <v>71</v>
      </c>
      <c r="BS325" s="41" t="s">
        <v>2058</v>
      </c>
      <c r="BT325" s="41" t="s">
        <v>72</v>
      </c>
      <c r="BW325" s="41" t="s">
        <v>72</v>
      </c>
      <c r="BX325" s="41">
        <f>VLOOKUP(B:B,Brand!B:D,3,0)</f>
        <v>396</v>
      </c>
      <c r="BY325" s="41">
        <f>VLOOKUP(M:M,Unit!B:D,3,0)</f>
        <v>1</v>
      </c>
      <c r="BZ325" s="41">
        <f>VLOOKUP(S:S,Promo!B:D,3,0)</f>
        <v>0</v>
      </c>
    </row>
    <row r="326" spans="1:78" s="41" customFormat="1" ht="15.75" customHeight="1">
      <c r="A326" s="41">
        <v>191268</v>
      </c>
      <c r="B326" s="41" t="s">
        <v>472</v>
      </c>
      <c r="C326" s="65" t="str">
        <f>VLOOKUP(B:B,Brand!B:C,2,0)</f>
        <v>Sealect</v>
      </c>
      <c r="D326" s="63">
        <f>VLOOKUP(E:E,'Product Category'!J:O,6,FALSE)</f>
        <v>190</v>
      </c>
      <c r="E326" s="41" t="s">
        <v>2071</v>
      </c>
      <c r="F326" s="63" t="str">
        <f>VLOOKUP(E:E,'Product Category'!J:K,2,FALSE)</f>
        <v>39-Canned Food</v>
      </c>
      <c r="G326" s="63" t="str">
        <f>VLOOKUP(F:F,'Product Category'!K:L,2,FALSE)</f>
        <v>6-Dry Food / Dry Groceries</v>
      </c>
      <c r="H326" s="41" t="s">
        <v>2382</v>
      </c>
      <c r="I326" s="41" t="s">
        <v>2383</v>
      </c>
      <c r="J326" s="41" t="s">
        <v>4647</v>
      </c>
      <c r="K326" s="41" t="s">
        <v>4648</v>
      </c>
      <c r="L326" s="41">
        <v>185</v>
      </c>
      <c r="M326" s="41" t="s">
        <v>83</v>
      </c>
      <c r="N326" s="41" t="str">
        <f>VLOOKUP(M:M,Unit!B:C,2,0)</f>
        <v>g</v>
      </c>
      <c r="O326" s="41" t="s">
        <v>67</v>
      </c>
      <c r="P326" s="41">
        <v>4</v>
      </c>
      <c r="Q326" s="41" t="s">
        <v>2154</v>
      </c>
      <c r="R326" s="41" t="str">
        <f>VLOOKUP(Q:Q,Unit!B:D,2,0)</f>
        <v>can</v>
      </c>
      <c r="S326" s="41" t="s">
        <v>75</v>
      </c>
      <c r="T326" s="41" t="str">
        <f>VLOOKUP(S:S,Promo!B:D,2,0)</f>
        <v>Promo EN</v>
      </c>
      <c r="X326" s="41">
        <v>160</v>
      </c>
      <c r="AB326" s="41" t="s">
        <v>91</v>
      </c>
      <c r="AG326" s="41" t="s">
        <v>71</v>
      </c>
      <c r="AH326" s="41" t="s">
        <v>71</v>
      </c>
      <c r="AI326" s="41" t="s">
        <v>71</v>
      </c>
      <c r="AJ326" s="41" t="s">
        <v>71</v>
      </c>
      <c r="AK326" s="41" t="s">
        <v>71</v>
      </c>
      <c r="AL326" s="41" t="s">
        <v>71</v>
      </c>
      <c r="BS326" s="41" t="s">
        <v>2058</v>
      </c>
      <c r="BT326" s="41" t="s">
        <v>72</v>
      </c>
      <c r="BW326" s="41" t="s">
        <v>72</v>
      </c>
      <c r="BX326" s="41">
        <f>VLOOKUP(B:B,Brand!B:D,3,0)</f>
        <v>176</v>
      </c>
      <c r="BY326" s="41">
        <f>VLOOKUP(M:M,Unit!B:D,3,0)</f>
        <v>1</v>
      </c>
      <c r="BZ326" s="41">
        <f>VLOOKUP(S:S,Promo!B:D,3,0)</f>
        <v>0</v>
      </c>
    </row>
    <row r="327" spans="1:78" s="41" customFormat="1" ht="15.75" customHeight="1">
      <c r="A327" s="41">
        <v>191269</v>
      </c>
      <c r="B327" s="41" t="s">
        <v>472</v>
      </c>
      <c r="C327" s="65" t="str">
        <f>VLOOKUP(B:B,Brand!B:C,2,0)</f>
        <v>Sealect</v>
      </c>
      <c r="D327" s="63">
        <f>VLOOKUP(E:E,'Product Category'!J:O,6,FALSE)</f>
        <v>190</v>
      </c>
      <c r="E327" s="41" t="s">
        <v>2071</v>
      </c>
      <c r="F327" s="63" t="str">
        <f>VLOOKUP(E:E,'Product Category'!J:K,2,FALSE)</f>
        <v>39-Canned Food</v>
      </c>
      <c r="G327" s="63" t="str">
        <f>VLOOKUP(F:F,'Product Category'!K:L,2,FALSE)</f>
        <v>6-Dry Food / Dry Groceries</v>
      </c>
      <c r="H327" s="41" t="s">
        <v>2384</v>
      </c>
      <c r="I327" s="41" t="s">
        <v>2385</v>
      </c>
      <c r="J327" s="41" t="s">
        <v>4649</v>
      </c>
      <c r="K327" s="41" t="s">
        <v>4650</v>
      </c>
      <c r="L327" s="41">
        <v>185</v>
      </c>
      <c r="M327" s="41" t="s">
        <v>83</v>
      </c>
      <c r="N327" s="41" t="str">
        <f>VLOOKUP(M:M,Unit!B:C,2,0)</f>
        <v>g</v>
      </c>
      <c r="O327" s="41" t="s">
        <v>67</v>
      </c>
      <c r="P327" s="41">
        <v>4</v>
      </c>
      <c r="Q327" s="41" t="s">
        <v>2154</v>
      </c>
      <c r="R327" s="41" t="str">
        <f>VLOOKUP(Q:Q,Unit!B:D,2,0)</f>
        <v>can</v>
      </c>
      <c r="S327" s="41" t="s">
        <v>75</v>
      </c>
      <c r="T327" s="41" t="str">
        <f>VLOOKUP(S:S,Promo!B:D,2,0)</f>
        <v>Promo EN</v>
      </c>
      <c r="X327" s="41">
        <v>160</v>
      </c>
      <c r="AB327" s="41" t="s">
        <v>91</v>
      </c>
      <c r="AG327" s="41" t="s">
        <v>71</v>
      </c>
      <c r="AH327" s="41" t="s">
        <v>71</v>
      </c>
      <c r="AI327" s="41" t="s">
        <v>71</v>
      </c>
      <c r="AJ327" s="41" t="s">
        <v>71</v>
      </c>
      <c r="AK327" s="41" t="s">
        <v>71</v>
      </c>
      <c r="AL327" s="41" t="s">
        <v>71</v>
      </c>
      <c r="BS327" s="41" t="s">
        <v>2058</v>
      </c>
      <c r="BT327" s="41" t="s">
        <v>72</v>
      </c>
      <c r="BW327" s="41" t="s">
        <v>72</v>
      </c>
      <c r="BX327" s="41">
        <f>VLOOKUP(B:B,Brand!B:D,3,0)</f>
        <v>176</v>
      </c>
      <c r="BY327" s="41">
        <f>VLOOKUP(M:M,Unit!B:D,3,0)</f>
        <v>1</v>
      </c>
      <c r="BZ327" s="41">
        <f>VLOOKUP(S:S,Promo!B:D,3,0)</f>
        <v>0</v>
      </c>
    </row>
    <row r="328" spans="1:78" s="41" customFormat="1" ht="15.75" customHeight="1">
      <c r="A328" s="41">
        <v>191270</v>
      </c>
      <c r="B328" s="41" t="s">
        <v>472</v>
      </c>
      <c r="C328" s="65" t="str">
        <f>VLOOKUP(B:B,Brand!B:C,2,0)</f>
        <v>Sealect</v>
      </c>
      <c r="D328" s="63">
        <f>VLOOKUP(E:E,'Product Category'!J:O,6,FALSE)</f>
        <v>190</v>
      </c>
      <c r="E328" s="41" t="s">
        <v>2071</v>
      </c>
      <c r="F328" s="63" t="str">
        <f>VLOOKUP(E:E,'Product Category'!J:K,2,FALSE)</f>
        <v>39-Canned Food</v>
      </c>
      <c r="G328" s="63" t="str">
        <f>VLOOKUP(F:F,'Product Category'!K:L,2,FALSE)</f>
        <v>6-Dry Food / Dry Groceries</v>
      </c>
      <c r="H328" s="41" t="s">
        <v>2386</v>
      </c>
      <c r="I328" s="41" t="s">
        <v>2387</v>
      </c>
      <c r="J328" s="41" t="s">
        <v>4651</v>
      </c>
      <c r="K328" s="41" t="s">
        <v>4652</v>
      </c>
      <c r="L328" s="41">
        <v>185</v>
      </c>
      <c r="M328" s="41" t="s">
        <v>83</v>
      </c>
      <c r="N328" s="41" t="str">
        <f>VLOOKUP(M:M,Unit!B:C,2,0)</f>
        <v>g</v>
      </c>
      <c r="O328" s="41" t="s">
        <v>67</v>
      </c>
      <c r="P328" s="41">
        <v>4</v>
      </c>
      <c r="Q328" s="41" t="s">
        <v>2154</v>
      </c>
      <c r="R328" s="41" t="str">
        <f>VLOOKUP(Q:Q,Unit!B:D,2,0)</f>
        <v>can</v>
      </c>
      <c r="S328" s="41" t="s">
        <v>75</v>
      </c>
      <c r="T328" s="41" t="str">
        <f>VLOOKUP(S:S,Promo!B:D,2,0)</f>
        <v>Promo EN</v>
      </c>
      <c r="X328" s="41">
        <v>160</v>
      </c>
      <c r="AB328" s="41" t="s">
        <v>91</v>
      </c>
      <c r="AG328" s="41" t="s">
        <v>71</v>
      </c>
      <c r="AH328" s="41" t="s">
        <v>71</v>
      </c>
      <c r="AI328" s="41" t="s">
        <v>71</v>
      </c>
      <c r="AJ328" s="41" t="s">
        <v>71</v>
      </c>
      <c r="AK328" s="41" t="s">
        <v>71</v>
      </c>
      <c r="AL328" s="41" t="s">
        <v>71</v>
      </c>
      <c r="BS328" s="41" t="s">
        <v>2058</v>
      </c>
      <c r="BT328" s="41" t="s">
        <v>72</v>
      </c>
      <c r="BW328" s="41" t="s">
        <v>72</v>
      </c>
      <c r="BX328" s="41">
        <f>VLOOKUP(B:B,Brand!B:D,3,0)</f>
        <v>176</v>
      </c>
      <c r="BY328" s="41">
        <f>VLOOKUP(M:M,Unit!B:D,3,0)</f>
        <v>1</v>
      </c>
      <c r="BZ328" s="41">
        <f>VLOOKUP(S:S,Promo!B:D,3,0)</f>
        <v>0</v>
      </c>
    </row>
    <row r="329" spans="1:78" s="41" customFormat="1" ht="15.75" customHeight="1">
      <c r="A329" s="41">
        <v>191282</v>
      </c>
      <c r="B329" s="41" t="s">
        <v>661</v>
      </c>
      <c r="C329" s="65" t="str">
        <f>VLOOKUP(B:B,Brand!B:C,2,0)</f>
        <v>Nautilus</v>
      </c>
      <c r="D329" s="63">
        <f>VLOOKUP(E:E,'Product Category'!J:O,6,FALSE)</f>
        <v>190</v>
      </c>
      <c r="E329" s="41" t="s">
        <v>2071</v>
      </c>
      <c r="F329" s="63" t="str">
        <f>VLOOKUP(E:E,'Product Category'!J:K,2,FALSE)</f>
        <v>39-Canned Food</v>
      </c>
      <c r="G329" s="63" t="str">
        <f>VLOOKUP(F:F,'Product Category'!K:L,2,FALSE)</f>
        <v>6-Dry Food / Dry Groceries</v>
      </c>
      <c r="H329" s="41" t="s">
        <v>2381</v>
      </c>
      <c r="I329" s="41" t="s">
        <v>4211</v>
      </c>
      <c r="J329" s="41" t="s">
        <v>5037</v>
      </c>
      <c r="K329" s="41" t="s">
        <v>5038</v>
      </c>
      <c r="L329" s="41">
        <v>185</v>
      </c>
      <c r="M329" s="41" t="s">
        <v>83</v>
      </c>
      <c r="N329" s="41" t="str">
        <f>VLOOKUP(M:M,Unit!B:C,2,0)</f>
        <v>g</v>
      </c>
      <c r="O329" s="41" t="s">
        <v>67</v>
      </c>
      <c r="P329" s="41">
        <v>4</v>
      </c>
      <c r="Q329" s="41" t="s">
        <v>2154</v>
      </c>
      <c r="R329" s="41" t="str">
        <f>VLOOKUP(Q:Q,Unit!B:D,2,0)</f>
        <v>can</v>
      </c>
      <c r="S329" s="41" t="s">
        <v>75</v>
      </c>
      <c r="T329" s="41" t="str">
        <f>VLOOKUP(S:S,Promo!B:D,2,0)</f>
        <v>Promo EN</v>
      </c>
      <c r="W329" s="41">
        <v>126</v>
      </c>
      <c r="X329" s="41">
        <v>114</v>
      </c>
      <c r="AB329" s="41" t="s">
        <v>2056</v>
      </c>
      <c r="AG329" s="41" t="s">
        <v>71</v>
      </c>
      <c r="AH329" s="41" t="s">
        <v>71</v>
      </c>
      <c r="AI329" s="41" t="s">
        <v>71</v>
      </c>
      <c r="AJ329" s="41" t="s">
        <v>71</v>
      </c>
      <c r="AK329" s="41" t="s">
        <v>71</v>
      </c>
      <c r="AL329" s="41" t="s">
        <v>71</v>
      </c>
      <c r="BS329" s="41" t="s">
        <v>2058</v>
      </c>
      <c r="BT329" s="41" t="s">
        <v>72</v>
      </c>
      <c r="BW329" s="41" t="s">
        <v>72</v>
      </c>
      <c r="BX329" s="41">
        <f>VLOOKUP(B:B,Brand!B:D,3,0)</f>
        <v>297</v>
      </c>
      <c r="BY329" s="41">
        <f>VLOOKUP(M:M,Unit!B:D,3,0)</f>
        <v>1</v>
      </c>
      <c r="BZ329" s="41">
        <f>VLOOKUP(S:S,Promo!B:D,3,0)</f>
        <v>0</v>
      </c>
    </row>
    <row r="330" spans="1:78" s="41" customFormat="1" ht="15.75" customHeight="1">
      <c r="A330" s="41">
        <v>166966</v>
      </c>
      <c r="B330" s="41" t="s">
        <v>1009</v>
      </c>
      <c r="C330" s="65" t="str">
        <f>VLOOKUP(B:B,Brand!B:C,2,0)</f>
        <v>Mica</v>
      </c>
      <c r="D330" s="63">
        <f>VLOOKUP(E:E,'Product Category'!J:O,6,FALSE)</f>
        <v>191</v>
      </c>
      <c r="E330" s="41" t="s">
        <v>2070</v>
      </c>
      <c r="F330" s="63" t="str">
        <f>VLOOKUP(E:E,'Product Category'!J:K,2,FALSE)</f>
        <v>39-Canned Food</v>
      </c>
      <c r="G330" s="63" t="str">
        <f>VLOOKUP(F:F,'Product Category'!K:L,2,FALSE)</f>
        <v>6-Dry Food / Dry Groceries</v>
      </c>
      <c r="H330" s="41" t="s">
        <v>4111</v>
      </c>
      <c r="I330" s="41" t="s">
        <v>4112</v>
      </c>
      <c r="J330" s="41" t="s">
        <v>5003</v>
      </c>
      <c r="K330" s="41" t="s">
        <v>5004</v>
      </c>
      <c r="L330" s="41">
        <v>400</v>
      </c>
      <c r="M330" s="41" t="s">
        <v>83</v>
      </c>
      <c r="N330" s="41" t="str">
        <f>VLOOKUP(M:M,Unit!B:C,2,0)</f>
        <v>g</v>
      </c>
      <c r="O330" s="41" t="s">
        <v>67</v>
      </c>
      <c r="P330" s="41">
        <v>3</v>
      </c>
      <c r="Q330" s="41" t="s">
        <v>2154</v>
      </c>
      <c r="R330" s="41" t="str">
        <f>VLOOKUP(Q:Q,Unit!B:D,2,0)</f>
        <v>can</v>
      </c>
      <c r="S330" s="41" t="s">
        <v>75</v>
      </c>
      <c r="T330" s="41" t="str">
        <f>VLOOKUP(S:S,Promo!B:D,2,0)</f>
        <v>Promo EN</v>
      </c>
      <c r="W330" s="41">
        <v>174</v>
      </c>
      <c r="X330" s="41">
        <v>159</v>
      </c>
      <c r="AB330" s="41" t="s">
        <v>2062</v>
      </c>
      <c r="AG330" s="41" t="s">
        <v>71</v>
      </c>
      <c r="AH330" s="41" t="s">
        <v>71</v>
      </c>
      <c r="AI330" s="41" t="s">
        <v>71</v>
      </c>
      <c r="AJ330" s="41" t="s">
        <v>71</v>
      </c>
      <c r="AK330" s="41" t="s">
        <v>71</v>
      </c>
      <c r="AL330" s="41" t="s">
        <v>71</v>
      </c>
      <c r="BS330" s="41" t="s">
        <v>2058</v>
      </c>
      <c r="BT330" s="41" t="s">
        <v>72</v>
      </c>
      <c r="BW330" s="41" t="s">
        <v>72</v>
      </c>
      <c r="BX330" s="41">
        <f>VLOOKUP(B:B,Brand!B:D,3,0)</f>
        <v>531</v>
      </c>
      <c r="BY330" s="41">
        <f>VLOOKUP(M:M,Unit!B:D,3,0)</f>
        <v>1</v>
      </c>
      <c r="BZ330" s="41">
        <f>VLOOKUP(S:S,Promo!B:D,3,0)</f>
        <v>0</v>
      </c>
    </row>
    <row r="331" spans="1:78" s="41" customFormat="1" ht="15.75" customHeight="1">
      <c r="A331" s="41">
        <v>213602</v>
      </c>
      <c r="B331" s="41" t="s">
        <v>2790</v>
      </c>
      <c r="C331" s="65" t="str">
        <f>VLOOKUP(B:B,Brand!B:C,2,0)</f>
        <v>Royal Umbrella</v>
      </c>
      <c r="D331" s="63">
        <f>VLOOKUP(E:E,'Product Category'!J:O,6,FALSE)</f>
        <v>194</v>
      </c>
      <c r="E331" s="41" t="s">
        <v>2126</v>
      </c>
      <c r="F331" s="63" t="str">
        <f>VLOOKUP(E:E,'Product Category'!J:K,2,FALSE)</f>
        <v>40-Instant noodle / Soup / Porridge</v>
      </c>
      <c r="G331" s="63" t="str">
        <f>VLOOKUP(F:F,'Product Category'!K:L,2,FALSE)</f>
        <v>6-Dry Food / Dry Groceries</v>
      </c>
      <c r="H331" s="41" t="s">
        <v>3558</v>
      </c>
      <c r="I331" s="41" t="s">
        <v>3559</v>
      </c>
      <c r="J331" s="41" t="s">
        <v>4597</v>
      </c>
      <c r="K331" s="41" t="s">
        <v>4598</v>
      </c>
      <c r="L331" s="41">
        <v>1</v>
      </c>
      <c r="M331" s="41" t="s">
        <v>79</v>
      </c>
      <c r="N331" s="41" t="str">
        <f>VLOOKUP(M:M,Unit!B:C,2,0)</f>
        <v>kg</v>
      </c>
      <c r="O331" s="41" t="s">
        <v>67</v>
      </c>
      <c r="P331" s="41">
        <v>1</v>
      </c>
      <c r="Q331" s="41" t="s">
        <v>179</v>
      </c>
      <c r="R331" s="41" t="str">
        <f>VLOOKUP(Q:Q,Unit!B:D,2,0)</f>
        <v>pack</v>
      </c>
      <c r="S331" s="41" t="s">
        <v>75</v>
      </c>
      <c r="T331" s="41" t="str">
        <f>VLOOKUP(S:S,Promo!B:D,2,0)</f>
        <v>Promo EN</v>
      </c>
      <c r="W331" s="41">
        <v>55</v>
      </c>
      <c r="X331" s="41">
        <v>53</v>
      </c>
      <c r="AG331" s="41" t="s">
        <v>71</v>
      </c>
      <c r="AH331" s="41" t="s">
        <v>71</v>
      </c>
      <c r="AI331" s="41" t="s">
        <v>71</v>
      </c>
      <c r="AJ331" s="41" t="s">
        <v>71</v>
      </c>
      <c r="AK331" s="41" t="s">
        <v>71</v>
      </c>
      <c r="AL331" s="41" t="s">
        <v>71</v>
      </c>
      <c r="BS331" s="41" t="s">
        <v>2058</v>
      </c>
      <c r="BT331" s="41" t="s">
        <v>72</v>
      </c>
      <c r="BW331" s="41" t="s">
        <v>72</v>
      </c>
      <c r="BX331" s="41">
        <f>VLOOKUP(B:B,Brand!B:D,3,0)</f>
        <v>1163</v>
      </c>
      <c r="BY331" s="41">
        <f>VLOOKUP(M:M,Unit!B:D,3,0)</f>
        <v>2</v>
      </c>
      <c r="BZ331" s="41">
        <f>VLOOKUP(S:S,Promo!B:D,3,0)</f>
        <v>0</v>
      </c>
    </row>
    <row r="332" spans="1:78" s="41" customFormat="1" ht="15.75" customHeight="1">
      <c r="A332" s="41">
        <v>237085</v>
      </c>
      <c r="B332" s="41" t="s">
        <v>114</v>
      </c>
      <c r="C332" s="65" t="str">
        <f>VLOOKUP(B:B,Brand!B:C,2,0)</f>
        <v>Nissin</v>
      </c>
      <c r="D332" s="63">
        <f>VLOOKUP(E:E,'Product Category'!J:O,6,FALSE)</f>
        <v>194</v>
      </c>
      <c r="E332" s="41" t="s">
        <v>2126</v>
      </c>
      <c r="F332" s="63" t="str">
        <f>VLOOKUP(E:E,'Product Category'!J:K,2,FALSE)</f>
        <v>40-Instant noodle / Soup / Porridge</v>
      </c>
      <c r="G332" s="63" t="str">
        <f>VLOOKUP(F:F,'Product Category'!K:L,2,FALSE)</f>
        <v>6-Dry Food / Dry Groceries</v>
      </c>
      <c r="H332" s="41" t="s">
        <v>3655</v>
      </c>
      <c r="I332" s="41" t="s">
        <v>3656</v>
      </c>
      <c r="J332" s="41" t="s">
        <v>4675</v>
      </c>
      <c r="K332" s="41" t="s">
        <v>4676</v>
      </c>
      <c r="L332" s="41">
        <v>60</v>
      </c>
      <c r="M332" s="41" t="s">
        <v>83</v>
      </c>
      <c r="N332" s="41" t="str">
        <f>VLOOKUP(M:M,Unit!B:C,2,0)</f>
        <v>g</v>
      </c>
      <c r="O332" s="41" t="s">
        <v>67</v>
      </c>
      <c r="P332" s="41">
        <v>6</v>
      </c>
      <c r="Q332" s="41" t="s">
        <v>68</v>
      </c>
      <c r="R332" s="41" t="str">
        <f>VLOOKUP(Q:Q,Unit!B:D,2,0)</f>
        <v>pc</v>
      </c>
      <c r="S332" s="41" t="s">
        <v>75</v>
      </c>
      <c r="T332" s="41" t="str">
        <f>VLOOKUP(S:S,Promo!B:D,2,0)</f>
        <v>Promo EN</v>
      </c>
      <c r="W332" s="41">
        <v>75</v>
      </c>
      <c r="X332" s="41">
        <v>63</v>
      </c>
      <c r="AB332" s="41" t="s">
        <v>91</v>
      </c>
      <c r="AG332" s="41" t="s">
        <v>71</v>
      </c>
      <c r="AH332" s="41" t="s">
        <v>71</v>
      </c>
      <c r="AI332" s="41" t="s">
        <v>71</v>
      </c>
      <c r="AJ332" s="41" t="s">
        <v>71</v>
      </c>
      <c r="AK332" s="41" t="s">
        <v>71</v>
      </c>
      <c r="AL332" s="41" t="s">
        <v>71</v>
      </c>
      <c r="AU332" s="41" t="s">
        <v>3657</v>
      </c>
      <c r="AV332" s="41" t="s">
        <v>2180</v>
      </c>
      <c r="BS332" s="41" t="s">
        <v>2058</v>
      </c>
      <c r="BT332" s="41" t="s">
        <v>72</v>
      </c>
      <c r="BW332" s="41" t="s">
        <v>72</v>
      </c>
      <c r="BX332" s="41">
        <f>VLOOKUP(B:B,Brand!B:D,3,0)</f>
        <v>305</v>
      </c>
      <c r="BY332" s="41">
        <f>VLOOKUP(M:M,Unit!B:D,3,0)</f>
        <v>1</v>
      </c>
      <c r="BZ332" s="41">
        <f>VLOOKUP(S:S,Promo!B:D,3,0)</f>
        <v>0</v>
      </c>
    </row>
    <row r="333" spans="1:78" s="41" customFormat="1" ht="15.75" customHeight="1">
      <c r="A333" s="41">
        <v>47177</v>
      </c>
      <c r="B333" s="41" t="s">
        <v>89</v>
      </c>
      <c r="C333" s="65" t="str">
        <f>VLOOKUP(B:B,Brand!B:C,2,0)</f>
        <v>Yum Yum Jumbo</v>
      </c>
      <c r="D333" s="63">
        <f>VLOOKUP(E:E,'Product Category'!J:O,6,FALSE)</f>
        <v>194</v>
      </c>
      <c r="E333" s="41" t="s">
        <v>2126</v>
      </c>
      <c r="F333" s="63" t="str">
        <f>VLOOKUP(E:E,'Product Category'!J:K,2,FALSE)</f>
        <v>40-Instant noodle / Soup / Porridge</v>
      </c>
      <c r="G333" s="63" t="str">
        <f>VLOOKUP(F:F,'Product Category'!K:L,2,FALSE)</f>
        <v>6-Dry Food / Dry Groceries</v>
      </c>
      <c r="H333" s="41" t="s">
        <v>3744</v>
      </c>
      <c r="I333" s="41" t="s">
        <v>3745</v>
      </c>
      <c r="J333" s="41" t="s">
        <v>4741</v>
      </c>
      <c r="K333" s="41" t="s">
        <v>4742</v>
      </c>
      <c r="L333" s="41">
        <v>67</v>
      </c>
      <c r="M333" s="41" t="s">
        <v>83</v>
      </c>
      <c r="N333" s="41" t="str">
        <f>VLOOKUP(M:M,Unit!B:C,2,0)</f>
        <v>g</v>
      </c>
      <c r="O333" s="41" t="s">
        <v>67</v>
      </c>
      <c r="P333" s="41">
        <v>30</v>
      </c>
      <c r="Q333" s="41" t="s">
        <v>135</v>
      </c>
      <c r="R333" s="41" t="str">
        <f>VLOOKUP(Q:Q,Unit!B:D,2,0)</f>
        <v>g</v>
      </c>
      <c r="S333" s="41" t="s">
        <v>75</v>
      </c>
      <c r="T333" s="41" t="str">
        <f>VLOOKUP(S:S,Promo!B:D,2,0)</f>
        <v>Promo EN</v>
      </c>
      <c r="W333" s="41">
        <v>150</v>
      </c>
      <c r="X333" s="41">
        <v>139</v>
      </c>
      <c r="AB333" s="41" t="s">
        <v>2056</v>
      </c>
      <c r="AF333" s="41" t="s">
        <v>3373</v>
      </c>
      <c r="AG333" s="41" t="s">
        <v>71</v>
      </c>
      <c r="AH333" s="41" t="s">
        <v>1846</v>
      </c>
      <c r="AI333" s="41" t="s">
        <v>71</v>
      </c>
      <c r="AJ333" s="41" t="s">
        <v>71</v>
      </c>
      <c r="AK333" s="41" t="s">
        <v>71</v>
      </c>
      <c r="AL333" s="41" t="s">
        <v>71</v>
      </c>
      <c r="AU333" s="41" t="s">
        <v>3745</v>
      </c>
      <c r="AV333" s="41" t="s">
        <v>2339</v>
      </c>
      <c r="BS333" s="41" t="s">
        <v>2058</v>
      </c>
      <c r="BT333" s="41" t="s">
        <v>72</v>
      </c>
      <c r="BW333" s="41" t="s">
        <v>72</v>
      </c>
      <c r="BX333" s="41">
        <f>VLOOKUP(B:B,Brand!B:D,3,0)</f>
        <v>534</v>
      </c>
      <c r="BY333" s="41">
        <f>VLOOKUP(M:M,Unit!B:D,3,0)</f>
        <v>1</v>
      </c>
      <c r="BZ333" s="41">
        <f>VLOOKUP(S:S,Promo!B:D,3,0)</f>
        <v>0</v>
      </c>
    </row>
    <row r="334" spans="1:78" s="41" customFormat="1" ht="15.75" customHeight="1">
      <c r="A334" s="41">
        <v>182798</v>
      </c>
      <c r="B334" s="41" t="s">
        <v>2225</v>
      </c>
      <c r="C334" s="65" t="str">
        <f>VLOOKUP(B:B,Brand!B:C,2,0)</f>
        <v>YumYum</v>
      </c>
      <c r="D334" s="63">
        <f>VLOOKUP(E:E,'Product Category'!J:O,6,FALSE)</f>
        <v>194</v>
      </c>
      <c r="E334" s="41" t="s">
        <v>2126</v>
      </c>
      <c r="F334" s="63" t="str">
        <f>VLOOKUP(E:E,'Product Category'!J:K,2,FALSE)</f>
        <v>40-Instant noodle / Soup / Porridge</v>
      </c>
      <c r="G334" s="63" t="str">
        <f>VLOOKUP(F:F,'Product Category'!K:L,2,FALSE)</f>
        <v>6-Dry Food / Dry Groceries</v>
      </c>
      <c r="H334" s="41" t="s">
        <v>3774</v>
      </c>
      <c r="I334" s="41" t="s">
        <v>3656</v>
      </c>
      <c r="J334" s="41" t="s">
        <v>4769</v>
      </c>
      <c r="K334" s="41" t="s">
        <v>4770</v>
      </c>
      <c r="L334" s="41">
        <v>60</v>
      </c>
      <c r="M334" s="41" t="s">
        <v>83</v>
      </c>
      <c r="N334" s="41" t="str">
        <f>VLOOKUP(M:M,Unit!B:C,2,0)</f>
        <v>g</v>
      </c>
      <c r="O334" s="41" t="s">
        <v>67</v>
      </c>
      <c r="P334" s="41">
        <v>6</v>
      </c>
      <c r="Q334" s="41" t="s">
        <v>68</v>
      </c>
      <c r="R334" s="41" t="str">
        <f>VLOOKUP(Q:Q,Unit!B:D,2,0)</f>
        <v>pc</v>
      </c>
      <c r="S334" s="41" t="s">
        <v>75</v>
      </c>
      <c r="T334" s="41" t="str">
        <f>VLOOKUP(S:S,Promo!B:D,2,0)</f>
        <v>Promo EN</v>
      </c>
      <c r="W334" s="41">
        <v>75</v>
      </c>
      <c r="X334" s="41">
        <v>65</v>
      </c>
      <c r="AB334" s="41" t="s">
        <v>91</v>
      </c>
      <c r="AG334" s="41" t="s">
        <v>71</v>
      </c>
      <c r="AH334" s="41" t="s">
        <v>71</v>
      </c>
      <c r="AI334" s="41" t="s">
        <v>71</v>
      </c>
      <c r="AJ334" s="41" t="s">
        <v>71</v>
      </c>
      <c r="AK334" s="41" t="s">
        <v>71</v>
      </c>
      <c r="AL334" s="41" t="s">
        <v>71</v>
      </c>
      <c r="AP334" s="41" t="s">
        <v>3424</v>
      </c>
      <c r="AU334" s="41" t="s">
        <v>3657</v>
      </c>
      <c r="AV334" s="41" t="s">
        <v>2180</v>
      </c>
      <c r="BS334" s="41" t="s">
        <v>2058</v>
      </c>
      <c r="BT334" s="41" t="s">
        <v>72</v>
      </c>
      <c r="BW334" s="41" t="s">
        <v>72</v>
      </c>
      <c r="BX334" s="41">
        <f>VLOOKUP(B:B,Brand!B:D,3,0)</f>
        <v>1007</v>
      </c>
      <c r="BY334" s="41">
        <f>VLOOKUP(M:M,Unit!B:D,3,0)</f>
        <v>1</v>
      </c>
      <c r="BZ334" s="41">
        <f>VLOOKUP(S:S,Promo!B:D,3,0)</f>
        <v>0</v>
      </c>
    </row>
    <row r="335" spans="1:78" s="41" customFormat="1" ht="15.75" customHeight="1">
      <c r="A335" s="41">
        <v>132322</v>
      </c>
      <c r="B335" s="41" t="s">
        <v>950</v>
      </c>
      <c r="C335" s="65" t="str">
        <f>VLOOKUP(B:B,Brand!B:C,2,0)</f>
        <v>Mama</v>
      </c>
      <c r="D335" s="63">
        <f>VLOOKUP(E:E,'Product Category'!J:O,6,FALSE)</f>
        <v>194</v>
      </c>
      <c r="E335" s="41" t="s">
        <v>2126</v>
      </c>
      <c r="F335" s="63" t="str">
        <f>VLOOKUP(E:E,'Product Category'!J:K,2,FALSE)</f>
        <v>40-Instant noodle / Soup / Porridge</v>
      </c>
      <c r="G335" s="63" t="str">
        <f>VLOOKUP(F:F,'Product Category'!K:L,2,FALSE)</f>
        <v>6-Dry Food / Dry Groceries</v>
      </c>
      <c r="H335" s="41" t="s">
        <v>2392</v>
      </c>
      <c r="I335" s="41" t="s">
        <v>2393</v>
      </c>
      <c r="J335" s="41" t="s">
        <v>5041</v>
      </c>
      <c r="K335" s="41" t="s">
        <v>5042</v>
      </c>
      <c r="L335" s="41">
        <v>60</v>
      </c>
      <c r="M335" s="41" t="s">
        <v>83</v>
      </c>
      <c r="N335" s="41" t="str">
        <f>VLOOKUP(M:M,Unit!B:C,2,0)</f>
        <v>g</v>
      </c>
      <c r="O335" s="41" t="s">
        <v>67</v>
      </c>
      <c r="P335" s="41">
        <v>6</v>
      </c>
      <c r="Q335" s="41" t="s">
        <v>90</v>
      </c>
      <c r="R335" s="41" t="str">
        <f>VLOOKUP(Q:Q,Unit!B:D,2,0)</f>
        <v>cup</v>
      </c>
      <c r="S335" s="41" t="s">
        <v>75</v>
      </c>
      <c r="T335" s="41" t="str">
        <f>VLOOKUP(S:S,Promo!B:D,2,0)</f>
        <v>Promo EN</v>
      </c>
      <c r="W335" s="41">
        <v>68</v>
      </c>
      <c r="X335" s="41">
        <v>63</v>
      </c>
      <c r="AB335" s="41" t="s">
        <v>91</v>
      </c>
      <c r="AG335" s="41" t="s">
        <v>71</v>
      </c>
      <c r="AH335" s="41" t="s">
        <v>1846</v>
      </c>
      <c r="AI335" s="41" t="s">
        <v>71</v>
      </c>
      <c r="AJ335" s="41" t="s">
        <v>71</v>
      </c>
      <c r="AK335" s="41" t="s">
        <v>71</v>
      </c>
      <c r="AL335" s="41" t="s">
        <v>71</v>
      </c>
      <c r="AU335" s="41" t="s">
        <v>2224</v>
      </c>
      <c r="AV335" s="41" t="s">
        <v>2180</v>
      </c>
      <c r="BS335" s="41" t="s">
        <v>2058</v>
      </c>
      <c r="BT335" s="41" t="s">
        <v>72</v>
      </c>
      <c r="BW335" s="41" t="s">
        <v>72</v>
      </c>
      <c r="BX335" s="41">
        <f>VLOOKUP(B:B,Brand!B:D,3,0)</f>
        <v>493</v>
      </c>
      <c r="BY335" s="41">
        <f>VLOOKUP(M:M,Unit!B:D,3,0)</f>
        <v>1</v>
      </c>
      <c r="BZ335" s="41">
        <f>VLOOKUP(S:S,Promo!B:D,3,0)</f>
        <v>0</v>
      </c>
    </row>
    <row r="336" spans="1:78" s="41" customFormat="1" ht="15.75" customHeight="1">
      <c r="A336" s="41">
        <v>146569</v>
      </c>
      <c r="B336" s="41" t="s">
        <v>151</v>
      </c>
      <c r="C336" s="65" t="str">
        <f>VLOOKUP(B:B,Brand!B:C,2,0)</f>
        <v>Nooddy</v>
      </c>
      <c r="D336" s="63">
        <f>VLOOKUP(E:E,'Product Category'!J:O,6,FALSE)</f>
        <v>194</v>
      </c>
      <c r="E336" s="41" t="s">
        <v>2126</v>
      </c>
      <c r="F336" s="63" t="str">
        <f>VLOOKUP(E:E,'Product Category'!J:K,2,FALSE)</f>
        <v>40-Instant noodle / Soup / Porridge</v>
      </c>
      <c r="G336" s="63" t="str">
        <f>VLOOKUP(F:F,'Product Category'!K:L,2,FALSE)</f>
        <v>6-Dry Food / Dry Groceries</v>
      </c>
      <c r="H336" s="41" t="s">
        <v>2172</v>
      </c>
      <c r="I336" s="41" t="s">
        <v>4220</v>
      </c>
      <c r="J336" s="41" t="s">
        <v>5059</v>
      </c>
      <c r="K336" s="41" t="s">
        <v>5060</v>
      </c>
      <c r="L336" s="41">
        <v>2700</v>
      </c>
      <c r="M336" s="41" t="s">
        <v>83</v>
      </c>
      <c r="N336" s="41" t="str">
        <f>VLOOKUP(M:M,Unit!B:C,2,0)</f>
        <v>g</v>
      </c>
      <c r="O336" s="41" t="s">
        <v>67</v>
      </c>
      <c r="P336" s="41">
        <v>1</v>
      </c>
      <c r="Q336" s="41" t="s">
        <v>2153</v>
      </c>
      <c r="R336" s="41" t="str">
        <f>VLOOKUP(Q:Q,Unit!B:D,2,0)</f>
        <v>unit</v>
      </c>
      <c r="S336" s="41" t="s">
        <v>75</v>
      </c>
      <c r="T336" s="41" t="str">
        <f>VLOOKUP(S:S,Promo!B:D,2,0)</f>
        <v>Promo EN</v>
      </c>
      <c r="W336" s="41">
        <v>126</v>
      </c>
      <c r="X336" s="41">
        <v>119</v>
      </c>
      <c r="Z336" s="41">
        <v>241249</v>
      </c>
      <c r="AA336" s="41" t="s">
        <v>3659</v>
      </c>
      <c r="AB336" s="41" t="s">
        <v>2054</v>
      </c>
      <c r="AF336" s="41" t="s">
        <v>3373</v>
      </c>
      <c r="AG336" s="41" t="s">
        <v>71</v>
      </c>
      <c r="AH336" s="41" t="s">
        <v>71</v>
      </c>
      <c r="AI336" s="41" t="s">
        <v>71</v>
      </c>
      <c r="AJ336" s="41" t="s">
        <v>71</v>
      </c>
      <c r="AK336" s="41" t="s">
        <v>71</v>
      </c>
      <c r="AL336" s="41" t="s">
        <v>71</v>
      </c>
      <c r="BS336" s="41" t="s">
        <v>2058</v>
      </c>
      <c r="BT336" s="41" t="s">
        <v>72</v>
      </c>
      <c r="BW336" s="41" t="s">
        <v>72</v>
      </c>
      <c r="BX336" s="41">
        <f>VLOOKUP(B:B,Brand!B:D,3,0)</f>
        <v>316</v>
      </c>
      <c r="BY336" s="41">
        <f>VLOOKUP(M:M,Unit!B:D,3,0)</f>
        <v>1</v>
      </c>
      <c r="BZ336" s="41">
        <f>VLOOKUP(S:S,Promo!B:D,3,0)</f>
        <v>0</v>
      </c>
    </row>
    <row r="337" spans="1:78" s="41" customFormat="1" ht="15.75" customHeight="1">
      <c r="A337" s="41">
        <v>438256</v>
      </c>
      <c r="B337" s="41" t="s">
        <v>158</v>
      </c>
      <c r="C337" s="65" t="str">
        <f>VLOOKUP(B:B,Brand!B:C,2,0)</f>
        <v>Ton-Son</v>
      </c>
      <c r="D337" s="63">
        <f>VLOOKUP(E:E,'Product Category'!J:O,6,FALSE)</f>
        <v>197</v>
      </c>
      <c r="E337" s="41" t="s">
        <v>2124</v>
      </c>
      <c r="F337" s="63" t="str">
        <f>VLOOKUP(E:E,'Product Category'!J:K,2,FALSE)</f>
        <v>41-Pasta / Noodle</v>
      </c>
      <c r="G337" s="63" t="str">
        <f>VLOOKUP(F:F,'Product Category'!K:L,2,FALSE)</f>
        <v>6-Dry Food / Dry Groceries</v>
      </c>
      <c r="H337" s="41" t="s">
        <v>159</v>
      </c>
      <c r="I337" s="41" t="s">
        <v>1762</v>
      </c>
      <c r="J337" s="41" t="s">
        <v>4661</v>
      </c>
      <c r="K337" s="41" t="s">
        <v>4662</v>
      </c>
      <c r="L337" s="41">
        <v>500</v>
      </c>
      <c r="M337" s="41" t="s">
        <v>83</v>
      </c>
      <c r="N337" s="41" t="str">
        <f>VLOOKUP(M:M,Unit!B:C,2,0)</f>
        <v>g</v>
      </c>
      <c r="O337" s="41" t="s">
        <v>67</v>
      </c>
      <c r="P337" s="41">
        <v>1</v>
      </c>
      <c r="Q337" s="41" t="s">
        <v>68</v>
      </c>
      <c r="R337" s="41" t="str">
        <f>VLOOKUP(Q:Q,Unit!B:D,2,0)</f>
        <v>pc</v>
      </c>
      <c r="S337" s="41" t="s">
        <v>75</v>
      </c>
      <c r="T337" s="41" t="str">
        <f>VLOOKUP(S:S,Promo!B:D,2,0)</f>
        <v>Promo EN</v>
      </c>
      <c r="W337" s="41">
        <v>76</v>
      </c>
      <c r="X337" s="41">
        <v>74</v>
      </c>
      <c r="AB337" s="41" t="s">
        <v>2054</v>
      </c>
      <c r="AF337" s="41" t="s">
        <v>3373</v>
      </c>
      <c r="AG337" s="41" t="s">
        <v>71</v>
      </c>
      <c r="AH337" s="41" t="s">
        <v>71</v>
      </c>
      <c r="AI337" s="41" t="s">
        <v>71</v>
      </c>
      <c r="AJ337" s="41" t="s">
        <v>71</v>
      </c>
      <c r="AK337" s="41" t="s">
        <v>71</v>
      </c>
      <c r="AL337" s="41" t="s">
        <v>71</v>
      </c>
      <c r="BS337" s="41" t="s">
        <v>2058</v>
      </c>
      <c r="BT337" s="41" t="s">
        <v>72</v>
      </c>
      <c r="BW337" s="41" t="s">
        <v>72</v>
      </c>
      <c r="BX337" s="41">
        <f>VLOOKUP(B:B,Brand!B:D,3,0)</f>
        <v>242</v>
      </c>
      <c r="BY337" s="41">
        <f>VLOOKUP(M:M,Unit!B:D,3,0)</f>
        <v>1</v>
      </c>
      <c r="BZ337" s="41">
        <f>VLOOKUP(S:S,Promo!B:D,3,0)</f>
        <v>0</v>
      </c>
    </row>
    <row r="338" spans="1:78" s="41" customFormat="1" ht="15.75" customHeight="1">
      <c r="A338" s="41">
        <v>756132</v>
      </c>
      <c r="B338" s="41" t="s">
        <v>1285</v>
      </c>
      <c r="C338" s="65" t="str">
        <f>VLOOKUP(B:B,Brand!B:C,2,0)</f>
        <v>Agnesi</v>
      </c>
      <c r="D338" s="63">
        <f>VLOOKUP(E:E,'Product Category'!J:O,6,FALSE)</f>
        <v>199</v>
      </c>
      <c r="E338" s="41" t="s">
        <v>2121</v>
      </c>
      <c r="F338" s="63" t="str">
        <f>VLOOKUP(E:E,'Product Category'!J:K,2,FALSE)</f>
        <v>41-Pasta / Noodle</v>
      </c>
      <c r="G338" s="63" t="str">
        <f>VLOOKUP(F:F,'Product Category'!K:L,2,FALSE)</f>
        <v>6-Dry Food / Dry Groceries</v>
      </c>
      <c r="H338" s="41" t="s">
        <v>2175</v>
      </c>
      <c r="I338" s="41" t="s">
        <v>2328</v>
      </c>
      <c r="J338" s="41" t="s">
        <v>4995</v>
      </c>
      <c r="K338" s="41" t="s">
        <v>4996</v>
      </c>
      <c r="L338" s="41">
        <v>3</v>
      </c>
      <c r="M338" s="41" t="s">
        <v>79</v>
      </c>
      <c r="N338" s="41" t="str">
        <f>VLOOKUP(M:M,Unit!B:C,2,0)</f>
        <v>kg</v>
      </c>
      <c r="O338" s="41" t="s">
        <v>67</v>
      </c>
      <c r="P338" s="41">
        <v>1</v>
      </c>
      <c r="Q338" s="41" t="s">
        <v>68</v>
      </c>
      <c r="R338" s="41" t="str">
        <f>VLOOKUP(Q:Q,Unit!B:D,2,0)</f>
        <v>pc</v>
      </c>
      <c r="S338" s="41" t="s">
        <v>75</v>
      </c>
      <c r="T338" s="41" t="str">
        <f>VLOOKUP(S:S,Promo!B:D,2,0)</f>
        <v>Promo EN</v>
      </c>
      <c r="W338" s="41">
        <v>312</v>
      </c>
      <c r="X338" s="41">
        <v>285</v>
      </c>
      <c r="AB338" s="41" t="s">
        <v>2054</v>
      </c>
      <c r="AG338" s="41" t="s">
        <v>71</v>
      </c>
      <c r="AH338" s="41" t="s">
        <v>71</v>
      </c>
      <c r="AI338" s="41" t="s">
        <v>71</v>
      </c>
      <c r="AJ338" s="41" t="s">
        <v>71</v>
      </c>
      <c r="AK338" s="41" t="s">
        <v>71</v>
      </c>
      <c r="AL338" s="41" t="s">
        <v>71</v>
      </c>
      <c r="BS338" s="41" t="s">
        <v>2058</v>
      </c>
      <c r="BT338" s="41" t="s">
        <v>72</v>
      </c>
      <c r="BW338" s="41" t="s">
        <v>72</v>
      </c>
      <c r="BX338" s="41">
        <f>VLOOKUP(B:B,Brand!B:D,3,0)</f>
        <v>705</v>
      </c>
      <c r="BY338" s="41">
        <f>VLOOKUP(M:M,Unit!B:D,3,0)</f>
        <v>2</v>
      </c>
      <c r="BZ338" s="41">
        <f>VLOOKUP(S:S,Promo!B:D,3,0)</f>
        <v>0</v>
      </c>
    </row>
    <row r="339" spans="1:78" s="41" customFormat="1" ht="15.75" customHeight="1">
      <c r="A339" s="41">
        <v>148798</v>
      </c>
      <c r="B339" s="41" t="s">
        <v>97</v>
      </c>
      <c r="C339" s="65" t="str">
        <f>VLOOKUP(B:B,Brand!B:C,2,0)</f>
        <v>aro</v>
      </c>
      <c r="D339" s="63">
        <f>VLOOKUP(E:E,'Product Category'!J:O,6,FALSE)</f>
        <v>199</v>
      </c>
      <c r="E339" s="41" t="s">
        <v>2121</v>
      </c>
      <c r="F339" s="63" t="str">
        <f>VLOOKUP(E:E,'Product Category'!J:K,2,FALSE)</f>
        <v>41-Pasta / Noodle</v>
      </c>
      <c r="G339" s="63" t="str">
        <f>VLOOKUP(F:F,'Product Category'!K:L,2,FALSE)</f>
        <v>6-Dry Food / Dry Groceries</v>
      </c>
      <c r="H339" s="41" t="s">
        <v>2175</v>
      </c>
      <c r="I339" s="41" t="s">
        <v>2328</v>
      </c>
      <c r="J339" s="41" t="s">
        <v>5200</v>
      </c>
      <c r="K339" s="41" t="s">
        <v>5201</v>
      </c>
      <c r="L339" s="41">
        <v>1000</v>
      </c>
      <c r="M339" s="41" t="s">
        <v>83</v>
      </c>
      <c r="N339" s="41" t="str">
        <f>VLOOKUP(M:M,Unit!B:C,2,0)</f>
        <v>g</v>
      </c>
      <c r="O339" s="41" t="s">
        <v>67</v>
      </c>
      <c r="P339" s="41">
        <v>1</v>
      </c>
      <c r="Q339" s="41" t="s">
        <v>179</v>
      </c>
      <c r="R339" s="41" t="str">
        <f>VLOOKUP(Q:Q,Unit!B:D,2,0)</f>
        <v>pack</v>
      </c>
      <c r="S339" s="41" t="s">
        <v>75</v>
      </c>
      <c r="T339" s="41" t="str">
        <f>VLOOKUP(S:S,Promo!B:D,2,0)</f>
        <v>Promo EN</v>
      </c>
      <c r="X339" s="41">
        <v>75</v>
      </c>
      <c r="AB339" s="41" t="s">
        <v>2054</v>
      </c>
      <c r="AF339" s="41" t="s">
        <v>3373</v>
      </c>
      <c r="AG339" s="41" t="s">
        <v>71</v>
      </c>
      <c r="AH339" s="41" t="s">
        <v>71</v>
      </c>
      <c r="AI339" s="41" t="s">
        <v>71</v>
      </c>
      <c r="AJ339" s="41" t="s">
        <v>71</v>
      </c>
      <c r="AK339" s="41" t="s">
        <v>71</v>
      </c>
      <c r="AL339" s="41" t="s">
        <v>71</v>
      </c>
      <c r="AP339" s="41" t="s">
        <v>4420</v>
      </c>
      <c r="BS339" s="41" t="s">
        <v>2058</v>
      </c>
      <c r="BT339" s="41" t="s">
        <v>72</v>
      </c>
      <c r="BW339" s="41" t="s">
        <v>72</v>
      </c>
      <c r="BX339" s="41">
        <f>VLOOKUP(B:B,Brand!B:D,3,0)</f>
        <v>692</v>
      </c>
      <c r="BY339" s="41">
        <f>VLOOKUP(M:M,Unit!B:D,3,0)</f>
        <v>1</v>
      </c>
      <c r="BZ339" s="41">
        <f>VLOOKUP(S:S,Promo!B:D,3,0)</f>
        <v>0</v>
      </c>
    </row>
    <row r="340" spans="1:78" s="41" customFormat="1" ht="15.75" customHeight="1">
      <c r="A340" s="41">
        <v>817583</v>
      </c>
      <c r="B340" s="41" t="s">
        <v>97</v>
      </c>
      <c r="C340" s="65" t="str">
        <f>VLOOKUP(B:B,Brand!B:C,2,0)</f>
        <v>aro</v>
      </c>
      <c r="D340" s="63">
        <f>VLOOKUP(E:E,'Product Category'!J:O,6,FALSE)</f>
        <v>199</v>
      </c>
      <c r="E340" s="41" t="s">
        <v>2121</v>
      </c>
      <c r="F340" s="63" t="str">
        <f>VLOOKUP(E:E,'Product Category'!J:K,2,FALSE)</f>
        <v>41-Pasta / Noodle</v>
      </c>
      <c r="G340" s="63" t="str">
        <f>VLOOKUP(F:F,'Product Category'!K:L,2,FALSE)</f>
        <v>6-Dry Food / Dry Groceries</v>
      </c>
      <c r="H340" s="41" t="s">
        <v>4421</v>
      </c>
      <c r="I340" s="41" t="s">
        <v>4422</v>
      </c>
      <c r="J340" s="41" t="s">
        <v>5202</v>
      </c>
      <c r="K340" s="41" t="s">
        <v>5203</v>
      </c>
      <c r="L340" s="41">
        <v>1000</v>
      </c>
      <c r="M340" s="41" t="s">
        <v>83</v>
      </c>
      <c r="N340" s="41" t="str">
        <f>VLOOKUP(M:M,Unit!B:C,2,0)</f>
        <v>g</v>
      </c>
      <c r="O340" s="41" t="s">
        <v>67</v>
      </c>
      <c r="P340" s="41">
        <v>1</v>
      </c>
      <c r="Q340" s="41" t="s">
        <v>179</v>
      </c>
      <c r="R340" s="41" t="str">
        <f>VLOOKUP(Q:Q,Unit!B:D,2,0)</f>
        <v>pack</v>
      </c>
      <c r="S340" s="41" t="s">
        <v>75</v>
      </c>
      <c r="T340" s="41" t="str">
        <f>VLOOKUP(S:S,Promo!B:D,2,0)</f>
        <v>Promo EN</v>
      </c>
      <c r="X340" s="41">
        <v>75</v>
      </c>
      <c r="AB340" s="41" t="s">
        <v>91</v>
      </c>
      <c r="AG340" s="41" t="s">
        <v>71</v>
      </c>
      <c r="AH340" s="41" t="s">
        <v>71</v>
      </c>
      <c r="AI340" s="41" t="s">
        <v>71</v>
      </c>
      <c r="AJ340" s="41" t="s">
        <v>71</v>
      </c>
      <c r="AK340" s="41" t="s">
        <v>71</v>
      </c>
      <c r="AL340" s="41" t="s">
        <v>71</v>
      </c>
      <c r="AP340" s="41" t="s">
        <v>4420</v>
      </c>
      <c r="BS340" s="41" t="s">
        <v>2058</v>
      </c>
      <c r="BT340" s="41" t="s">
        <v>72</v>
      </c>
      <c r="BW340" s="41" t="s">
        <v>72</v>
      </c>
      <c r="BX340" s="41">
        <f>VLOOKUP(B:B,Brand!B:D,3,0)</f>
        <v>692</v>
      </c>
      <c r="BY340" s="41">
        <f>VLOOKUP(M:M,Unit!B:D,3,0)</f>
        <v>1</v>
      </c>
      <c r="BZ340" s="41">
        <f>VLOOKUP(S:S,Promo!B:D,3,0)</f>
        <v>0</v>
      </c>
    </row>
    <row r="341" spans="1:78" s="41" customFormat="1" ht="15.75" customHeight="1">
      <c r="A341" s="41">
        <v>148929</v>
      </c>
      <c r="B341" s="41" t="s">
        <v>97</v>
      </c>
      <c r="C341" s="65" t="str">
        <f>VLOOKUP(B:B,Brand!B:C,2,0)</f>
        <v>aro</v>
      </c>
      <c r="D341" s="63">
        <f>VLOOKUP(E:E,'Product Category'!J:O,6,FALSE)</f>
        <v>199</v>
      </c>
      <c r="E341" s="41" t="s">
        <v>2121</v>
      </c>
      <c r="F341" s="63" t="str">
        <f>VLOOKUP(E:E,'Product Category'!J:K,2,FALSE)</f>
        <v>41-Pasta / Noodle</v>
      </c>
      <c r="G341" s="63" t="str">
        <f>VLOOKUP(F:F,'Product Category'!K:L,2,FALSE)</f>
        <v>6-Dry Food / Dry Groceries</v>
      </c>
      <c r="H341" s="41" t="s">
        <v>4423</v>
      </c>
      <c r="I341" s="41" t="s">
        <v>4424</v>
      </c>
      <c r="J341" s="41" t="s">
        <v>5204</v>
      </c>
      <c r="K341" s="41" t="s">
        <v>5205</v>
      </c>
      <c r="L341" s="41">
        <v>1000</v>
      </c>
      <c r="M341" s="41" t="s">
        <v>83</v>
      </c>
      <c r="N341" s="41" t="str">
        <f>VLOOKUP(M:M,Unit!B:C,2,0)</f>
        <v>g</v>
      </c>
      <c r="O341" s="41" t="s">
        <v>67</v>
      </c>
      <c r="P341" s="41">
        <v>1</v>
      </c>
      <c r="Q341" s="41" t="s">
        <v>179</v>
      </c>
      <c r="R341" s="41" t="str">
        <f>VLOOKUP(Q:Q,Unit!B:D,2,0)</f>
        <v>pack</v>
      </c>
      <c r="S341" s="41" t="s">
        <v>75</v>
      </c>
      <c r="T341" s="41" t="str">
        <f>VLOOKUP(S:S,Promo!B:D,2,0)</f>
        <v>Promo EN</v>
      </c>
      <c r="X341" s="41">
        <v>75</v>
      </c>
      <c r="AB341" s="41" t="s">
        <v>2054</v>
      </c>
      <c r="AF341" s="41" t="s">
        <v>3373</v>
      </c>
      <c r="AG341" s="41" t="s">
        <v>71</v>
      </c>
      <c r="AH341" s="41" t="s">
        <v>71</v>
      </c>
      <c r="AI341" s="41" t="s">
        <v>71</v>
      </c>
      <c r="AJ341" s="41" t="s">
        <v>71</v>
      </c>
      <c r="AK341" s="41" t="s">
        <v>71</v>
      </c>
      <c r="AL341" s="41" t="s">
        <v>71</v>
      </c>
      <c r="AP341" s="41" t="s">
        <v>4420</v>
      </c>
      <c r="BS341" s="41" t="s">
        <v>2058</v>
      </c>
      <c r="BT341" s="41" t="s">
        <v>72</v>
      </c>
      <c r="BW341" s="41" t="s">
        <v>72</v>
      </c>
      <c r="BX341" s="41">
        <f>VLOOKUP(B:B,Brand!B:D,3,0)</f>
        <v>692</v>
      </c>
      <c r="BY341" s="41">
        <f>VLOOKUP(M:M,Unit!B:D,3,0)</f>
        <v>1</v>
      </c>
      <c r="BZ341" s="41">
        <f>VLOOKUP(S:S,Promo!B:D,3,0)</f>
        <v>0</v>
      </c>
    </row>
    <row r="342" spans="1:78" s="41" customFormat="1" ht="15.75" customHeight="1">
      <c r="A342" s="41">
        <v>148930</v>
      </c>
      <c r="B342" s="41" t="s">
        <v>97</v>
      </c>
      <c r="C342" s="65" t="str">
        <f>VLOOKUP(B:B,Brand!B:C,2,0)</f>
        <v>aro</v>
      </c>
      <c r="D342" s="63">
        <f>VLOOKUP(E:E,'Product Category'!J:O,6,FALSE)</f>
        <v>199</v>
      </c>
      <c r="E342" s="41" t="s">
        <v>2121</v>
      </c>
      <c r="F342" s="63" t="str">
        <f>VLOOKUP(E:E,'Product Category'!J:K,2,FALSE)</f>
        <v>41-Pasta / Noodle</v>
      </c>
      <c r="G342" s="63" t="str">
        <f>VLOOKUP(F:F,'Product Category'!K:L,2,FALSE)</f>
        <v>6-Dry Food / Dry Groceries</v>
      </c>
      <c r="H342" s="41" t="s">
        <v>4425</v>
      </c>
      <c r="I342" s="41" t="s">
        <v>4426</v>
      </c>
      <c r="J342" s="41" t="s">
        <v>5206</v>
      </c>
      <c r="K342" s="41" t="s">
        <v>5207</v>
      </c>
      <c r="L342" s="41">
        <v>1000</v>
      </c>
      <c r="M342" s="41" t="s">
        <v>83</v>
      </c>
      <c r="N342" s="41" t="str">
        <f>VLOOKUP(M:M,Unit!B:C,2,0)</f>
        <v>g</v>
      </c>
      <c r="O342" s="41" t="s">
        <v>67</v>
      </c>
      <c r="P342" s="41">
        <v>1</v>
      </c>
      <c r="Q342" s="41" t="s">
        <v>179</v>
      </c>
      <c r="R342" s="41" t="str">
        <f>VLOOKUP(Q:Q,Unit!B:D,2,0)</f>
        <v>pack</v>
      </c>
      <c r="S342" s="41" t="s">
        <v>75</v>
      </c>
      <c r="T342" s="41" t="str">
        <f>VLOOKUP(S:S,Promo!B:D,2,0)</f>
        <v>Promo EN</v>
      </c>
      <c r="X342" s="41">
        <v>75</v>
      </c>
      <c r="AB342" s="41" t="s">
        <v>2054</v>
      </c>
      <c r="AF342" s="41" t="s">
        <v>3373</v>
      </c>
      <c r="AG342" s="41" t="s">
        <v>71</v>
      </c>
      <c r="AH342" s="41" t="s">
        <v>71</v>
      </c>
      <c r="AI342" s="41" t="s">
        <v>71</v>
      </c>
      <c r="AJ342" s="41" t="s">
        <v>71</v>
      </c>
      <c r="AK342" s="41" t="s">
        <v>71</v>
      </c>
      <c r="AL342" s="41" t="s">
        <v>71</v>
      </c>
      <c r="AP342" s="41" t="s">
        <v>4420</v>
      </c>
      <c r="BS342" s="41" t="s">
        <v>2058</v>
      </c>
      <c r="BT342" s="41" t="s">
        <v>72</v>
      </c>
      <c r="BW342" s="41" t="s">
        <v>72</v>
      </c>
      <c r="BX342" s="41">
        <f>VLOOKUP(B:B,Brand!B:D,3,0)</f>
        <v>692</v>
      </c>
      <c r="BY342" s="41">
        <f>VLOOKUP(M:M,Unit!B:D,3,0)</f>
        <v>1</v>
      </c>
      <c r="BZ342" s="41">
        <f>VLOOKUP(S:S,Promo!B:D,3,0)</f>
        <v>0</v>
      </c>
    </row>
    <row r="343" spans="1:78" s="41" customFormat="1" ht="15.75" customHeight="1">
      <c r="A343" s="41">
        <v>160365</v>
      </c>
      <c r="B343" s="41" t="s">
        <v>97</v>
      </c>
      <c r="C343" s="65" t="str">
        <f>VLOOKUP(B:B,Brand!B:C,2,0)</f>
        <v>aro</v>
      </c>
      <c r="D343" s="63">
        <f>VLOOKUP(E:E,'Product Category'!J:O,6,FALSE)</f>
        <v>199</v>
      </c>
      <c r="E343" s="41" t="s">
        <v>2121</v>
      </c>
      <c r="F343" s="63" t="str">
        <f>VLOOKUP(E:E,'Product Category'!J:K,2,FALSE)</f>
        <v>41-Pasta / Noodle</v>
      </c>
      <c r="G343" s="63" t="str">
        <f>VLOOKUP(F:F,'Product Category'!K:L,2,FALSE)</f>
        <v>6-Dry Food / Dry Groceries</v>
      </c>
      <c r="H343" s="41" t="s">
        <v>4427</v>
      </c>
      <c r="I343" s="41" t="s">
        <v>4428</v>
      </c>
      <c r="J343" s="41" t="s">
        <v>5208</v>
      </c>
      <c r="K343" s="41" t="s">
        <v>5209</v>
      </c>
      <c r="L343" s="41">
        <v>1000</v>
      </c>
      <c r="M343" s="41" t="s">
        <v>83</v>
      </c>
      <c r="N343" s="41" t="str">
        <f>VLOOKUP(M:M,Unit!B:C,2,0)</f>
        <v>g</v>
      </c>
      <c r="O343" s="41" t="s">
        <v>67</v>
      </c>
      <c r="P343" s="41">
        <v>1</v>
      </c>
      <c r="Q343" s="41" t="s">
        <v>179</v>
      </c>
      <c r="R343" s="41" t="str">
        <f>VLOOKUP(Q:Q,Unit!B:D,2,0)</f>
        <v>pack</v>
      </c>
      <c r="S343" s="41" t="s">
        <v>75</v>
      </c>
      <c r="T343" s="41" t="str">
        <f>VLOOKUP(S:S,Promo!B:D,2,0)</f>
        <v>Promo EN</v>
      </c>
      <c r="X343" s="41">
        <v>75</v>
      </c>
      <c r="AB343" s="41" t="s">
        <v>2054</v>
      </c>
      <c r="AF343" s="41" t="s">
        <v>3373</v>
      </c>
      <c r="AG343" s="41" t="s">
        <v>71</v>
      </c>
      <c r="AH343" s="41" t="s">
        <v>71</v>
      </c>
      <c r="AI343" s="41" t="s">
        <v>71</v>
      </c>
      <c r="AJ343" s="41" t="s">
        <v>71</v>
      </c>
      <c r="AK343" s="41" t="s">
        <v>71</v>
      </c>
      <c r="AL343" s="41" t="s">
        <v>71</v>
      </c>
      <c r="AP343" s="41" t="s">
        <v>4420</v>
      </c>
      <c r="BS343" s="41" t="s">
        <v>2058</v>
      </c>
      <c r="BT343" s="41" t="s">
        <v>72</v>
      </c>
      <c r="BW343" s="41" t="s">
        <v>72</v>
      </c>
      <c r="BX343" s="41">
        <f>VLOOKUP(B:B,Brand!B:D,3,0)</f>
        <v>692</v>
      </c>
      <c r="BY343" s="41">
        <f>VLOOKUP(M:M,Unit!B:D,3,0)</f>
        <v>1</v>
      </c>
      <c r="BZ343" s="41">
        <f>VLOOKUP(S:S,Promo!B:D,3,0)</f>
        <v>0</v>
      </c>
    </row>
    <row r="344" spans="1:78" s="41" customFormat="1" ht="15.75" customHeight="1">
      <c r="A344" s="41">
        <v>144591</v>
      </c>
      <c r="B344" s="41" t="s">
        <v>704</v>
      </c>
      <c r="C344" s="65" t="str">
        <f>VLOOKUP(B:B,Brand!B:C,2,0)</f>
        <v>Nestle</v>
      </c>
      <c r="D344" s="63">
        <f>VLOOKUP(E:E,'Product Category'!J:O,6,FALSE)</f>
        <v>201</v>
      </c>
      <c r="E344" s="41" t="s">
        <v>2209</v>
      </c>
      <c r="F344" s="63" t="str">
        <f>VLOOKUP(E:E,'Product Category'!J:K,2,FALSE)</f>
        <v>42-Cereal / Salad Cream</v>
      </c>
      <c r="G344" s="63" t="str">
        <f>VLOOKUP(F:F,'Product Category'!K:L,2,FALSE)</f>
        <v>6-Dry Food / Dry Groceries</v>
      </c>
      <c r="H344" s="41" t="s">
        <v>4021</v>
      </c>
      <c r="I344" s="41" t="s">
        <v>2373</v>
      </c>
      <c r="J344" s="41" t="s">
        <v>4897</v>
      </c>
      <c r="K344" s="41" t="s">
        <v>4898</v>
      </c>
      <c r="L344" s="41">
        <v>15</v>
      </c>
      <c r="M344" s="41" t="s">
        <v>83</v>
      </c>
      <c r="N344" s="41" t="str">
        <f>VLOOKUP(M:M,Unit!B:C,2,0)</f>
        <v>g</v>
      </c>
      <c r="O344" s="41" t="s">
        <v>67</v>
      </c>
      <c r="P344" s="41">
        <v>12</v>
      </c>
      <c r="Q344" s="41" t="s">
        <v>104</v>
      </c>
      <c r="R344" s="41" t="str">
        <f>VLOOKUP(Q:Q,Unit!B:D,2,0)</f>
        <v>box</v>
      </c>
      <c r="S344" s="41" t="s">
        <v>75</v>
      </c>
      <c r="T344" s="41" t="str">
        <f>VLOOKUP(S:S,Promo!B:D,2,0)</f>
        <v>Promo EN</v>
      </c>
      <c r="X344" s="41">
        <v>47</v>
      </c>
      <c r="AB344" s="41" t="s">
        <v>91</v>
      </c>
      <c r="AG344" s="41" t="s">
        <v>71</v>
      </c>
      <c r="AH344" s="41" t="s">
        <v>71</v>
      </c>
      <c r="AI344" s="41" t="s">
        <v>71</v>
      </c>
      <c r="AJ344" s="41" t="s">
        <v>71</v>
      </c>
      <c r="AK344" s="41" t="s">
        <v>71</v>
      </c>
      <c r="AL344" s="41" t="s">
        <v>71</v>
      </c>
      <c r="AP344" s="41" t="s">
        <v>4015</v>
      </c>
      <c r="AU344" s="41" t="s">
        <v>4022</v>
      </c>
      <c r="AV344" s="41" t="s">
        <v>4023</v>
      </c>
      <c r="BS344" s="41" t="s">
        <v>2058</v>
      </c>
      <c r="BT344" s="41" t="s">
        <v>72</v>
      </c>
      <c r="BW344" s="41" t="s">
        <v>72</v>
      </c>
      <c r="BX344" s="41">
        <f>VLOOKUP(B:B,Brand!B:D,3,0)</f>
        <v>329</v>
      </c>
      <c r="BY344" s="41">
        <f>VLOOKUP(M:M,Unit!B:D,3,0)</f>
        <v>1</v>
      </c>
      <c r="BZ344" s="41">
        <f>VLOOKUP(S:S,Promo!B:D,3,0)</f>
        <v>0</v>
      </c>
    </row>
    <row r="345" spans="1:78" s="41" customFormat="1" ht="15.75" customHeight="1">
      <c r="A345" s="41">
        <v>144758</v>
      </c>
      <c r="B345" s="41" t="s">
        <v>704</v>
      </c>
      <c r="C345" s="65" t="str">
        <f>VLOOKUP(B:B,Brand!B:C,2,0)</f>
        <v>Nestle</v>
      </c>
      <c r="D345" s="63">
        <f>VLOOKUP(E:E,'Product Category'!J:O,6,FALSE)</f>
        <v>201</v>
      </c>
      <c r="E345" s="41" t="s">
        <v>2209</v>
      </c>
      <c r="F345" s="63" t="str">
        <f>VLOOKUP(E:E,'Product Category'!J:K,2,FALSE)</f>
        <v>42-Cereal / Salad Cream</v>
      </c>
      <c r="G345" s="63" t="str">
        <f>VLOOKUP(F:F,'Product Category'!K:L,2,FALSE)</f>
        <v>6-Dry Food / Dry Groceries</v>
      </c>
      <c r="H345" s="41" t="s">
        <v>4026</v>
      </c>
      <c r="I345" s="41" t="s">
        <v>4027</v>
      </c>
      <c r="J345" s="41" t="s">
        <v>4901</v>
      </c>
      <c r="K345" s="41" t="s">
        <v>4902</v>
      </c>
      <c r="L345" s="41">
        <v>15</v>
      </c>
      <c r="M345" s="41" t="s">
        <v>83</v>
      </c>
      <c r="N345" s="41" t="str">
        <f>VLOOKUP(M:M,Unit!B:C,2,0)</f>
        <v>g</v>
      </c>
      <c r="O345" s="41" t="s">
        <v>67</v>
      </c>
      <c r="P345" s="41">
        <v>12</v>
      </c>
      <c r="Q345" s="41" t="s">
        <v>104</v>
      </c>
      <c r="R345" s="41" t="str">
        <f>VLOOKUP(Q:Q,Unit!B:D,2,0)</f>
        <v>box</v>
      </c>
      <c r="S345" s="41" t="s">
        <v>75</v>
      </c>
      <c r="T345" s="41" t="str">
        <f>VLOOKUP(S:S,Promo!B:D,2,0)</f>
        <v>Promo EN</v>
      </c>
      <c r="X345" s="41">
        <v>47</v>
      </c>
      <c r="AB345" s="41" t="s">
        <v>91</v>
      </c>
      <c r="AG345" s="41" t="s">
        <v>71</v>
      </c>
      <c r="AH345" s="41" t="s">
        <v>71</v>
      </c>
      <c r="AI345" s="41" t="s">
        <v>71</v>
      </c>
      <c r="AJ345" s="41" t="s">
        <v>71</v>
      </c>
      <c r="AK345" s="41" t="s">
        <v>71</v>
      </c>
      <c r="AL345" s="41" t="s">
        <v>71</v>
      </c>
      <c r="AP345" s="41" t="s">
        <v>4015</v>
      </c>
      <c r="BS345" s="41" t="s">
        <v>2058</v>
      </c>
      <c r="BT345" s="41" t="s">
        <v>72</v>
      </c>
      <c r="BW345" s="41" t="s">
        <v>72</v>
      </c>
      <c r="BX345" s="41">
        <f>VLOOKUP(B:B,Brand!B:D,3,0)</f>
        <v>329</v>
      </c>
      <c r="BY345" s="41">
        <f>VLOOKUP(M:M,Unit!B:D,3,0)</f>
        <v>1</v>
      </c>
      <c r="BZ345" s="41">
        <f>VLOOKUP(S:S,Promo!B:D,3,0)</f>
        <v>0</v>
      </c>
    </row>
    <row r="346" spans="1:78" s="41" customFormat="1" ht="15.75" customHeight="1">
      <c r="A346" s="41">
        <v>180864</v>
      </c>
      <c r="B346" s="41" t="s">
        <v>704</v>
      </c>
      <c r="C346" s="65" t="str">
        <f>VLOOKUP(B:B,Brand!B:C,2,0)</f>
        <v>Nestle</v>
      </c>
      <c r="D346" s="63">
        <f>VLOOKUP(E:E,'Product Category'!J:O,6,FALSE)</f>
        <v>201</v>
      </c>
      <c r="E346" s="41" t="s">
        <v>2209</v>
      </c>
      <c r="F346" s="63" t="str">
        <f>VLOOKUP(E:E,'Product Category'!J:K,2,FALSE)</f>
        <v>42-Cereal / Salad Cream</v>
      </c>
      <c r="G346" s="63" t="str">
        <f>VLOOKUP(F:F,'Product Category'!K:L,2,FALSE)</f>
        <v>6-Dry Food / Dry Groceries</v>
      </c>
      <c r="H346" s="41" t="s">
        <v>4109</v>
      </c>
      <c r="I346" s="41" t="s">
        <v>4110</v>
      </c>
      <c r="J346" s="41" t="s">
        <v>5001</v>
      </c>
      <c r="K346" s="41" t="s">
        <v>5002</v>
      </c>
      <c r="L346" s="41">
        <v>1500</v>
      </c>
      <c r="M346" s="41" t="s">
        <v>83</v>
      </c>
      <c r="N346" s="41" t="str">
        <f>VLOOKUP(M:M,Unit!B:C,2,0)</f>
        <v>g</v>
      </c>
      <c r="O346" s="41" t="s">
        <v>67</v>
      </c>
      <c r="P346" s="41">
        <v>1</v>
      </c>
      <c r="Q346" s="41" t="s">
        <v>2153</v>
      </c>
      <c r="R346" s="41" t="str">
        <f>VLOOKUP(Q:Q,Unit!B:D,2,0)</f>
        <v>unit</v>
      </c>
      <c r="S346" s="41" t="s">
        <v>75</v>
      </c>
      <c r="T346" s="41" t="str">
        <f>VLOOKUP(S:S,Promo!B:D,2,0)</f>
        <v>Promo EN</v>
      </c>
      <c r="W346" s="41">
        <v>279</v>
      </c>
      <c r="X346" s="41">
        <v>265</v>
      </c>
      <c r="AB346" s="41" t="s">
        <v>2062</v>
      </c>
      <c r="AG346" s="41" t="s">
        <v>71</v>
      </c>
      <c r="AH346" s="41" t="s">
        <v>71</v>
      </c>
      <c r="AI346" s="41" t="s">
        <v>71</v>
      </c>
      <c r="AJ346" s="41" t="s">
        <v>71</v>
      </c>
      <c r="AK346" s="41" t="s">
        <v>71</v>
      </c>
      <c r="AL346" s="41" t="s">
        <v>71</v>
      </c>
      <c r="BS346" s="41" t="s">
        <v>2058</v>
      </c>
      <c r="BT346" s="41" t="s">
        <v>72</v>
      </c>
      <c r="BW346" s="41" t="s">
        <v>72</v>
      </c>
      <c r="BX346" s="41">
        <f>VLOOKUP(B:B,Brand!B:D,3,0)</f>
        <v>329</v>
      </c>
      <c r="BY346" s="41">
        <f>VLOOKUP(M:M,Unit!B:D,3,0)</f>
        <v>1</v>
      </c>
      <c r="BZ346" s="41">
        <f>VLOOKUP(S:S,Promo!B:D,3,0)</f>
        <v>0</v>
      </c>
    </row>
    <row r="347" spans="1:78" s="41" customFormat="1" ht="15.75" customHeight="1">
      <c r="A347" s="41">
        <v>167622</v>
      </c>
      <c r="B347" s="41" t="s">
        <v>97</v>
      </c>
      <c r="C347" s="65" t="str">
        <f>VLOOKUP(B:B,Brand!B:C,2,0)</f>
        <v>aro</v>
      </c>
      <c r="D347" s="63">
        <f>VLOOKUP(E:E,'Product Category'!J:O,6,FALSE)</f>
        <v>201</v>
      </c>
      <c r="E347" s="41" t="s">
        <v>2209</v>
      </c>
      <c r="F347" s="63" t="str">
        <f>VLOOKUP(E:E,'Product Category'!J:K,2,FALSE)</f>
        <v>42-Cereal / Salad Cream</v>
      </c>
      <c r="G347" s="63" t="str">
        <f>VLOOKUP(F:F,'Product Category'!K:L,2,FALSE)</f>
        <v>6-Dry Food / Dry Groceries</v>
      </c>
      <c r="H347" s="41" t="s">
        <v>4417</v>
      </c>
      <c r="I347" s="41" t="s">
        <v>2326</v>
      </c>
      <c r="J347" s="41" t="s">
        <v>5190</v>
      </c>
      <c r="K347" s="41" t="s">
        <v>5191</v>
      </c>
      <c r="L347" s="41">
        <v>1000</v>
      </c>
      <c r="M347" s="41" t="s">
        <v>83</v>
      </c>
      <c r="N347" s="41" t="str">
        <f>VLOOKUP(M:M,Unit!B:C,2,0)</f>
        <v>g</v>
      </c>
      <c r="O347" s="41" t="s">
        <v>67</v>
      </c>
      <c r="P347" s="41">
        <v>1</v>
      </c>
      <c r="Q347" s="41" t="s">
        <v>179</v>
      </c>
      <c r="R347" s="41" t="str">
        <f>VLOOKUP(Q:Q,Unit!B:D,2,0)</f>
        <v>pack</v>
      </c>
      <c r="S347" s="41" t="s">
        <v>75</v>
      </c>
      <c r="T347" s="41" t="str">
        <f>VLOOKUP(S:S,Promo!B:D,2,0)</f>
        <v>Promo EN</v>
      </c>
      <c r="W347" s="41">
        <v>150</v>
      </c>
      <c r="X347" s="41">
        <v>145</v>
      </c>
      <c r="AB347" s="41" t="s">
        <v>2062</v>
      </c>
      <c r="AG347" s="41" t="s">
        <v>71</v>
      </c>
      <c r="AH347" s="41" t="s">
        <v>71</v>
      </c>
      <c r="AI347" s="41" t="s">
        <v>71</v>
      </c>
      <c r="AJ347" s="41" t="s">
        <v>71</v>
      </c>
      <c r="AK347" s="41" t="s">
        <v>71</v>
      </c>
      <c r="AL347" s="41" t="s">
        <v>71</v>
      </c>
      <c r="BS347" s="41" t="s">
        <v>2058</v>
      </c>
      <c r="BT347" s="41" t="s">
        <v>72</v>
      </c>
      <c r="BW347" s="41" t="s">
        <v>72</v>
      </c>
      <c r="BX347" s="41">
        <f>VLOOKUP(B:B,Brand!B:D,3,0)</f>
        <v>692</v>
      </c>
      <c r="BY347" s="41">
        <f>VLOOKUP(M:M,Unit!B:D,3,0)</f>
        <v>1</v>
      </c>
      <c r="BZ347" s="41">
        <f>VLOOKUP(S:S,Promo!B:D,3,0)</f>
        <v>0</v>
      </c>
    </row>
    <row r="348" spans="1:78" s="41" customFormat="1" ht="15.75" customHeight="1">
      <c r="A348" s="41">
        <v>105328</v>
      </c>
      <c r="B348" s="41" t="s">
        <v>1200</v>
      </c>
      <c r="C348" s="65" t="str">
        <f>VLOOKUP(B:B,Brand!B:C,2,0)</f>
        <v>Orchid</v>
      </c>
      <c r="D348" s="63">
        <f>VLOOKUP(E:E,'Product Category'!J:O,6,FALSE)</f>
        <v>202</v>
      </c>
      <c r="E348" s="41" t="s">
        <v>2191</v>
      </c>
      <c r="F348" s="63" t="str">
        <f>VLOOKUP(E:E,'Product Category'!J:K,2,FALSE)</f>
        <v>42-Cereal / Salad Cream</v>
      </c>
      <c r="G348" s="63" t="str">
        <f>VLOOKUP(F:F,'Product Category'!K:L,2,FALSE)</f>
        <v>6-Dry Food / Dry Groceries</v>
      </c>
      <c r="H348" s="41" t="s">
        <v>2248</v>
      </c>
      <c r="I348" s="41" t="s">
        <v>2249</v>
      </c>
      <c r="J348" s="65" t="str">
        <f>TRIM(CONCATENATE(B348," ",H348," ",L348," ",M348," ",O348,P348," ",Q348))</f>
        <v>ออร์คิด เนยคลาสสิค ชนิดจืด 5 กก. x1 แพ็ค</v>
      </c>
      <c r="K348" s="80" t="str">
        <f>TRIM(CONCATENATE(C348," ",I348," ",L348," ",N348," ",O348,P348," ",R348))</f>
        <v>Orchid Unsalted Classic Butter 5 kg x1 pack</v>
      </c>
      <c r="L348" s="41">
        <v>5</v>
      </c>
      <c r="M348" s="41" t="s">
        <v>79</v>
      </c>
      <c r="N348" s="41" t="str">
        <f>VLOOKUP(M:M,Unit!B:C,2,0)</f>
        <v>kg</v>
      </c>
      <c r="O348" s="41" t="s">
        <v>67</v>
      </c>
      <c r="P348" s="41">
        <v>1</v>
      </c>
      <c r="Q348" s="41" t="s">
        <v>179</v>
      </c>
      <c r="R348" s="41" t="str">
        <f>VLOOKUP(Q:Q,Unit!B:D,2,0)</f>
        <v>pack</v>
      </c>
      <c r="S348" s="41" t="s">
        <v>75</v>
      </c>
      <c r="T348" s="41" t="str">
        <f>VLOOKUP(S:S,Promo!B:D,2,0)</f>
        <v>Promo EN</v>
      </c>
      <c r="W348" s="41">
        <v>699</v>
      </c>
      <c r="X348" s="41">
        <v>650</v>
      </c>
      <c r="AB348" s="41" t="s">
        <v>2056</v>
      </c>
      <c r="AG348" s="41" t="s">
        <v>71</v>
      </c>
      <c r="AH348" s="41" t="s">
        <v>71</v>
      </c>
      <c r="AI348" s="41" t="s">
        <v>71</v>
      </c>
      <c r="AJ348" s="41" t="s">
        <v>71</v>
      </c>
      <c r="AK348" s="41" t="s">
        <v>71</v>
      </c>
      <c r="AL348" s="41" t="s">
        <v>71</v>
      </c>
      <c r="AU348" s="41" t="s">
        <v>2192</v>
      </c>
      <c r="AV348" s="41" t="s">
        <v>2156</v>
      </c>
      <c r="BS348" s="41" t="s">
        <v>2058</v>
      </c>
      <c r="BT348" s="41" t="s">
        <v>72</v>
      </c>
      <c r="BW348" s="41" t="s">
        <v>72</v>
      </c>
      <c r="BX348" s="41">
        <f>VLOOKUP(B:B,Brand!B:D,3,0)</f>
        <v>655</v>
      </c>
      <c r="BY348" s="41">
        <f>VLOOKUP(M:M,Unit!B:D,3,0)</f>
        <v>2</v>
      </c>
      <c r="BZ348" s="41">
        <f>VLOOKUP(S:S,Promo!B:D,3,0)</f>
        <v>0</v>
      </c>
    </row>
    <row r="349" spans="1:78" s="41" customFormat="1" ht="15.75" customHeight="1">
      <c r="A349" s="41">
        <v>105329</v>
      </c>
      <c r="B349" s="41" t="s">
        <v>1200</v>
      </c>
      <c r="C349" s="65" t="str">
        <f>VLOOKUP(B:B,Brand!B:C,2,0)</f>
        <v>Orchid</v>
      </c>
      <c r="D349" s="63">
        <f>VLOOKUP(E:E,'Product Category'!J:O,6,FALSE)</f>
        <v>202</v>
      </c>
      <c r="E349" s="41" t="s">
        <v>2191</v>
      </c>
      <c r="F349" s="63" t="str">
        <f>VLOOKUP(E:E,'Product Category'!J:K,2,FALSE)</f>
        <v>42-Cereal / Salad Cream</v>
      </c>
      <c r="G349" s="63" t="str">
        <f>VLOOKUP(F:F,'Product Category'!K:L,2,FALSE)</f>
        <v>6-Dry Food / Dry Groceries</v>
      </c>
      <c r="H349" s="41" t="s">
        <v>2250</v>
      </c>
      <c r="I349" s="41" t="s">
        <v>2251</v>
      </c>
      <c r="J349" s="65" t="str">
        <f>TRIM(CONCATENATE(B349," ",H349," ",L349," ",M349," ",O349,P349," ",Q349))</f>
        <v>ออร์คิด เนยคลาสสิค ชนิดเค็ม 5 กก. x1 แพ็ค</v>
      </c>
      <c r="K349" s="80" t="str">
        <f>TRIM(CONCATENATE(C349," ",I349," ",L349," ",N349," ",O349,P349," ",R349))</f>
        <v>Orchid Salted Classic Butter 5 kg x1 pack</v>
      </c>
      <c r="L349" s="41">
        <v>5</v>
      </c>
      <c r="M349" s="41" t="s">
        <v>79</v>
      </c>
      <c r="N349" s="41" t="str">
        <f>VLOOKUP(M:M,Unit!B:C,2,0)</f>
        <v>kg</v>
      </c>
      <c r="O349" s="41" t="s">
        <v>67</v>
      </c>
      <c r="P349" s="41">
        <v>1</v>
      </c>
      <c r="Q349" s="41" t="s">
        <v>179</v>
      </c>
      <c r="R349" s="41" t="str">
        <f>VLOOKUP(Q:Q,Unit!B:D,2,0)</f>
        <v>pack</v>
      </c>
      <c r="S349" s="41" t="s">
        <v>75</v>
      </c>
      <c r="T349" s="41" t="str">
        <f>VLOOKUP(S:S,Promo!B:D,2,0)</f>
        <v>Promo EN</v>
      </c>
      <c r="W349" s="41">
        <v>699</v>
      </c>
      <c r="X349" s="41">
        <v>650</v>
      </c>
      <c r="AB349" s="41" t="s">
        <v>2056</v>
      </c>
      <c r="AG349" s="41" t="s">
        <v>71</v>
      </c>
      <c r="AH349" s="41" t="s">
        <v>71</v>
      </c>
      <c r="AI349" s="41" t="s">
        <v>71</v>
      </c>
      <c r="AJ349" s="41" t="s">
        <v>71</v>
      </c>
      <c r="AK349" s="41" t="s">
        <v>71</v>
      </c>
      <c r="AL349" s="41" t="s">
        <v>71</v>
      </c>
      <c r="AU349" s="41" t="s">
        <v>2193</v>
      </c>
      <c r="AV349" s="41" t="s">
        <v>2194</v>
      </c>
      <c r="BS349" s="41" t="s">
        <v>2058</v>
      </c>
      <c r="BT349" s="41" t="s">
        <v>72</v>
      </c>
      <c r="BW349" s="41" t="s">
        <v>72</v>
      </c>
      <c r="BX349" s="41">
        <f>VLOOKUP(B:B,Brand!B:D,3,0)</f>
        <v>655</v>
      </c>
      <c r="BY349" s="41">
        <f>VLOOKUP(M:M,Unit!B:D,3,0)</f>
        <v>2</v>
      </c>
      <c r="BZ349" s="41">
        <f>VLOOKUP(S:S,Promo!B:D,3,0)</f>
        <v>0</v>
      </c>
    </row>
    <row r="350" spans="1:78" s="41" customFormat="1" ht="15.75" customHeight="1">
      <c r="A350" s="41">
        <v>165217</v>
      </c>
      <c r="B350" s="41" t="s">
        <v>97</v>
      </c>
      <c r="C350" s="65" t="str">
        <f>VLOOKUP(B:B,Brand!B:C,2,0)</f>
        <v>aro</v>
      </c>
      <c r="D350" s="63">
        <f>VLOOKUP(E:E,'Product Category'!J:O,6,FALSE)</f>
        <v>202</v>
      </c>
      <c r="E350" s="41" t="s">
        <v>2191</v>
      </c>
      <c r="F350" s="63" t="str">
        <f>VLOOKUP(E:E,'Product Category'!J:K,2,FALSE)</f>
        <v>42-Cereal / Salad Cream</v>
      </c>
      <c r="G350" s="63" t="str">
        <f>VLOOKUP(F:F,'Product Category'!K:L,2,FALSE)</f>
        <v>6-Dry Food / Dry Groceries</v>
      </c>
      <c r="H350" s="41" t="s">
        <v>2321</v>
      </c>
      <c r="I350" s="41" t="s">
        <v>2322</v>
      </c>
      <c r="J350" s="41" t="s">
        <v>5049</v>
      </c>
      <c r="K350" s="41" t="s">
        <v>5050</v>
      </c>
      <c r="L350" s="41">
        <v>1.2</v>
      </c>
      <c r="M350" s="41" t="s">
        <v>79</v>
      </c>
      <c r="N350" s="41" t="str">
        <f>VLOOKUP(M:M,Unit!B:C,2,0)</f>
        <v>kg</v>
      </c>
      <c r="O350" s="41" t="s">
        <v>67</v>
      </c>
      <c r="P350" s="41">
        <v>1</v>
      </c>
      <c r="Q350" s="41" t="s">
        <v>2153</v>
      </c>
      <c r="R350" s="41" t="str">
        <f>VLOOKUP(Q:Q,Unit!B:D,2,0)</f>
        <v>unit</v>
      </c>
      <c r="S350" s="41" t="s">
        <v>75</v>
      </c>
      <c r="T350" s="41" t="str">
        <f>VLOOKUP(S:S,Promo!B:D,2,0)</f>
        <v>Promo EN</v>
      </c>
      <c r="W350" s="41">
        <v>74</v>
      </c>
      <c r="X350" s="41">
        <v>70</v>
      </c>
      <c r="AB350" s="41" t="s">
        <v>2054</v>
      </c>
      <c r="AG350" s="41" t="s">
        <v>71</v>
      </c>
      <c r="AH350" s="41" t="s">
        <v>71</v>
      </c>
      <c r="AI350" s="41" t="s">
        <v>71</v>
      </c>
      <c r="AJ350" s="41" t="s">
        <v>71</v>
      </c>
      <c r="AK350" s="41" t="s">
        <v>71</v>
      </c>
      <c r="AL350" s="41" t="s">
        <v>71</v>
      </c>
      <c r="BS350" s="41" t="s">
        <v>2058</v>
      </c>
      <c r="BT350" s="41" t="s">
        <v>72</v>
      </c>
      <c r="BW350" s="41" t="s">
        <v>72</v>
      </c>
      <c r="BX350" s="41">
        <f>VLOOKUP(B:B,Brand!B:D,3,0)</f>
        <v>692</v>
      </c>
      <c r="BY350" s="41">
        <f>VLOOKUP(M:M,Unit!B:D,3,0)</f>
        <v>2</v>
      </c>
      <c r="BZ350" s="41">
        <f>VLOOKUP(S:S,Promo!B:D,3,0)</f>
        <v>0</v>
      </c>
    </row>
    <row r="351" spans="1:78" s="41" customFormat="1" ht="15.75" customHeight="1">
      <c r="A351" s="41">
        <v>227026</v>
      </c>
      <c r="B351" s="41" t="s">
        <v>97</v>
      </c>
      <c r="C351" s="65" t="str">
        <f>VLOOKUP(B:B,Brand!B:C,2,0)</f>
        <v>aro</v>
      </c>
      <c r="D351" s="63">
        <f>VLOOKUP(E:E,'Product Category'!J:O,6,FALSE)</f>
        <v>205</v>
      </c>
      <c r="E351" s="41" t="s">
        <v>2120</v>
      </c>
      <c r="F351" s="63" t="str">
        <f>VLOOKUP(E:E,'Product Category'!J:K,2,FALSE)</f>
        <v>42-Cereal / Salad Cream</v>
      </c>
      <c r="G351" s="63" t="str">
        <f>VLOOKUP(F:F,'Product Category'!K:L,2,FALSE)</f>
        <v>6-Dry Food / Dry Groceries</v>
      </c>
      <c r="H351" s="41" t="s">
        <v>4076</v>
      </c>
      <c r="I351" s="41" t="s">
        <v>4077</v>
      </c>
      <c r="J351" s="41" t="s">
        <v>4964</v>
      </c>
      <c r="K351" s="41" t="s">
        <v>4965</v>
      </c>
      <c r="L351" s="41">
        <v>50</v>
      </c>
      <c r="M351" s="41" t="s">
        <v>135</v>
      </c>
      <c r="N351" s="41" t="str">
        <f>VLOOKUP(M:M,Unit!B:C,2,0)</f>
        <v>g</v>
      </c>
      <c r="O351" s="41" t="s">
        <v>67</v>
      </c>
      <c r="P351" s="41">
        <v>1</v>
      </c>
      <c r="Q351" s="41" t="s">
        <v>179</v>
      </c>
      <c r="R351" s="41" t="str">
        <f>VLOOKUP(Q:Q,Unit!B:D,2,0)</f>
        <v>pack</v>
      </c>
      <c r="S351" s="41" t="s">
        <v>75</v>
      </c>
      <c r="T351" s="41" t="str">
        <f>VLOOKUP(S:S,Promo!B:D,2,0)</f>
        <v>Promo EN</v>
      </c>
      <c r="W351" s="41">
        <v>95</v>
      </c>
      <c r="X351" s="41">
        <v>89</v>
      </c>
      <c r="AB351" s="41" t="s">
        <v>2054</v>
      </c>
      <c r="AG351" s="41" t="s">
        <v>71</v>
      </c>
      <c r="AH351" s="41" t="s">
        <v>71</v>
      </c>
      <c r="AI351" s="41" t="s">
        <v>71</v>
      </c>
      <c r="AJ351" s="41" t="s">
        <v>71</v>
      </c>
      <c r="AK351" s="41" t="s">
        <v>71</v>
      </c>
      <c r="AL351" s="41" t="s">
        <v>71</v>
      </c>
      <c r="BS351" s="41" t="s">
        <v>72</v>
      </c>
      <c r="BT351" s="41" t="s">
        <v>72</v>
      </c>
      <c r="BW351" s="41" t="s">
        <v>72</v>
      </c>
      <c r="BX351" s="41">
        <f>VLOOKUP(B:B,Brand!B:D,3,0)</f>
        <v>692</v>
      </c>
      <c r="BY351" s="41">
        <f>VLOOKUP(M:M,Unit!B:D,3,0)</f>
        <v>16</v>
      </c>
      <c r="BZ351" s="41">
        <f>VLOOKUP(S:S,Promo!B:D,3,0)</f>
        <v>0</v>
      </c>
    </row>
    <row r="352" spans="1:78" s="41" customFormat="1" ht="15.75" customHeight="1">
      <c r="A352" s="41">
        <v>202025</v>
      </c>
      <c r="B352" s="41" t="s">
        <v>2825</v>
      </c>
      <c r="C352" s="65" t="str">
        <f>VLOOKUP(B:B,Brand!B:C,2,0)</f>
        <v>WASABIO</v>
      </c>
      <c r="D352" s="63">
        <f>VLOOKUP(E:E,'Product Category'!J:O,6,FALSE)</f>
        <v>205</v>
      </c>
      <c r="E352" s="41" t="s">
        <v>2120</v>
      </c>
      <c r="F352" s="63" t="str">
        <f>VLOOKUP(E:E,'Product Category'!J:K,2,FALSE)</f>
        <v>42-Cereal / Salad Cream</v>
      </c>
      <c r="G352" s="63" t="str">
        <f>VLOOKUP(F:F,'Product Category'!K:L,2,FALSE)</f>
        <v>6-Dry Food / Dry Groceries</v>
      </c>
      <c r="H352" s="41" t="s">
        <v>4085</v>
      </c>
      <c r="I352" s="41" t="s">
        <v>2306</v>
      </c>
      <c r="J352" s="65" t="str">
        <f>TRIM(CONCATENATE(B352," ",H352," ",L352," ",M352," ",O352,P352," ",Q352))</f>
        <v>วาซาบิโอ วาซาบิสดบด แช่แข็ง 500 กรัม x10 ถุง</v>
      </c>
      <c r="K352" s="80" t="str">
        <f>TRIM(CONCATENATE(C352," ",I352," ",L352," ",N352," ",O352,P352," ",R352))</f>
        <v>WASABIO WASABI 500 g x10 unit</v>
      </c>
      <c r="L352" s="41">
        <v>500</v>
      </c>
      <c r="M352" s="41" t="s">
        <v>83</v>
      </c>
      <c r="N352" s="41" t="str">
        <f>VLOOKUP(M:M,Unit!B:C,2,0)</f>
        <v>g</v>
      </c>
      <c r="O352" s="41" t="s">
        <v>67</v>
      </c>
      <c r="P352" s="41">
        <v>10</v>
      </c>
      <c r="Q352" s="41" t="s">
        <v>2153</v>
      </c>
      <c r="R352" s="41" t="str">
        <f>VLOOKUP(Q:Q,Unit!B:D,2,0)</f>
        <v>unit</v>
      </c>
      <c r="S352" s="41" t="s">
        <v>75</v>
      </c>
      <c r="T352" s="41" t="str">
        <f>VLOOKUP(S:S,Promo!B:D,2,0)</f>
        <v>Promo EN</v>
      </c>
      <c r="X352" s="41">
        <v>3900</v>
      </c>
      <c r="AB352" s="41" t="s">
        <v>2062</v>
      </c>
      <c r="AG352" s="41" t="s">
        <v>71</v>
      </c>
      <c r="AH352" s="41" t="s">
        <v>71</v>
      </c>
      <c r="AI352" s="41" t="s">
        <v>71</v>
      </c>
      <c r="AJ352" s="41" t="s">
        <v>71</v>
      </c>
      <c r="AK352" s="41" t="s">
        <v>71</v>
      </c>
      <c r="AL352" s="41" t="s">
        <v>71</v>
      </c>
      <c r="BS352" s="41" t="s">
        <v>72</v>
      </c>
      <c r="BT352" s="41" t="s">
        <v>72</v>
      </c>
      <c r="BW352" s="41" t="s">
        <v>72</v>
      </c>
      <c r="BX352" s="41">
        <f>VLOOKUP(B:B,Brand!B:D,3,0)</f>
        <v>1184</v>
      </c>
      <c r="BY352" s="41">
        <f>VLOOKUP(M:M,Unit!B:D,3,0)</f>
        <v>1</v>
      </c>
      <c r="BZ352" s="41">
        <f>VLOOKUP(S:S,Promo!B:D,3,0)</f>
        <v>0</v>
      </c>
    </row>
    <row r="353" spans="1:78" s="41" customFormat="1" ht="15.75" customHeight="1">
      <c r="A353" s="41">
        <v>316602</v>
      </c>
      <c r="B353" s="41" t="s">
        <v>2825</v>
      </c>
      <c r="C353" s="65" t="str">
        <f>VLOOKUP(B:B,Brand!B:C,2,0)</f>
        <v>WASABIO</v>
      </c>
      <c r="D353" s="63">
        <f>VLOOKUP(E:E,'Product Category'!J:O,6,FALSE)</f>
        <v>205</v>
      </c>
      <c r="E353" s="41" t="s">
        <v>2120</v>
      </c>
      <c r="F353" s="63" t="str">
        <f>VLOOKUP(E:E,'Product Category'!J:K,2,FALSE)</f>
        <v>42-Cereal / Salad Cream</v>
      </c>
      <c r="G353" s="63" t="str">
        <f>VLOOKUP(F:F,'Product Category'!K:L,2,FALSE)</f>
        <v>6-Dry Food / Dry Groceries</v>
      </c>
      <c r="H353" s="41" t="s">
        <v>4085</v>
      </c>
      <c r="I353" s="41" t="s">
        <v>4086</v>
      </c>
      <c r="J353" s="65" t="str">
        <f>TRIM(CONCATENATE(B353," ",H353," ",L353," ",M353," ",O353,P353," ",Q353))</f>
        <v>วาซาบิโอ วาซาบิสดบด แช่แข็ง 500 กรัม x1 ถุง</v>
      </c>
      <c r="K353" s="80" t="str">
        <f>TRIM(CONCATENATE(C353," ",I353," ",L353," ",N353," ",O353,P353," ",R353))</f>
        <v>WASABIO WASABI 500 g x1 unit</v>
      </c>
      <c r="L353" s="41">
        <v>500</v>
      </c>
      <c r="M353" s="41" t="s">
        <v>83</v>
      </c>
      <c r="N353" s="41" t="str">
        <f>VLOOKUP(M:M,Unit!B:C,2,0)</f>
        <v>g</v>
      </c>
      <c r="O353" s="41" t="s">
        <v>67</v>
      </c>
      <c r="P353" s="41">
        <v>1</v>
      </c>
      <c r="Q353" s="41" t="s">
        <v>2153</v>
      </c>
      <c r="R353" s="41" t="str">
        <f>VLOOKUP(Q:Q,Unit!B:D,2,0)</f>
        <v>unit</v>
      </c>
      <c r="S353" s="41" t="s">
        <v>75</v>
      </c>
      <c r="T353" s="41" t="str">
        <f>VLOOKUP(S:S,Promo!B:D,2,0)</f>
        <v>Promo EN</v>
      </c>
      <c r="W353" s="41">
        <v>480</v>
      </c>
      <c r="X353" s="41">
        <v>400</v>
      </c>
      <c r="AB353" s="41" t="s">
        <v>2062</v>
      </c>
      <c r="AG353" s="41" t="s">
        <v>71</v>
      </c>
      <c r="AH353" s="41" t="s">
        <v>71</v>
      </c>
      <c r="AI353" s="41" t="s">
        <v>71</v>
      </c>
      <c r="AJ353" s="41" t="s">
        <v>71</v>
      </c>
      <c r="AK353" s="41" t="s">
        <v>71</v>
      </c>
      <c r="AL353" s="41" t="s">
        <v>71</v>
      </c>
      <c r="BS353" s="41" t="s">
        <v>72</v>
      </c>
      <c r="BT353" s="41" t="s">
        <v>72</v>
      </c>
      <c r="BW353" s="41" t="s">
        <v>72</v>
      </c>
      <c r="BX353" s="41">
        <f>VLOOKUP(B:B,Brand!B:D,3,0)</f>
        <v>1184</v>
      </c>
      <c r="BY353" s="41">
        <f>VLOOKUP(M:M,Unit!B:D,3,0)</f>
        <v>1</v>
      </c>
      <c r="BZ353" s="41">
        <f>VLOOKUP(S:S,Promo!B:D,3,0)</f>
        <v>0</v>
      </c>
    </row>
    <row r="354" spans="1:78" s="41" customFormat="1" ht="15.75" customHeight="1">
      <c r="A354" s="41">
        <v>227025</v>
      </c>
      <c r="B354" s="41" t="s">
        <v>97</v>
      </c>
      <c r="C354" s="65" t="str">
        <f>VLOOKUP(B:B,Brand!B:C,2,0)</f>
        <v>aro</v>
      </c>
      <c r="D354" s="63">
        <f>VLOOKUP(E:E,'Product Category'!J:O,6,FALSE)</f>
        <v>205</v>
      </c>
      <c r="E354" s="41" t="s">
        <v>2120</v>
      </c>
      <c r="F354" s="63" t="str">
        <f>VLOOKUP(E:E,'Product Category'!J:K,2,FALSE)</f>
        <v>42-Cereal / Salad Cream</v>
      </c>
      <c r="G354" s="63" t="str">
        <f>VLOOKUP(F:F,'Product Category'!K:L,2,FALSE)</f>
        <v>6-Dry Food / Dry Groceries</v>
      </c>
      <c r="H354" s="41" t="s">
        <v>4087</v>
      </c>
      <c r="I354" s="41" t="s">
        <v>4088</v>
      </c>
      <c r="J354" s="41" t="s">
        <v>4970</v>
      </c>
      <c r="K354" s="41" t="s">
        <v>4965</v>
      </c>
      <c r="L354" s="41">
        <v>50</v>
      </c>
      <c r="M354" s="41" t="s">
        <v>135</v>
      </c>
      <c r="N354" s="41" t="str">
        <f>VLOOKUP(M:M,Unit!B:C,2,0)</f>
        <v>g</v>
      </c>
      <c r="O354" s="41" t="s">
        <v>67</v>
      </c>
      <c r="P354" s="41">
        <v>1</v>
      </c>
      <c r="Q354" s="41" t="s">
        <v>179</v>
      </c>
      <c r="R354" s="41" t="str">
        <f>VLOOKUP(Q:Q,Unit!B:D,2,0)</f>
        <v>pack</v>
      </c>
      <c r="S354" s="41" t="s">
        <v>75</v>
      </c>
      <c r="T354" s="41" t="str">
        <f>VLOOKUP(S:S,Promo!B:D,2,0)</f>
        <v>Promo EN</v>
      </c>
      <c r="W354" s="41">
        <v>95</v>
      </c>
      <c r="X354" s="41">
        <v>89</v>
      </c>
      <c r="AB354" s="41" t="s">
        <v>2062</v>
      </c>
      <c r="AG354" s="41" t="s">
        <v>71</v>
      </c>
      <c r="AH354" s="41" t="s">
        <v>71</v>
      </c>
      <c r="AI354" s="41" t="s">
        <v>71</v>
      </c>
      <c r="AJ354" s="41" t="s">
        <v>71</v>
      </c>
      <c r="AK354" s="41" t="s">
        <v>71</v>
      </c>
      <c r="AL354" s="41" t="s">
        <v>71</v>
      </c>
      <c r="BS354" s="41" t="s">
        <v>72</v>
      </c>
      <c r="BT354" s="41" t="s">
        <v>72</v>
      </c>
      <c r="BW354" s="41" t="s">
        <v>72</v>
      </c>
      <c r="BX354" s="41">
        <f>VLOOKUP(B:B,Brand!B:D,3,0)</f>
        <v>692</v>
      </c>
      <c r="BY354" s="41">
        <f>VLOOKUP(M:M,Unit!B:D,3,0)</f>
        <v>16</v>
      </c>
      <c r="BZ354" s="41">
        <f>VLOOKUP(S:S,Promo!B:D,3,0)</f>
        <v>0</v>
      </c>
    </row>
    <row r="355" spans="1:78" s="41" customFormat="1" ht="15.75" customHeight="1">
      <c r="A355" s="41">
        <v>170291</v>
      </c>
      <c r="B355" s="41" t="s">
        <v>113</v>
      </c>
      <c r="C355" s="65" t="str">
        <f>VLOOKUP(B:B,Brand!B:C,2,0)</f>
        <v>House</v>
      </c>
      <c r="D355" s="63">
        <f>VLOOKUP(E:E,'Product Category'!J:O,6,FALSE)</f>
        <v>205</v>
      </c>
      <c r="E355" s="41" t="s">
        <v>2120</v>
      </c>
      <c r="F355" s="63" t="str">
        <f>VLOOKUP(E:E,'Product Category'!J:K,2,FALSE)</f>
        <v>42-Cereal / Salad Cream</v>
      </c>
      <c r="G355" s="63" t="str">
        <f>VLOOKUP(F:F,'Product Category'!K:L,2,FALSE)</f>
        <v>6-Dry Food / Dry Groceries</v>
      </c>
      <c r="H355" s="41" t="s">
        <v>2457</v>
      </c>
      <c r="I355" s="41" t="s">
        <v>2306</v>
      </c>
      <c r="J355" s="41" t="s">
        <v>4997</v>
      </c>
      <c r="K355" s="41" t="s">
        <v>4998</v>
      </c>
      <c r="L355" s="41">
        <v>1000</v>
      </c>
      <c r="M355" s="41" t="s">
        <v>83</v>
      </c>
      <c r="N355" s="41" t="str">
        <f>VLOOKUP(M:M,Unit!B:C,2,0)</f>
        <v>g</v>
      </c>
      <c r="O355" s="41" t="s">
        <v>67</v>
      </c>
      <c r="P355" s="41">
        <v>1</v>
      </c>
      <c r="Q355" s="41" t="s">
        <v>2153</v>
      </c>
      <c r="R355" s="41" t="str">
        <f>VLOOKUP(Q:Q,Unit!B:D,2,0)</f>
        <v>unit</v>
      </c>
      <c r="S355" s="41" t="s">
        <v>75</v>
      </c>
      <c r="T355" s="41" t="str">
        <f>VLOOKUP(S:S,Promo!B:D,2,0)</f>
        <v>Promo EN</v>
      </c>
      <c r="W355" s="41">
        <v>336</v>
      </c>
      <c r="X355" s="41">
        <v>325</v>
      </c>
      <c r="AB355" s="41" t="s">
        <v>2054</v>
      </c>
      <c r="AG355" s="41" t="s">
        <v>71</v>
      </c>
      <c r="AH355" s="41" t="s">
        <v>71</v>
      </c>
      <c r="AI355" s="41" t="s">
        <v>71</v>
      </c>
      <c r="AJ355" s="41" t="s">
        <v>71</v>
      </c>
      <c r="AK355" s="41" t="s">
        <v>71</v>
      </c>
      <c r="AL355" s="41" t="s">
        <v>71</v>
      </c>
      <c r="BS355" s="41" t="s">
        <v>2058</v>
      </c>
      <c r="BT355" s="41" t="s">
        <v>72</v>
      </c>
      <c r="BW355" s="41" t="s">
        <v>72</v>
      </c>
      <c r="BX355" s="41">
        <f>VLOOKUP(B:B,Brand!B:D,3,0)</f>
        <v>14</v>
      </c>
      <c r="BY355" s="41">
        <f>VLOOKUP(M:M,Unit!B:D,3,0)</f>
        <v>1</v>
      </c>
      <c r="BZ355" s="41">
        <f>VLOOKUP(S:S,Promo!B:D,3,0)</f>
        <v>0</v>
      </c>
    </row>
    <row r="356" spans="1:78" s="41" customFormat="1" ht="15.75" customHeight="1">
      <c r="A356" s="41">
        <v>102206</v>
      </c>
      <c r="B356" s="41" t="s">
        <v>275</v>
      </c>
      <c r="C356" s="65" t="str">
        <f>VLOOKUP(B:B,Brand!B:C,2,0)</f>
        <v>KRUAWANGTHIP</v>
      </c>
      <c r="D356" s="63">
        <f>VLOOKUP(E:E,'Product Category'!J:O,6,FALSE)</f>
        <v>207</v>
      </c>
      <c r="E356" s="41" t="s">
        <v>2141</v>
      </c>
      <c r="F356" s="63" t="str">
        <f>VLOOKUP(E:E,'Product Category'!J:K,2,FALSE)</f>
        <v>43-Home Baking &amp; Sugar</v>
      </c>
      <c r="G356" s="63" t="str">
        <f>VLOOKUP(F:F,'Product Category'!K:L,2,FALSE)</f>
        <v>6-Dry Food / Dry Groceries</v>
      </c>
      <c r="H356" s="41" t="s">
        <v>4212</v>
      </c>
      <c r="I356" s="41" t="s">
        <v>2296</v>
      </c>
      <c r="J356" s="41" t="s">
        <v>5045</v>
      </c>
      <c r="K356" s="41" t="s">
        <v>5046</v>
      </c>
      <c r="L356" s="41">
        <v>1000</v>
      </c>
      <c r="M356" s="41" t="s">
        <v>83</v>
      </c>
      <c r="N356" s="41" t="str">
        <f>VLOOKUP(M:M,Unit!B:C,2,0)</f>
        <v>g</v>
      </c>
      <c r="O356" s="41" t="s">
        <v>67</v>
      </c>
      <c r="P356" s="41">
        <v>1</v>
      </c>
      <c r="Q356" s="41" t="s">
        <v>68</v>
      </c>
      <c r="R356" s="41" t="str">
        <f>VLOOKUP(Q:Q,Unit!B:D,2,0)</f>
        <v>pc</v>
      </c>
      <c r="S356" s="41" t="s">
        <v>75</v>
      </c>
      <c r="T356" s="41" t="str">
        <f>VLOOKUP(S:S,Promo!B:D,2,0)</f>
        <v>Promo EN</v>
      </c>
      <c r="W356" s="41">
        <v>44</v>
      </c>
      <c r="X356" s="41">
        <v>43</v>
      </c>
      <c r="AB356" s="41" t="s">
        <v>2054</v>
      </c>
      <c r="AG356" s="41" t="s">
        <v>71</v>
      </c>
      <c r="AH356" s="41" t="s">
        <v>71</v>
      </c>
      <c r="AI356" s="41" t="s">
        <v>71</v>
      </c>
      <c r="AJ356" s="41" t="s">
        <v>71</v>
      </c>
      <c r="AK356" s="41" t="s">
        <v>71</v>
      </c>
      <c r="AL356" s="41" t="s">
        <v>71</v>
      </c>
      <c r="BS356" s="41" t="s">
        <v>2058</v>
      </c>
      <c r="BT356" s="41" t="s">
        <v>72</v>
      </c>
      <c r="BW356" s="41" t="s">
        <v>72</v>
      </c>
      <c r="BX356" s="41">
        <f>VLOOKUP(B:B,Brand!B:D,3,0)</f>
        <v>46</v>
      </c>
      <c r="BY356" s="41">
        <f>VLOOKUP(M:M,Unit!B:D,3,0)</f>
        <v>1</v>
      </c>
      <c r="BZ356" s="41">
        <f>VLOOKUP(S:S,Promo!B:D,3,0)</f>
        <v>0</v>
      </c>
    </row>
    <row r="357" spans="1:78" s="41" customFormat="1" ht="15.75" customHeight="1">
      <c r="A357" s="41">
        <v>165867</v>
      </c>
      <c r="B357" s="41" t="s">
        <v>944</v>
      </c>
      <c r="C357" s="65" t="str">
        <f>VLOOKUP(B:B,Brand!B:C,2,0)</f>
        <v>Mali</v>
      </c>
      <c r="D357" s="63">
        <f>VLOOKUP(E:E,'Product Category'!J:O,6,FALSE)</f>
        <v>210</v>
      </c>
      <c r="E357" s="41" t="s">
        <v>2106</v>
      </c>
      <c r="F357" s="63" t="str">
        <f>VLOOKUP(E:E,'Product Category'!J:K,2,FALSE)</f>
        <v>43-Home Baking &amp; Sugar</v>
      </c>
      <c r="G357" s="63" t="str">
        <f>VLOOKUP(F:F,'Product Category'!K:L,2,FALSE)</f>
        <v>6-Dry Food / Dry Groceries</v>
      </c>
      <c r="H357" s="41" t="s">
        <v>3622</v>
      </c>
      <c r="I357" s="41" t="s">
        <v>3623</v>
      </c>
      <c r="J357" s="41" t="s">
        <v>4631</v>
      </c>
      <c r="K357" s="41" t="s">
        <v>4632</v>
      </c>
      <c r="L357" s="41">
        <v>385</v>
      </c>
      <c r="M357" s="41" t="s">
        <v>83</v>
      </c>
      <c r="N357" s="41" t="str">
        <f>VLOOKUP(M:M,Unit!B:C,2,0)</f>
        <v>g</v>
      </c>
      <c r="O357" s="41" t="s">
        <v>67</v>
      </c>
      <c r="P357" s="41">
        <v>48</v>
      </c>
      <c r="Q357" s="41" t="s">
        <v>68</v>
      </c>
      <c r="R357" s="41" t="str">
        <f>VLOOKUP(Q:Q,Unit!B:D,2,0)</f>
        <v>pc</v>
      </c>
      <c r="S357" s="41" t="s">
        <v>75</v>
      </c>
      <c r="T357" s="41" t="str">
        <f>VLOOKUP(S:S,Promo!B:D,2,0)</f>
        <v>Promo EN</v>
      </c>
      <c r="W357" s="41">
        <v>1050</v>
      </c>
      <c r="X357" s="41">
        <v>1000</v>
      </c>
      <c r="AB357" s="41" t="s">
        <v>2056</v>
      </c>
      <c r="AG357" s="41" t="s">
        <v>71</v>
      </c>
      <c r="AH357" s="41" t="s">
        <v>71</v>
      </c>
      <c r="AI357" s="41" t="s">
        <v>71</v>
      </c>
      <c r="AJ357" s="41" t="s">
        <v>71</v>
      </c>
      <c r="AK357" s="41" t="s">
        <v>71</v>
      </c>
      <c r="AL357" s="41" t="s">
        <v>71</v>
      </c>
      <c r="BS357" s="41" t="s">
        <v>2058</v>
      </c>
      <c r="BT357" s="41" t="s">
        <v>72</v>
      </c>
      <c r="BW357" s="41" t="s">
        <v>72</v>
      </c>
      <c r="BX357" s="41">
        <f>VLOOKUP(B:B,Brand!B:D,3,0)</f>
        <v>489</v>
      </c>
      <c r="BY357" s="41">
        <f>VLOOKUP(M:M,Unit!B:D,3,0)</f>
        <v>1</v>
      </c>
      <c r="BZ357" s="41">
        <f>VLOOKUP(S:S,Promo!B:D,3,0)</f>
        <v>0</v>
      </c>
    </row>
    <row r="358" spans="1:78" s="41" customFormat="1" ht="15.75" customHeight="1">
      <c r="A358" s="41">
        <v>235994</v>
      </c>
      <c r="B358" s="41" t="s">
        <v>944</v>
      </c>
      <c r="C358" s="65" t="str">
        <f>VLOOKUP(B:B,Brand!B:C,2,0)</f>
        <v>Mali</v>
      </c>
      <c r="D358" s="63">
        <f>VLOOKUP(E:E,'Product Category'!J:O,6,FALSE)</f>
        <v>210</v>
      </c>
      <c r="E358" s="41" t="s">
        <v>2106</v>
      </c>
      <c r="F358" s="63" t="str">
        <f>VLOOKUP(E:E,'Product Category'!J:K,2,FALSE)</f>
        <v>43-Home Baking &amp; Sugar</v>
      </c>
      <c r="G358" s="63" t="str">
        <f>VLOOKUP(F:F,'Product Category'!K:L,2,FALSE)</f>
        <v>6-Dry Food / Dry Groceries</v>
      </c>
      <c r="H358" s="41" t="s">
        <v>3936</v>
      </c>
      <c r="I358" s="41" t="s">
        <v>3937</v>
      </c>
      <c r="J358" s="41" t="s">
        <v>4845</v>
      </c>
      <c r="K358" s="41" t="s">
        <v>4846</v>
      </c>
      <c r="L358" s="41">
        <v>2</v>
      </c>
      <c r="M358" s="41" t="s">
        <v>79</v>
      </c>
      <c r="N358" s="41" t="str">
        <f>VLOOKUP(M:M,Unit!B:C,2,0)</f>
        <v>kg</v>
      </c>
      <c r="O358" s="41" t="s">
        <v>67</v>
      </c>
      <c r="P358" s="41">
        <v>1</v>
      </c>
      <c r="Q358" s="41" t="s">
        <v>68</v>
      </c>
      <c r="R358" s="41" t="str">
        <f>VLOOKUP(Q:Q,Unit!B:D,2,0)</f>
        <v>pc</v>
      </c>
      <c r="S358" s="41" t="s">
        <v>75</v>
      </c>
      <c r="T358" s="41" t="str">
        <f>VLOOKUP(S:S,Promo!B:D,2,0)</f>
        <v>Promo EN</v>
      </c>
      <c r="W358" s="41">
        <v>112</v>
      </c>
      <c r="X358" s="41">
        <v>97</v>
      </c>
      <c r="AB358" s="41" t="s">
        <v>91</v>
      </c>
      <c r="AF358" s="41" t="s">
        <v>3373</v>
      </c>
      <c r="AG358" s="41" t="s">
        <v>71</v>
      </c>
      <c r="AH358" s="41" t="s">
        <v>71</v>
      </c>
      <c r="AI358" s="41" t="s">
        <v>71</v>
      </c>
      <c r="AJ358" s="41" t="s">
        <v>71</v>
      </c>
      <c r="AK358" s="41" t="s">
        <v>71</v>
      </c>
      <c r="AL358" s="41" t="s">
        <v>71</v>
      </c>
      <c r="AU358" s="41" t="s">
        <v>3938</v>
      </c>
      <c r="AV358" s="41" t="s">
        <v>2155</v>
      </c>
      <c r="BS358" s="41" t="s">
        <v>2058</v>
      </c>
      <c r="BT358" s="41" t="s">
        <v>72</v>
      </c>
      <c r="BW358" s="41" t="s">
        <v>72</v>
      </c>
      <c r="BX358" s="41">
        <f>VLOOKUP(B:B,Brand!B:D,3,0)</f>
        <v>489</v>
      </c>
      <c r="BY358" s="41">
        <f>VLOOKUP(M:M,Unit!B:D,3,0)</f>
        <v>2</v>
      </c>
      <c r="BZ358" s="41">
        <f>VLOOKUP(S:S,Promo!B:D,3,0)</f>
        <v>0</v>
      </c>
    </row>
    <row r="359" spans="1:78" s="41" customFormat="1" ht="15.75" customHeight="1">
      <c r="A359" s="41">
        <v>810412</v>
      </c>
      <c r="B359" s="41" t="s">
        <v>5266</v>
      </c>
      <c r="C359" s="65" t="str">
        <f>VLOOKUP(B:B,Brand!B:C,2,0)</f>
        <v>LongBeach Syrup</v>
      </c>
      <c r="D359" s="63">
        <f>VLOOKUP(E:E,'Product Category'!J:O,6,FALSE)</f>
        <v>210</v>
      </c>
      <c r="E359" s="41" t="s">
        <v>2106</v>
      </c>
      <c r="F359" s="63" t="str">
        <f>VLOOKUP(E:E,'Product Category'!J:K,2,FALSE)</f>
        <v>43-Home Baking &amp; Sugar</v>
      </c>
      <c r="G359" s="63" t="str">
        <f>VLOOKUP(F:F,'Product Category'!K:L,2,FALSE)</f>
        <v>6-Dry Food / Dry Groceries</v>
      </c>
      <c r="H359" s="41" t="s">
        <v>4135</v>
      </c>
      <c r="I359" s="41" t="s">
        <v>4136</v>
      </c>
      <c r="J359" s="65" t="str">
        <f t="shared" ref="J359:J371" si="2">TRIM(CONCATENATE(B359," ",H359," ",L359," ",M359," ",O359,P359," ",Q359))</f>
        <v>ลองบีชไซรัป น้ำเชื่อมกลิ่นผลไม้ บลูพาราไดซ์ 730 มล. x1 ขวด</v>
      </c>
      <c r="K359" s="80" t="str">
        <f t="shared" ref="K359:K371" si="3">TRIM(CONCATENATE(C359," ",I359," ",L359," ",N359," ",O359,P359," ",R359))</f>
        <v>LongBeach Syrup BLUEPARADISE SYRUP 730 ml x1 bottle</v>
      </c>
      <c r="L359" s="41">
        <v>730</v>
      </c>
      <c r="M359" s="41" t="s">
        <v>66</v>
      </c>
      <c r="N359" s="41" t="str">
        <f>VLOOKUP(M:M,Unit!B:C,2,0)</f>
        <v>ml</v>
      </c>
      <c r="O359" s="41" t="s">
        <v>67</v>
      </c>
      <c r="P359" s="41">
        <v>1</v>
      </c>
      <c r="Q359" s="41" t="s">
        <v>95</v>
      </c>
      <c r="R359" s="41" t="str">
        <f>VLOOKUP(Q:Q,Unit!B:D,2,0)</f>
        <v>bottle</v>
      </c>
      <c r="S359" s="41" t="s">
        <v>75</v>
      </c>
      <c r="T359" s="41" t="str">
        <f>VLOOKUP(S:S,Promo!B:D,2,0)</f>
        <v>Promo EN</v>
      </c>
      <c r="W359" s="41">
        <v>120</v>
      </c>
      <c r="X359" s="41">
        <v>110</v>
      </c>
      <c r="AB359" s="41" t="s">
        <v>2054</v>
      </c>
      <c r="AG359" s="41" t="s">
        <v>71</v>
      </c>
      <c r="AH359" s="41" t="s">
        <v>71</v>
      </c>
      <c r="AI359" s="41" t="s">
        <v>71</v>
      </c>
      <c r="AJ359" s="41" t="s">
        <v>71</v>
      </c>
      <c r="AK359" s="41" t="s">
        <v>71</v>
      </c>
      <c r="AL359" s="41" t="s">
        <v>71</v>
      </c>
      <c r="AU359" s="41" t="s">
        <v>4137</v>
      </c>
      <c r="AV359" s="41" t="s">
        <v>4138</v>
      </c>
      <c r="BS359" s="41" t="s">
        <v>2058</v>
      </c>
      <c r="BT359" s="41" t="s">
        <v>72</v>
      </c>
      <c r="BW359" s="41" t="s">
        <v>72</v>
      </c>
      <c r="BX359" s="41">
        <f>VLOOKUP(B:B,Brand!B:D,3,0)</f>
        <v>1422</v>
      </c>
      <c r="BY359" s="41">
        <f>VLOOKUP(M:M,Unit!B:D,3,0)</f>
        <v>4</v>
      </c>
      <c r="BZ359" s="41">
        <f>VLOOKUP(S:S,Promo!B:D,3,0)</f>
        <v>0</v>
      </c>
    </row>
    <row r="360" spans="1:78" s="41" customFormat="1" ht="15.75" customHeight="1">
      <c r="A360" s="41">
        <v>810413</v>
      </c>
      <c r="B360" s="41" t="s">
        <v>5266</v>
      </c>
      <c r="C360" s="65" t="str">
        <f>VLOOKUP(B:B,Brand!B:C,2,0)</f>
        <v>LongBeach Syrup</v>
      </c>
      <c r="D360" s="63">
        <f>VLOOKUP(E:E,'Product Category'!J:O,6,FALSE)</f>
        <v>210</v>
      </c>
      <c r="E360" s="41" t="s">
        <v>2106</v>
      </c>
      <c r="F360" s="63" t="str">
        <f>VLOOKUP(E:E,'Product Category'!J:K,2,FALSE)</f>
        <v>43-Home Baking &amp; Sugar</v>
      </c>
      <c r="G360" s="63" t="str">
        <f>VLOOKUP(F:F,'Product Category'!K:L,2,FALSE)</f>
        <v>6-Dry Food / Dry Groceries</v>
      </c>
      <c r="H360" s="41" t="s">
        <v>4139</v>
      </c>
      <c r="I360" s="41" t="s">
        <v>4140</v>
      </c>
      <c r="J360" s="65" t="str">
        <f t="shared" si="2"/>
        <v>ลองบีชไซรัป น้ำเชื่อมกลิ่นผลไม้ ลิ้นจี่ 730 มล. x1 ขวด</v>
      </c>
      <c r="K360" s="80" t="str">
        <f t="shared" si="3"/>
        <v>LongBeach Syrup LYCHEE SYRUP 730 ml x1 bottle</v>
      </c>
      <c r="L360" s="41">
        <v>730</v>
      </c>
      <c r="M360" s="41" t="s">
        <v>66</v>
      </c>
      <c r="N360" s="41" t="str">
        <f>VLOOKUP(M:M,Unit!B:C,2,0)</f>
        <v>ml</v>
      </c>
      <c r="O360" s="41" t="s">
        <v>67</v>
      </c>
      <c r="P360" s="41">
        <v>1</v>
      </c>
      <c r="Q360" s="41" t="s">
        <v>95</v>
      </c>
      <c r="R360" s="41" t="str">
        <f>VLOOKUP(Q:Q,Unit!B:D,2,0)</f>
        <v>bottle</v>
      </c>
      <c r="S360" s="41" t="s">
        <v>75</v>
      </c>
      <c r="T360" s="41" t="str">
        <f>VLOOKUP(S:S,Promo!B:D,2,0)</f>
        <v>Promo EN</v>
      </c>
      <c r="W360" s="41">
        <v>120</v>
      </c>
      <c r="X360" s="41">
        <v>110</v>
      </c>
      <c r="AB360" s="41" t="s">
        <v>2054</v>
      </c>
      <c r="AG360" s="41" t="s">
        <v>71</v>
      </c>
      <c r="AH360" s="41" t="s">
        <v>71</v>
      </c>
      <c r="AI360" s="41" t="s">
        <v>71</v>
      </c>
      <c r="AJ360" s="41" t="s">
        <v>71</v>
      </c>
      <c r="AK360" s="41" t="s">
        <v>71</v>
      </c>
      <c r="AL360" s="41" t="s">
        <v>71</v>
      </c>
      <c r="AU360" s="41" t="s">
        <v>4141</v>
      </c>
      <c r="AV360" s="41" t="s">
        <v>4142</v>
      </c>
      <c r="BS360" s="41" t="s">
        <v>2058</v>
      </c>
      <c r="BT360" s="41" t="s">
        <v>72</v>
      </c>
      <c r="BW360" s="41" t="s">
        <v>72</v>
      </c>
      <c r="BX360" s="41">
        <f>VLOOKUP(B:B,Brand!B:D,3,0)</f>
        <v>1422</v>
      </c>
      <c r="BY360" s="41">
        <f>VLOOKUP(M:M,Unit!B:D,3,0)</f>
        <v>4</v>
      </c>
      <c r="BZ360" s="41">
        <f>VLOOKUP(S:S,Promo!B:D,3,0)</f>
        <v>0</v>
      </c>
    </row>
    <row r="361" spans="1:78" s="41" customFormat="1" ht="15.75" customHeight="1">
      <c r="A361" s="41">
        <v>810414</v>
      </c>
      <c r="B361" s="41" t="s">
        <v>5266</v>
      </c>
      <c r="C361" s="65" t="str">
        <f>VLOOKUP(B:B,Brand!B:C,2,0)</f>
        <v>LongBeach Syrup</v>
      </c>
      <c r="D361" s="63">
        <f>VLOOKUP(E:E,'Product Category'!J:O,6,FALSE)</f>
        <v>210</v>
      </c>
      <c r="E361" s="41" t="s">
        <v>2106</v>
      </c>
      <c r="F361" s="63" t="str">
        <f>VLOOKUP(E:E,'Product Category'!J:K,2,FALSE)</f>
        <v>43-Home Baking &amp; Sugar</v>
      </c>
      <c r="G361" s="63" t="str">
        <f>VLOOKUP(F:F,'Product Category'!K:L,2,FALSE)</f>
        <v>6-Dry Food / Dry Groceries</v>
      </c>
      <c r="H361" s="41" t="s">
        <v>4143</v>
      </c>
      <c r="I361" s="41" t="s">
        <v>4144</v>
      </c>
      <c r="J361" s="65" t="str">
        <f t="shared" si="2"/>
        <v>ลองบีชไซรัป น้ำเชื่อมกลิ่นผลไม้ กีวี่ 730 มล. x1 ขวด</v>
      </c>
      <c r="K361" s="80" t="str">
        <f t="shared" si="3"/>
        <v>LongBeach Syrup KIWI SYRUP 730 ml x1 bottle</v>
      </c>
      <c r="L361" s="41">
        <v>730</v>
      </c>
      <c r="M361" s="41" t="s">
        <v>66</v>
      </c>
      <c r="N361" s="41" t="str">
        <f>VLOOKUP(M:M,Unit!B:C,2,0)</f>
        <v>ml</v>
      </c>
      <c r="O361" s="41" t="s">
        <v>67</v>
      </c>
      <c r="P361" s="41">
        <v>1</v>
      </c>
      <c r="Q361" s="41" t="s">
        <v>95</v>
      </c>
      <c r="R361" s="41" t="str">
        <f>VLOOKUP(Q:Q,Unit!B:D,2,0)</f>
        <v>bottle</v>
      </c>
      <c r="S361" s="41" t="s">
        <v>75</v>
      </c>
      <c r="T361" s="41" t="str">
        <f>VLOOKUP(S:S,Promo!B:D,2,0)</f>
        <v>Promo EN</v>
      </c>
      <c r="W361" s="41">
        <v>120</v>
      </c>
      <c r="X361" s="41">
        <v>110</v>
      </c>
      <c r="AB361" s="41" t="s">
        <v>2054</v>
      </c>
      <c r="AG361" s="41" t="s">
        <v>71</v>
      </c>
      <c r="AH361" s="41" t="s">
        <v>71</v>
      </c>
      <c r="AI361" s="41" t="s">
        <v>71</v>
      </c>
      <c r="AJ361" s="41" t="s">
        <v>71</v>
      </c>
      <c r="AK361" s="41" t="s">
        <v>71</v>
      </c>
      <c r="AL361" s="41" t="s">
        <v>71</v>
      </c>
      <c r="AU361" s="41" t="s">
        <v>4145</v>
      </c>
      <c r="AV361" s="41" t="s">
        <v>4146</v>
      </c>
      <c r="BS361" s="41" t="s">
        <v>2058</v>
      </c>
      <c r="BT361" s="41" t="s">
        <v>72</v>
      </c>
      <c r="BW361" s="41" t="s">
        <v>72</v>
      </c>
      <c r="BX361" s="41">
        <f>VLOOKUP(B:B,Brand!B:D,3,0)</f>
        <v>1422</v>
      </c>
      <c r="BY361" s="41">
        <f>VLOOKUP(M:M,Unit!B:D,3,0)</f>
        <v>4</v>
      </c>
      <c r="BZ361" s="41">
        <f>VLOOKUP(S:S,Promo!B:D,3,0)</f>
        <v>0</v>
      </c>
    </row>
    <row r="362" spans="1:78" s="41" customFormat="1" ht="15.75" customHeight="1">
      <c r="A362" s="41">
        <v>810415</v>
      </c>
      <c r="B362" s="41" t="s">
        <v>5266</v>
      </c>
      <c r="C362" s="65" t="str">
        <f>VLOOKUP(B:B,Brand!B:C,2,0)</f>
        <v>LongBeach Syrup</v>
      </c>
      <c r="D362" s="63">
        <f>VLOOKUP(E:E,'Product Category'!J:O,6,FALSE)</f>
        <v>210</v>
      </c>
      <c r="E362" s="41" t="s">
        <v>2106</v>
      </c>
      <c r="F362" s="63" t="str">
        <f>VLOOKUP(E:E,'Product Category'!J:K,2,FALSE)</f>
        <v>43-Home Baking &amp; Sugar</v>
      </c>
      <c r="G362" s="63" t="str">
        <f>VLOOKUP(F:F,'Product Category'!K:L,2,FALSE)</f>
        <v>6-Dry Food / Dry Groceries</v>
      </c>
      <c r="H362" s="41" t="s">
        <v>4147</v>
      </c>
      <c r="I362" s="41" t="s">
        <v>4148</v>
      </c>
      <c r="J362" s="65" t="str">
        <f t="shared" si="2"/>
        <v>ลองบีชไซรัป น้ำเชื่อมกลิ่นผลไม้ สตรอเบอร์รี่ 730 มล. x1 ขวด</v>
      </c>
      <c r="K362" s="80" t="str">
        <f t="shared" si="3"/>
        <v>LongBeach Syrup STRAWBERRY SYRUP 730 ml x1 bottle</v>
      </c>
      <c r="L362" s="41">
        <v>730</v>
      </c>
      <c r="M362" s="41" t="s">
        <v>66</v>
      </c>
      <c r="N362" s="41" t="str">
        <f>VLOOKUP(M:M,Unit!B:C,2,0)</f>
        <v>ml</v>
      </c>
      <c r="O362" s="41" t="s">
        <v>67</v>
      </c>
      <c r="P362" s="41">
        <v>1</v>
      </c>
      <c r="Q362" s="41" t="s">
        <v>95</v>
      </c>
      <c r="R362" s="41" t="str">
        <f>VLOOKUP(Q:Q,Unit!B:D,2,0)</f>
        <v>bottle</v>
      </c>
      <c r="S362" s="41" t="s">
        <v>75</v>
      </c>
      <c r="T362" s="41" t="str">
        <f>VLOOKUP(S:S,Promo!B:D,2,0)</f>
        <v>Promo EN</v>
      </c>
      <c r="W362" s="41">
        <v>120</v>
      </c>
      <c r="X362" s="41">
        <v>110</v>
      </c>
      <c r="AB362" s="41" t="s">
        <v>2054</v>
      </c>
      <c r="AG362" s="41" t="s">
        <v>71</v>
      </c>
      <c r="AH362" s="41" t="s">
        <v>71</v>
      </c>
      <c r="AI362" s="41" t="s">
        <v>71</v>
      </c>
      <c r="AJ362" s="41" t="s">
        <v>71</v>
      </c>
      <c r="AK362" s="41" t="s">
        <v>71</v>
      </c>
      <c r="AL362" s="41" t="s">
        <v>71</v>
      </c>
      <c r="AU362" s="41" t="s">
        <v>3506</v>
      </c>
      <c r="AV362" s="41" t="s">
        <v>2368</v>
      </c>
      <c r="BS362" s="41" t="s">
        <v>2058</v>
      </c>
      <c r="BT362" s="41" t="s">
        <v>72</v>
      </c>
      <c r="BW362" s="41" t="s">
        <v>72</v>
      </c>
      <c r="BX362" s="41">
        <f>VLOOKUP(B:B,Brand!B:D,3,0)</f>
        <v>1422</v>
      </c>
      <c r="BY362" s="41">
        <f>VLOOKUP(M:M,Unit!B:D,3,0)</f>
        <v>4</v>
      </c>
      <c r="BZ362" s="41">
        <f>VLOOKUP(S:S,Promo!B:D,3,0)</f>
        <v>0</v>
      </c>
    </row>
    <row r="363" spans="1:78" s="41" customFormat="1" ht="15.75" customHeight="1">
      <c r="A363" s="41">
        <v>810416</v>
      </c>
      <c r="B363" s="41" t="s">
        <v>5266</v>
      </c>
      <c r="C363" s="65" t="str">
        <f>VLOOKUP(B:B,Brand!B:C,2,0)</f>
        <v>LongBeach Syrup</v>
      </c>
      <c r="D363" s="63">
        <f>VLOOKUP(E:E,'Product Category'!J:O,6,FALSE)</f>
        <v>210</v>
      </c>
      <c r="E363" s="41" t="s">
        <v>2106</v>
      </c>
      <c r="F363" s="63" t="str">
        <f>VLOOKUP(E:E,'Product Category'!J:K,2,FALSE)</f>
        <v>43-Home Baking &amp; Sugar</v>
      </c>
      <c r="G363" s="63" t="str">
        <f>VLOOKUP(F:F,'Product Category'!K:L,2,FALSE)</f>
        <v>6-Dry Food / Dry Groceries</v>
      </c>
      <c r="H363" s="41" t="s">
        <v>4149</v>
      </c>
      <c r="I363" s="41" t="s">
        <v>4150</v>
      </c>
      <c r="J363" s="65" t="str">
        <f t="shared" si="2"/>
        <v>ลองบีชไซรัป น้ำเชื่อมกลิ่นผลไม้ เลม่อนน้ำผึ้ง 730 มล. x1 ขวด</v>
      </c>
      <c r="K363" s="80" t="str">
        <f t="shared" si="3"/>
        <v>LongBeach Syrup LEMON HONEY SYRUP 730 ml x1 bottle</v>
      </c>
      <c r="L363" s="41">
        <v>730</v>
      </c>
      <c r="M363" s="41" t="s">
        <v>66</v>
      </c>
      <c r="N363" s="41" t="str">
        <f>VLOOKUP(M:M,Unit!B:C,2,0)</f>
        <v>ml</v>
      </c>
      <c r="O363" s="41" t="s">
        <v>67</v>
      </c>
      <c r="P363" s="41">
        <v>1</v>
      </c>
      <c r="Q363" s="41" t="s">
        <v>95</v>
      </c>
      <c r="R363" s="41" t="str">
        <f>VLOOKUP(Q:Q,Unit!B:D,2,0)</f>
        <v>bottle</v>
      </c>
      <c r="S363" s="41" t="s">
        <v>75</v>
      </c>
      <c r="T363" s="41" t="str">
        <f>VLOOKUP(S:S,Promo!B:D,2,0)</f>
        <v>Promo EN</v>
      </c>
      <c r="W363" s="41">
        <v>120</v>
      </c>
      <c r="X363" s="41">
        <v>110</v>
      </c>
      <c r="AB363" s="41" t="s">
        <v>2054</v>
      </c>
      <c r="AG363" s="41" t="s">
        <v>71</v>
      </c>
      <c r="AH363" s="41" t="s">
        <v>71</v>
      </c>
      <c r="AI363" s="41" t="s">
        <v>71</v>
      </c>
      <c r="AJ363" s="41" t="s">
        <v>71</v>
      </c>
      <c r="AK363" s="41" t="s">
        <v>71</v>
      </c>
      <c r="AL363" s="41" t="s">
        <v>71</v>
      </c>
      <c r="AU363" s="41" t="s">
        <v>4151</v>
      </c>
      <c r="AV363" s="41" t="s">
        <v>4152</v>
      </c>
      <c r="BS363" s="41" t="s">
        <v>2058</v>
      </c>
      <c r="BT363" s="41" t="s">
        <v>72</v>
      </c>
      <c r="BW363" s="41" t="s">
        <v>72</v>
      </c>
      <c r="BX363" s="41">
        <f>VLOOKUP(B:B,Brand!B:D,3,0)</f>
        <v>1422</v>
      </c>
      <c r="BY363" s="41">
        <f>VLOOKUP(M:M,Unit!B:D,3,0)</f>
        <v>4</v>
      </c>
      <c r="BZ363" s="41">
        <f>VLOOKUP(S:S,Promo!B:D,3,0)</f>
        <v>0</v>
      </c>
    </row>
    <row r="364" spans="1:78" s="41" customFormat="1" ht="15.75" customHeight="1">
      <c r="A364" s="41">
        <v>810417</v>
      </c>
      <c r="B364" s="41" t="s">
        <v>5266</v>
      </c>
      <c r="C364" s="65" t="str">
        <f>VLOOKUP(B:B,Brand!B:C,2,0)</f>
        <v>LongBeach Syrup</v>
      </c>
      <c r="D364" s="63">
        <f>VLOOKUP(E:E,'Product Category'!J:O,6,FALSE)</f>
        <v>210</v>
      </c>
      <c r="E364" s="41" t="s">
        <v>2106</v>
      </c>
      <c r="F364" s="63" t="str">
        <f>VLOOKUP(E:E,'Product Category'!J:K,2,FALSE)</f>
        <v>43-Home Baking &amp; Sugar</v>
      </c>
      <c r="G364" s="63" t="str">
        <f>VLOOKUP(F:F,'Product Category'!K:L,2,FALSE)</f>
        <v>6-Dry Food / Dry Groceries</v>
      </c>
      <c r="H364" s="41" t="s">
        <v>4153</v>
      </c>
      <c r="I364" s="41" t="s">
        <v>4154</v>
      </c>
      <c r="J364" s="65" t="str">
        <f t="shared" si="2"/>
        <v>ลองบีชไซรัป น้ำเชื่อมกลิ่นผลไม้ ราสเบอร์รี่ 730 มล. x1 ขวด</v>
      </c>
      <c r="K364" s="80" t="str">
        <f t="shared" si="3"/>
        <v>LongBeach Syrup RASPBERRY SYRUP 730 ml x1 bottle</v>
      </c>
      <c r="L364" s="41">
        <v>730</v>
      </c>
      <c r="M364" s="41" t="s">
        <v>66</v>
      </c>
      <c r="N364" s="41" t="str">
        <f>VLOOKUP(M:M,Unit!B:C,2,0)</f>
        <v>ml</v>
      </c>
      <c r="O364" s="41" t="s">
        <v>67</v>
      </c>
      <c r="P364" s="41">
        <v>1</v>
      </c>
      <c r="Q364" s="41" t="s">
        <v>95</v>
      </c>
      <c r="R364" s="41" t="str">
        <f>VLOOKUP(Q:Q,Unit!B:D,2,0)</f>
        <v>bottle</v>
      </c>
      <c r="S364" s="41" t="s">
        <v>75</v>
      </c>
      <c r="T364" s="41" t="str">
        <f>VLOOKUP(S:S,Promo!B:D,2,0)</f>
        <v>Promo EN</v>
      </c>
      <c r="W364" s="41">
        <v>120</v>
      </c>
      <c r="X364" s="41">
        <v>110</v>
      </c>
      <c r="AB364" s="41" t="s">
        <v>2054</v>
      </c>
      <c r="AG364" s="41" t="s">
        <v>71</v>
      </c>
      <c r="AH364" s="41" t="s">
        <v>71</v>
      </c>
      <c r="AI364" s="41" t="s">
        <v>71</v>
      </c>
      <c r="AJ364" s="41" t="s">
        <v>71</v>
      </c>
      <c r="AK364" s="41" t="s">
        <v>71</v>
      </c>
      <c r="AL364" s="41" t="s">
        <v>71</v>
      </c>
      <c r="AU364" s="41" t="s">
        <v>4155</v>
      </c>
      <c r="AV364" s="41" t="s">
        <v>4156</v>
      </c>
      <c r="BS364" s="41" t="s">
        <v>2058</v>
      </c>
      <c r="BT364" s="41" t="s">
        <v>72</v>
      </c>
      <c r="BW364" s="41" t="s">
        <v>72</v>
      </c>
      <c r="BX364" s="41">
        <f>VLOOKUP(B:B,Brand!B:D,3,0)</f>
        <v>1422</v>
      </c>
      <c r="BY364" s="41">
        <f>VLOOKUP(M:M,Unit!B:D,3,0)</f>
        <v>4</v>
      </c>
      <c r="BZ364" s="41">
        <f>VLOOKUP(S:S,Promo!B:D,3,0)</f>
        <v>0</v>
      </c>
    </row>
    <row r="365" spans="1:78" s="41" customFormat="1" ht="15.75" customHeight="1">
      <c r="A365" s="41">
        <v>810418</v>
      </c>
      <c r="B365" s="41" t="s">
        <v>5266</v>
      </c>
      <c r="C365" s="65" t="str">
        <f>VLOOKUP(B:B,Brand!B:C,2,0)</f>
        <v>LongBeach Syrup</v>
      </c>
      <c r="D365" s="63">
        <f>VLOOKUP(E:E,'Product Category'!J:O,6,FALSE)</f>
        <v>210</v>
      </c>
      <c r="E365" s="41" t="s">
        <v>2106</v>
      </c>
      <c r="F365" s="63" t="str">
        <f>VLOOKUP(E:E,'Product Category'!J:K,2,FALSE)</f>
        <v>43-Home Baking &amp; Sugar</v>
      </c>
      <c r="G365" s="63" t="str">
        <f>VLOOKUP(F:F,'Product Category'!K:L,2,FALSE)</f>
        <v>6-Dry Food / Dry Groceries</v>
      </c>
      <c r="H365" s="41" t="s">
        <v>4157</v>
      </c>
      <c r="I365" s="41" t="s">
        <v>4158</v>
      </c>
      <c r="J365" s="65" t="str">
        <f t="shared" si="2"/>
        <v>ลองบีชไซรัป น้ำเชื่อมกลิ่นผลไม้ มิ้นต์ 730 มล. x1 ขวด</v>
      </c>
      <c r="K365" s="80" t="str">
        <f t="shared" si="3"/>
        <v>LongBeach Syrup MINT SYRUP 730 ml x1 bottle</v>
      </c>
      <c r="L365" s="41">
        <v>730</v>
      </c>
      <c r="M365" s="41" t="s">
        <v>66</v>
      </c>
      <c r="N365" s="41" t="str">
        <f>VLOOKUP(M:M,Unit!B:C,2,0)</f>
        <v>ml</v>
      </c>
      <c r="O365" s="41" t="s">
        <v>67</v>
      </c>
      <c r="P365" s="41">
        <v>1</v>
      </c>
      <c r="Q365" s="41" t="s">
        <v>95</v>
      </c>
      <c r="R365" s="41" t="str">
        <f>VLOOKUP(Q:Q,Unit!B:D,2,0)</f>
        <v>bottle</v>
      </c>
      <c r="S365" s="41" t="s">
        <v>75</v>
      </c>
      <c r="T365" s="41" t="str">
        <f>VLOOKUP(S:S,Promo!B:D,2,0)</f>
        <v>Promo EN</v>
      </c>
      <c r="W365" s="41">
        <v>120</v>
      </c>
      <c r="X365" s="41">
        <v>110</v>
      </c>
      <c r="AB365" s="41" t="s">
        <v>2054</v>
      </c>
      <c r="AG365" s="41" t="s">
        <v>71</v>
      </c>
      <c r="AH365" s="41" t="s">
        <v>71</v>
      </c>
      <c r="AI365" s="41" t="s">
        <v>71</v>
      </c>
      <c r="AJ365" s="41" t="s">
        <v>71</v>
      </c>
      <c r="AK365" s="41" t="s">
        <v>71</v>
      </c>
      <c r="AL365" s="41" t="s">
        <v>71</v>
      </c>
      <c r="AU365" s="41" t="s">
        <v>3779</v>
      </c>
      <c r="AV365" s="41" t="s">
        <v>4159</v>
      </c>
      <c r="BS365" s="41" t="s">
        <v>2058</v>
      </c>
      <c r="BT365" s="41" t="s">
        <v>72</v>
      </c>
      <c r="BW365" s="41" t="s">
        <v>72</v>
      </c>
      <c r="BX365" s="41">
        <f>VLOOKUP(B:B,Brand!B:D,3,0)</f>
        <v>1422</v>
      </c>
      <c r="BY365" s="41">
        <f>VLOOKUP(M:M,Unit!B:D,3,0)</f>
        <v>4</v>
      </c>
      <c r="BZ365" s="41">
        <f>VLOOKUP(S:S,Promo!B:D,3,0)</f>
        <v>0</v>
      </c>
    </row>
    <row r="366" spans="1:78" s="41" customFormat="1" ht="15.75" customHeight="1">
      <c r="A366" s="41">
        <v>810419</v>
      </c>
      <c r="B366" s="41" t="s">
        <v>5266</v>
      </c>
      <c r="C366" s="65" t="str">
        <f>VLOOKUP(B:B,Brand!B:C,2,0)</f>
        <v>LongBeach Syrup</v>
      </c>
      <c r="D366" s="63">
        <f>VLOOKUP(E:E,'Product Category'!J:O,6,FALSE)</f>
        <v>210</v>
      </c>
      <c r="E366" s="41" t="s">
        <v>2106</v>
      </c>
      <c r="F366" s="63" t="str">
        <f>VLOOKUP(E:E,'Product Category'!J:K,2,FALSE)</f>
        <v>43-Home Baking &amp; Sugar</v>
      </c>
      <c r="G366" s="63" t="str">
        <f>VLOOKUP(F:F,'Product Category'!K:L,2,FALSE)</f>
        <v>6-Dry Food / Dry Groceries</v>
      </c>
      <c r="H366" s="41" t="s">
        <v>4160</v>
      </c>
      <c r="I366" s="41" t="s">
        <v>4161</v>
      </c>
      <c r="J366" s="65" t="str">
        <f t="shared" si="2"/>
        <v>ลองบีชไซรัป น้ำเชื่อมกลิ่นผลไม้ แอปเปิ้ล 730 มล. x1 ขวด</v>
      </c>
      <c r="K366" s="80" t="str">
        <f t="shared" si="3"/>
        <v>LongBeach Syrup GREEN APPLE SYRUP 730 ml x1 bottle</v>
      </c>
      <c r="L366" s="41">
        <v>730</v>
      </c>
      <c r="M366" s="41" t="s">
        <v>66</v>
      </c>
      <c r="N366" s="41" t="str">
        <f>VLOOKUP(M:M,Unit!B:C,2,0)</f>
        <v>ml</v>
      </c>
      <c r="O366" s="41" t="s">
        <v>67</v>
      </c>
      <c r="P366" s="41">
        <v>1</v>
      </c>
      <c r="Q366" s="41" t="s">
        <v>95</v>
      </c>
      <c r="R366" s="41" t="str">
        <f>VLOOKUP(Q:Q,Unit!B:D,2,0)</f>
        <v>bottle</v>
      </c>
      <c r="S366" s="41" t="s">
        <v>75</v>
      </c>
      <c r="T366" s="41" t="str">
        <f>VLOOKUP(S:S,Promo!B:D,2,0)</f>
        <v>Promo EN</v>
      </c>
      <c r="W366" s="41">
        <v>120</v>
      </c>
      <c r="X366" s="41">
        <v>110</v>
      </c>
      <c r="AB366" s="41" t="s">
        <v>2054</v>
      </c>
      <c r="AG366" s="41" t="s">
        <v>71</v>
      </c>
      <c r="AH366" s="41" t="s">
        <v>71</v>
      </c>
      <c r="AI366" s="41" t="s">
        <v>71</v>
      </c>
      <c r="AJ366" s="41" t="s">
        <v>71</v>
      </c>
      <c r="AK366" s="41" t="s">
        <v>71</v>
      </c>
      <c r="AL366" s="41" t="s">
        <v>71</v>
      </c>
      <c r="AU366" s="41" t="s">
        <v>2150</v>
      </c>
      <c r="AV366" s="41" t="s">
        <v>2218</v>
      </c>
      <c r="BS366" s="41" t="s">
        <v>2058</v>
      </c>
      <c r="BT366" s="41" t="s">
        <v>72</v>
      </c>
      <c r="BW366" s="41" t="s">
        <v>72</v>
      </c>
      <c r="BX366" s="41">
        <f>VLOOKUP(B:B,Brand!B:D,3,0)</f>
        <v>1422</v>
      </c>
      <c r="BY366" s="41">
        <f>VLOOKUP(M:M,Unit!B:D,3,0)</f>
        <v>4</v>
      </c>
      <c r="BZ366" s="41">
        <f>VLOOKUP(S:S,Promo!B:D,3,0)</f>
        <v>0</v>
      </c>
    </row>
    <row r="367" spans="1:78" s="41" customFormat="1" ht="15.75" customHeight="1">
      <c r="A367" s="41">
        <v>810420</v>
      </c>
      <c r="B367" s="41" t="s">
        <v>5266</v>
      </c>
      <c r="C367" s="65" t="str">
        <f>VLOOKUP(B:B,Brand!B:C,2,0)</f>
        <v>LongBeach Syrup</v>
      </c>
      <c r="D367" s="63">
        <f>VLOOKUP(E:E,'Product Category'!J:O,6,FALSE)</f>
        <v>210</v>
      </c>
      <c r="E367" s="41" t="s">
        <v>2106</v>
      </c>
      <c r="F367" s="63" t="str">
        <f>VLOOKUP(E:E,'Product Category'!J:K,2,FALSE)</f>
        <v>43-Home Baking &amp; Sugar</v>
      </c>
      <c r="G367" s="63" t="str">
        <f>VLOOKUP(F:F,'Product Category'!K:L,2,FALSE)</f>
        <v>6-Dry Food / Dry Groceries</v>
      </c>
      <c r="H367" s="41" t="s">
        <v>4162</v>
      </c>
      <c r="I367" s="41" t="s">
        <v>4163</v>
      </c>
      <c r="J367" s="65" t="str">
        <f t="shared" si="2"/>
        <v>ลองบีชไซรัป น้ำเชื่อมกลิ่นผลไม้ เมล่อน 730 มล. x1 ขวด</v>
      </c>
      <c r="K367" s="80" t="str">
        <f t="shared" si="3"/>
        <v>LongBeach Syrup MELON SYRUP 730 ml x1 bottle</v>
      </c>
      <c r="L367" s="41">
        <v>730</v>
      </c>
      <c r="M367" s="41" t="s">
        <v>66</v>
      </c>
      <c r="N367" s="41" t="str">
        <f>VLOOKUP(M:M,Unit!B:C,2,0)</f>
        <v>ml</v>
      </c>
      <c r="O367" s="41" t="s">
        <v>67</v>
      </c>
      <c r="P367" s="41">
        <v>1</v>
      </c>
      <c r="Q367" s="41" t="s">
        <v>95</v>
      </c>
      <c r="R367" s="41" t="str">
        <f>VLOOKUP(Q:Q,Unit!B:D,2,0)</f>
        <v>bottle</v>
      </c>
      <c r="S367" s="41" t="s">
        <v>75</v>
      </c>
      <c r="T367" s="41" t="str">
        <f>VLOOKUP(S:S,Promo!B:D,2,0)</f>
        <v>Promo EN</v>
      </c>
      <c r="W367" s="41">
        <v>120</v>
      </c>
      <c r="X367" s="41">
        <v>110</v>
      </c>
      <c r="AB367" s="41" t="s">
        <v>2054</v>
      </c>
      <c r="AG367" s="41" t="s">
        <v>71</v>
      </c>
      <c r="AH367" s="41" t="s">
        <v>71</v>
      </c>
      <c r="AI367" s="41" t="s">
        <v>71</v>
      </c>
      <c r="AJ367" s="41" t="s">
        <v>71</v>
      </c>
      <c r="AK367" s="41" t="s">
        <v>71</v>
      </c>
      <c r="AL367" s="41" t="s">
        <v>71</v>
      </c>
      <c r="AU367" s="41" t="s">
        <v>4164</v>
      </c>
      <c r="AV367" s="41" t="s">
        <v>4165</v>
      </c>
      <c r="BS367" s="41" t="s">
        <v>2058</v>
      </c>
      <c r="BT367" s="41" t="s">
        <v>72</v>
      </c>
      <c r="BW367" s="41" t="s">
        <v>72</v>
      </c>
      <c r="BX367" s="41">
        <f>VLOOKUP(B:B,Brand!B:D,3,0)</f>
        <v>1422</v>
      </c>
      <c r="BY367" s="41">
        <f>VLOOKUP(M:M,Unit!B:D,3,0)</f>
        <v>4</v>
      </c>
      <c r="BZ367" s="41">
        <f>VLOOKUP(S:S,Promo!B:D,3,0)</f>
        <v>0</v>
      </c>
    </row>
    <row r="368" spans="1:78" s="41" customFormat="1" ht="15.75" customHeight="1">
      <c r="A368" s="41">
        <v>814334</v>
      </c>
      <c r="B368" s="41" t="s">
        <v>5266</v>
      </c>
      <c r="C368" s="65" t="str">
        <f>VLOOKUP(B:B,Brand!B:C,2,0)</f>
        <v>LongBeach Syrup</v>
      </c>
      <c r="D368" s="63">
        <f>VLOOKUP(E:E,'Product Category'!J:O,6,FALSE)</f>
        <v>210</v>
      </c>
      <c r="E368" s="41" t="s">
        <v>2106</v>
      </c>
      <c r="F368" s="63" t="str">
        <f>VLOOKUP(E:E,'Product Category'!J:K,2,FALSE)</f>
        <v>43-Home Baking &amp; Sugar</v>
      </c>
      <c r="G368" s="63" t="str">
        <f>VLOOKUP(F:F,'Product Category'!K:L,2,FALSE)</f>
        <v>6-Dry Food / Dry Groceries</v>
      </c>
      <c r="H368" s="41" t="s">
        <v>4166</v>
      </c>
      <c r="I368" s="41" t="s">
        <v>4167</v>
      </c>
      <c r="J368" s="65" t="str">
        <f t="shared" si="2"/>
        <v>ลองบีชไซรัป น้ำเชื่อมกลิ่นผลไม้ มะม่วง 730 มล. x1 ขวด</v>
      </c>
      <c r="K368" s="80" t="str">
        <f t="shared" si="3"/>
        <v>LongBeach Syrup MANGO SYRUP 730 ml x1 bottle</v>
      </c>
      <c r="L368" s="41">
        <v>730</v>
      </c>
      <c r="M368" s="41" t="s">
        <v>66</v>
      </c>
      <c r="N368" s="41" t="str">
        <f>VLOOKUP(M:M,Unit!B:C,2,0)</f>
        <v>ml</v>
      </c>
      <c r="O368" s="41" t="s">
        <v>67</v>
      </c>
      <c r="P368" s="41">
        <v>1</v>
      </c>
      <c r="Q368" s="41" t="s">
        <v>95</v>
      </c>
      <c r="R368" s="41" t="str">
        <f>VLOOKUP(Q:Q,Unit!B:D,2,0)</f>
        <v>bottle</v>
      </c>
      <c r="S368" s="41" t="s">
        <v>75</v>
      </c>
      <c r="T368" s="41" t="str">
        <f>VLOOKUP(S:S,Promo!B:D,2,0)</f>
        <v>Promo EN</v>
      </c>
      <c r="W368" s="41">
        <v>120</v>
      </c>
      <c r="X368" s="41">
        <v>110</v>
      </c>
      <c r="AB368" s="41" t="s">
        <v>2054</v>
      </c>
      <c r="AG368" s="41" t="s">
        <v>71</v>
      </c>
      <c r="AH368" s="41" t="s">
        <v>71</v>
      </c>
      <c r="AI368" s="41" t="s">
        <v>71</v>
      </c>
      <c r="AJ368" s="41" t="s">
        <v>71</v>
      </c>
      <c r="AK368" s="41" t="s">
        <v>71</v>
      </c>
      <c r="AL368" s="41" t="s">
        <v>71</v>
      </c>
      <c r="AU368" s="41" t="s">
        <v>4168</v>
      </c>
      <c r="AV368" s="41" t="s">
        <v>4169</v>
      </c>
      <c r="BS368" s="41" t="s">
        <v>2058</v>
      </c>
      <c r="BT368" s="41" t="s">
        <v>72</v>
      </c>
      <c r="BW368" s="41" t="s">
        <v>72</v>
      </c>
      <c r="BX368" s="41">
        <f>VLOOKUP(B:B,Brand!B:D,3,0)</f>
        <v>1422</v>
      </c>
      <c r="BY368" s="41">
        <f>VLOOKUP(M:M,Unit!B:D,3,0)</f>
        <v>4</v>
      </c>
      <c r="BZ368" s="41">
        <f>VLOOKUP(S:S,Promo!B:D,3,0)</f>
        <v>0</v>
      </c>
    </row>
    <row r="369" spans="1:78" s="41" customFormat="1" ht="15.75" customHeight="1">
      <c r="A369" s="41">
        <v>810422</v>
      </c>
      <c r="B369" s="41" t="s">
        <v>5266</v>
      </c>
      <c r="C369" s="65" t="str">
        <f>VLOOKUP(B:B,Brand!B:C,2,0)</f>
        <v>LongBeach Syrup</v>
      </c>
      <c r="D369" s="63">
        <f>VLOOKUP(E:E,'Product Category'!J:O,6,FALSE)</f>
        <v>210</v>
      </c>
      <c r="E369" s="41" t="s">
        <v>2106</v>
      </c>
      <c r="F369" s="63" t="str">
        <f>VLOOKUP(E:E,'Product Category'!J:K,2,FALSE)</f>
        <v>43-Home Baking &amp; Sugar</v>
      </c>
      <c r="G369" s="63" t="str">
        <f>VLOOKUP(F:F,'Product Category'!K:L,2,FALSE)</f>
        <v>6-Dry Food / Dry Groceries</v>
      </c>
      <c r="H369" s="41" t="s">
        <v>4170</v>
      </c>
      <c r="I369" s="41" t="s">
        <v>4171</v>
      </c>
      <c r="J369" s="65" t="str">
        <f t="shared" si="2"/>
        <v>ลองบีชไซรัป น้ำเชื่อมกลิ่นคาราเมล 730 มล. x1 ขวด</v>
      </c>
      <c r="K369" s="80" t="str">
        <f t="shared" si="3"/>
        <v>LongBeach Syrup CARAMEL SYRUP 730 ml x1 bottle</v>
      </c>
      <c r="L369" s="41">
        <v>730</v>
      </c>
      <c r="M369" s="41" t="s">
        <v>66</v>
      </c>
      <c r="N369" s="41" t="str">
        <f>VLOOKUP(M:M,Unit!B:C,2,0)</f>
        <v>ml</v>
      </c>
      <c r="O369" s="41" t="s">
        <v>67</v>
      </c>
      <c r="P369" s="41">
        <v>1</v>
      </c>
      <c r="Q369" s="41" t="s">
        <v>95</v>
      </c>
      <c r="R369" s="41" t="str">
        <f>VLOOKUP(Q:Q,Unit!B:D,2,0)</f>
        <v>bottle</v>
      </c>
      <c r="S369" s="41" t="s">
        <v>75</v>
      </c>
      <c r="T369" s="41" t="str">
        <f>VLOOKUP(S:S,Promo!B:D,2,0)</f>
        <v>Promo EN</v>
      </c>
      <c r="W369" s="41">
        <v>140</v>
      </c>
      <c r="X369" s="41">
        <v>130</v>
      </c>
      <c r="AB369" s="41" t="s">
        <v>2054</v>
      </c>
      <c r="AG369" s="41" t="s">
        <v>71</v>
      </c>
      <c r="AH369" s="41" t="s">
        <v>71</v>
      </c>
      <c r="AI369" s="41" t="s">
        <v>71</v>
      </c>
      <c r="AJ369" s="41" t="s">
        <v>71</v>
      </c>
      <c r="AK369" s="41" t="s">
        <v>71</v>
      </c>
      <c r="AL369" s="41" t="s">
        <v>71</v>
      </c>
      <c r="AU369" s="41" t="s">
        <v>4172</v>
      </c>
      <c r="AV369" s="41" t="s">
        <v>2215</v>
      </c>
      <c r="BS369" s="41" t="s">
        <v>2058</v>
      </c>
      <c r="BT369" s="41" t="s">
        <v>72</v>
      </c>
      <c r="BW369" s="41" t="s">
        <v>72</v>
      </c>
      <c r="BX369" s="41">
        <f>VLOOKUP(B:B,Brand!B:D,3,0)</f>
        <v>1422</v>
      </c>
      <c r="BY369" s="41">
        <f>VLOOKUP(M:M,Unit!B:D,3,0)</f>
        <v>4</v>
      </c>
      <c r="BZ369" s="41">
        <f>VLOOKUP(S:S,Promo!B:D,3,0)</f>
        <v>0</v>
      </c>
    </row>
    <row r="370" spans="1:78" s="41" customFormat="1" ht="15.75" customHeight="1">
      <c r="A370" s="41">
        <v>810423</v>
      </c>
      <c r="B370" s="41" t="s">
        <v>5266</v>
      </c>
      <c r="C370" s="65" t="str">
        <f>VLOOKUP(B:B,Brand!B:C,2,0)</f>
        <v>LongBeach Syrup</v>
      </c>
      <c r="D370" s="63">
        <f>VLOOKUP(E:E,'Product Category'!J:O,6,FALSE)</f>
        <v>210</v>
      </c>
      <c r="E370" s="41" t="s">
        <v>2106</v>
      </c>
      <c r="F370" s="63" t="str">
        <f>VLOOKUP(E:E,'Product Category'!J:K,2,FALSE)</f>
        <v>43-Home Baking &amp; Sugar</v>
      </c>
      <c r="G370" s="63" t="str">
        <f>VLOOKUP(F:F,'Product Category'!K:L,2,FALSE)</f>
        <v>6-Dry Food / Dry Groceries</v>
      </c>
      <c r="H370" s="41" t="s">
        <v>4173</v>
      </c>
      <c r="I370" s="41" t="s">
        <v>4174</v>
      </c>
      <c r="J370" s="65" t="str">
        <f t="shared" si="2"/>
        <v>ลองบีชไซรัป น้ำเชื่อมกลิ่นวานิลลา 730 มล. x1 ขวด</v>
      </c>
      <c r="K370" s="80" t="str">
        <f t="shared" si="3"/>
        <v>LongBeach Syrup VANILLA SYRUP 730 ml x1 bottle</v>
      </c>
      <c r="L370" s="41">
        <v>730</v>
      </c>
      <c r="M370" s="41" t="s">
        <v>66</v>
      </c>
      <c r="N370" s="41" t="str">
        <f>VLOOKUP(M:M,Unit!B:C,2,0)</f>
        <v>ml</v>
      </c>
      <c r="O370" s="41" t="s">
        <v>67</v>
      </c>
      <c r="P370" s="41">
        <v>1</v>
      </c>
      <c r="Q370" s="41" t="s">
        <v>95</v>
      </c>
      <c r="R370" s="41" t="str">
        <f>VLOOKUP(Q:Q,Unit!B:D,2,0)</f>
        <v>bottle</v>
      </c>
      <c r="S370" s="41" t="s">
        <v>75</v>
      </c>
      <c r="T370" s="41" t="str">
        <f>VLOOKUP(S:S,Promo!B:D,2,0)</f>
        <v>Promo EN</v>
      </c>
      <c r="W370" s="41">
        <v>140</v>
      </c>
      <c r="X370" s="41">
        <v>130</v>
      </c>
      <c r="AB370" s="41" t="s">
        <v>2054</v>
      </c>
      <c r="AG370" s="41" t="s">
        <v>71</v>
      </c>
      <c r="AH370" s="41" t="s">
        <v>71</v>
      </c>
      <c r="AI370" s="41" t="s">
        <v>71</v>
      </c>
      <c r="AJ370" s="41" t="s">
        <v>71</v>
      </c>
      <c r="AK370" s="41" t="s">
        <v>71</v>
      </c>
      <c r="AL370" s="41" t="s">
        <v>71</v>
      </c>
      <c r="AU370" s="41" t="s">
        <v>4175</v>
      </c>
      <c r="AV370" s="41" t="s">
        <v>2200</v>
      </c>
      <c r="BS370" s="41" t="s">
        <v>2058</v>
      </c>
      <c r="BT370" s="41" t="s">
        <v>72</v>
      </c>
      <c r="BW370" s="41" t="s">
        <v>72</v>
      </c>
      <c r="BX370" s="41">
        <f>VLOOKUP(B:B,Brand!B:D,3,0)</f>
        <v>1422</v>
      </c>
      <c r="BY370" s="41">
        <f>VLOOKUP(M:M,Unit!B:D,3,0)</f>
        <v>4</v>
      </c>
      <c r="BZ370" s="41">
        <f>VLOOKUP(S:S,Promo!B:D,3,0)</f>
        <v>0</v>
      </c>
    </row>
    <row r="371" spans="1:78" s="41" customFormat="1" ht="15.75" customHeight="1">
      <c r="A371" s="41">
        <v>810424</v>
      </c>
      <c r="B371" s="41" t="s">
        <v>5266</v>
      </c>
      <c r="C371" s="65" t="str">
        <f>VLOOKUP(B:B,Brand!B:C,2,0)</f>
        <v>LongBeach Syrup</v>
      </c>
      <c r="D371" s="63">
        <f>VLOOKUP(E:E,'Product Category'!J:O,6,FALSE)</f>
        <v>210</v>
      </c>
      <c r="E371" s="41" t="s">
        <v>2106</v>
      </c>
      <c r="F371" s="63" t="str">
        <f>VLOOKUP(E:E,'Product Category'!J:K,2,FALSE)</f>
        <v>43-Home Baking &amp; Sugar</v>
      </c>
      <c r="G371" s="63" t="str">
        <f>VLOOKUP(F:F,'Product Category'!K:L,2,FALSE)</f>
        <v>6-Dry Food / Dry Groceries</v>
      </c>
      <c r="H371" s="41" t="s">
        <v>4176</v>
      </c>
      <c r="I371" s="41" t="s">
        <v>4177</v>
      </c>
      <c r="J371" s="65" t="str">
        <f t="shared" si="2"/>
        <v>ลองบีชไซรัป น้ำเชื่อมกลิ่นเฮเซลนัท 730 มล. x1 ขวด</v>
      </c>
      <c r="K371" s="80" t="str">
        <f t="shared" si="3"/>
        <v>LongBeach Syrup HEZELNUT SYRUP 730 ml x1 bottle</v>
      </c>
      <c r="L371" s="41">
        <v>730</v>
      </c>
      <c r="M371" s="41" t="s">
        <v>66</v>
      </c>
      <c r="N371" s="41" t="str">
        <f>VLOOKUP(M:M,Unit!B:C,2,0)</f>
        <v>ml</v>
      </c>
      <c r="O371" s="41" t="s">
        <v>67</v>
      </c>
      <c r="P371" s="41">
        <v>1</v>
      </c>
      <c r="Q371" s="41" t="s">
        <v>95</v>
      </c>
      <c r="R371" s="41" t="str">
        <f>VLOOKUP(Q:Q,Unit!B:D,2,0)</f>
        <v>bottle</v>
      </c>
      <c r="S371" s="41" t="s">
        <v>75</v>
      </c>
      <c r="T371" s="41" t="str">
        <f>VLOOKUP(S:S,Promo!B:D,2,0)</f>
        <v>Promo EN</v>
      </c>
      <c r="W371" s="41">
        <v>140</v>
      </c>
      <c r="X371" s="41">
        <v>130</v>
      </c>
      <c r="AB371" s="41" t="s">
        <v>2054</v>
      </c>
      <c r="AG371" s="41" t="s">
        <v>71</v>
      </c>
      <c r="AH371" s="41" t="s">
        <v>71</v>
      </c>
      <c r="AI371" s="41" t="s">
        <v>71</v>
      </c>
      <c r="AJ371" s="41" t="s">
        <v>71</v>
      </c>
      <c r="AK371" s="41" t="s">
        <v>71</v>
      </c>
      <c r="AL371" s="41" t="s">
        <v>71</v>
      </c>
      <c r="AU371" s="41" t="s">
        <v>4178</v>
      </c>
      <c r="AV371" s="41" t="s">
        <v>4179</v>
      </c>
      <c r="BS371" s="41" t="s">
        <v>2058</v>
      </c>
      <c r="BT371" s="41" t="s">
        <v>72</v>
      </c>
      <c r="BW371" s="41" t="s">
        <v>72</v>
      </c>
      <c r="BX371" s="41">
        <f>VLOOKUP(B:B,Brand!B:D,3,0)</f>
        <v>1422</v>
      </c>
      <c r="BY371" s="41">
        <f>VLOOKUP(M:M,Unit!B:D,3,0)</f>
        <v>4</v>
      </c>
      <c r="BZ371" s="41">
        <f>VLOOKUP(S:S,Promo!B:D,3,0)</f>
        <v>0</v>
      </c>
    </row>
    <row r="372" spans="1:78" s="41" customFormat="1" ht="15.75" customHeight="1">
      <c r="A372" s="41">
        <v>229772</v>
      </c>
      <c r="B372" s="41" t="s">
        <v>1370</v>
      </c>
      <c r="C372" s="65" t="str">
        <f>VLOOKUP(B:B,Brand!B:C,2,0)</f>
        <v>Hi-Q</v>
      </c>
      <c r="H372" s="41" t="s">
        <v>3382</v>
      </c>
      <c r="I372" s="41" t="s">
        <v>3383</v>
      </c>
      <c r="J372" s="41" t="s">
        <v>4507</v>
      </c>
      <c r="K372" s="41" t="s">
        <v>4508</v>
      </c>
      <c r="L372" s="41">
        <v>3000</v>
      </c>
      <c r="M372" s="41" t="s">
        <v>83</v>
      </c>
      <c r="N372" s="41" t="str">
        <f>VLOOKUP(M:M,Unit!B:C,2,0)</f>
        <v>g</v>
      </c>
      <c r="O372" s="41" t="s">
        <v>67</v>
      </c>
      <c r="P372" s="41">
        <v>1</v>
      </c>
      <c r="Q372" s="41" t="s">
        <v>68</v>
      </c>
      <c r="R372" s="41" t="str">
        <f>VLOOKUP(Q:Q,Unit!B:D,2,0)</f>
        <v>pc</v>
      </c>
      <c r="S372" s="41" t="s">
        <v>75</v>
      </c>
      <c r="T372" s="41" t="str">
        <f>VLOOKUP(S:S,Promo!B:D,2,0)</f>
        <v>Promo EN</v>
      </c>
      <c r="W372" s="41">
        <v>1564</v>
      </c>
      <c r="X372" s="41">
        <v>1525</v>
      </c>
      <c r="AB372" s="41" t="s">
        <v>91</v>
      </c>
      <c r="AF372" s="41" t="s">
        <v>3373</v>
      </c>
      <c r="AG372" s="41" t="s">
        <v>71</v>
      </c>
      <c r="AH372" s="41" t="s">
        <v>71</v>
      </c>
      <c r="AI372" s="41" t="s">
        <v>71</v>
      </c>
      <c r="AJ372" s="41" t="s">
        <v>71</v>
      </c>
      <c r="AK372" s="41" t="s">
        <v>71</v>
      </c>
      <c r="AL372" s="41" t="s">
        <v>71</v>
      </c>
      <c r="AP372" s="41" t="s">
        <v>3384</v>
      </c>
      <c r="BS372" s="41" t="s">
        <v>2058</v>
      </c>
      <c r="BT372" s="41" t="s">
        <v>72</v>
      </c>
      <c r="BW372" s="41" t="s">
        <v>72</v>
      </c>
      <c r="BX372" s="41">
        <f>VLOOKUP(B:B,Brand!B:D,3,0)</f>
        <v>754</v>
      </c>
      <c r="BY372" s="41">
        <f>VLOOKUP(M:M,Unit!B:D,3,0)</f>
        <v>1</v>
      </c>
      <c r="BZ372" s="41">
        <f>VLOOKUP(S:S,Promo!B:D,3,0)</f>
        <v>0</v>
      </c>
    </row>
    <row r="373" spans="1:78" s="41" customFormat="1" ht="15.75" customHeight="1">
      <c r="A373" s="41">
        <v>168639</v>
      </c>
      <c r="B373" s="41" t="s">
        <v>491</v>
      </c>
      <c r="C373" s="65" t="str">
        <f>VLOOKUP(B:B,Brand!B:C,2,0)</f>
        <v>Certainty</v>
      </c>
      <c r="H373" s="41" t="s">
        <v>3394</v>
      </c>
      <c r="I373" s="41" t="s">
        <v>3395</v>
      </c>
      <c r="J373" s="41" t="s">
        <v>4513</v>
      </c>
      <c r="K373" s="41" t="s">
        <v>4514</v>
      </c>
      <c r="L373" s="41">
        <v>28</v>
      </c>
      <c r="M373" s="41" t="s">
        <v>68</v>
      </c>
      <c r="N373" s="41" t="str">
        <f>VLOOKUP(M:M,Unit!B:C,2,0)</f>
        <v>pc</v>
      </c>
      <c r="O373" s="41" t="s">
        <v>67</v>
      </c>
      <c r="P373" s="41">
        <v>1</v>
      </c>
      <c r="Q373" s="41" t="s">
        <v>179</v>
      </c>
      <c r="R373" s="41" t="str">
        <f>VLOOKUP(Q:Q,Unit!B:D,2,0)</f>
        <v>pack</v>
      </c>
      <c r="S373" s="41" t="s">
        <v>75</v>
      </c>
      <c r="T373" s="41" t="str">
        <f>VLOOKUP(S:S,Promo!B:D,2,0)</f>
        <v>Promo EN</v>
      </c>
      <c r="W373" s="41">
        <v>423</v>
      </c>
      <c r="X373" s="41">
        <v>383</v>
      </c>
      <c r="AB373" s="41" t="s">
        <v>91</v>
      </c>
      <c r="AF373" s="41" t="s">
        <v>3373</v>
      </c>
      <c r="AG373" s="41" t="s">
        <v>71</v>
      </c>
      <c r="AH373" s="41" t="s">
        <v>71</v>
      </c>
      <c r="AI373" s="41" t="s">
        <v>71</v>
      </c>
      <c r="AJ373" s="41" t="s">
        <v>71</v>
      </c>
      <c r="AK373" s="41" t="s">
        <v>71</v>
      </c>
      <c r="AL373" s="41" t="s">
        <v>71</v>
      </c>
      <c r="AP373" s="41" t="s">
        <v>3396</v>
      </c>
      <c r="AS373" s="41" t="s">
        <v>2131</v>
      </c>
      <c r="AT373" s="41" t="s">
        <v>3397</v>
      </c>
      <c r="BS373" s="41" t="s">
        <v>2058</v>
      </c>
      <c r="BT373" s="41" t="s">
        <v>72</v>
      </c>
      <c r="BW373" s="41" t="s">
        <v>72</v>
      </c>
      <c r="BX373" s="41">
        <f>VLOOKUP(B:B,Brand!B:D,3,0)</f>
        <v>190</v>
      </c>
      <c r="BY373" s="41">
        <f>VLOOKUP(M:M,Unit!B:D,3,0)</f>
        <v>3</v>
      </c>
      <c r="BZ373" s="41">
        <f>VLOOKUP(S:S,Promo!B:D,3,0)</f>
        <v>0</v>
      </c>
    </row>
    <row r="374" spans="1:78" s="41" customFormat="1" ht="15.75" customHeight="1">
      <c r="A374" s="41">
        <v>112881</v>
      </c>
      <c r="B374" s="41" t="s">
        <v>678</v>
      </c>
      <c r="C374" s="65" t="str">
        <f>VLOOKUP(B:B,Brand!B:C,2,0)</f>
        <v>Nivea</v>
      </c>
      <c r="H374" s="41" t="s">
        <v>3398</v>
      </c>
      <c r="I374" s="41" t="s">
        <v>3399</v>
      </c>
      <c r="J374" s="41" t="s">
        <v>4515</v>
      </c>
      <c r="K374" s="41" t="s">
        <v>4516</v>
      </c>
      <c r="L374" s="41">
        <v>8</v>
      </c>
      <c r="M374" s="41" t="s">
        <v>66</v>
      </c>
      <c r="N374" s="41" t="str">
        <f>VLOOKUP(M:M,Unit!B:C,2,0)</f>
        <v>ml</v>
      </c>
      <c r="O374" s="41" t="s">
        <v>67</v>
      </c>
      <c r="P374" s="41">
        <v>6</v>
      </c>
      <c r="Q374" s="41" t="s">
        <v>68</v>
      </c>
      <c r="R374" s="41" t="str">
        <f>VLOOKUP(Q:Q,Unit!B:D,2,0)</f>
        <v>pc</v>
      </c>
      <c r="S374" s="41" t="s">
        <v>75</v>
      </c>
      <c r="T374" s="41" t="str">
        <f>VLOOKUP(S:S,Promo!B:D,2,0)</f>
        <v>Promo EN</v>
      </c>
      <c r="W374" s="41">
        <v>67</v>
      </c>
      <c r="X374" s="41">
        <v>51</v>
      </c>
      <c r="AB374" s="41" t="s">
        <v>91</v>
      </c>
      <c r="AF374" s="41" t="s">
        <v>3373</v>
      </c>
      <c r="AG374" s="41" t="s">
        <v>71</v>
      </c>
      <c r="AH374" s="41" t="s">
        <v>71</v>
      </c>
      <c r="AI374" s="41" t="s">
        <v>71</v>
      </c>
      <c r="AJ374" s="41" t="s">
        <v>71</v>
      </c>
      <c r="AK374" s="41" t="s">
        <v>71</v>
      </c>
      <c r="AL374" s="41" t="s">
        <v>71</v>
      </c>
      <c r="AP374" s="41" t="s">
        <v>3400</v>
      </c>
      <c r="BS374" s="41" t="s">
        <v>2058</v>
      </c>
      <c r="BT374" s="41" t="s">
        <v>72</v>
      </c>
      <c r="BW374" s="41" t="s">
        <v>72</v>
      </c>
      <c r="BX374" s="41">
        <f>VLOOKUP(B:B,Brand!B:D,3,0)</f>
        <v>307</v>
      </c>
      <c r="BY374" s="41">
        <f>VLOOKUP(M:M,Unit!B:D,3,0)</f>
        <v>4</v>
      </c>
      <c r="BZ374" s="41">
        <f>VLOOKUP(S:S,Promo!B:D,3,0)</f>
        <v>0</v>
      </c>
    </row>
    <row r="375" spans="1:78" s="41" customFormat="1" ht="15.75" customHeight="1">
      <c r="A375" s="41">
        <v>91624</v>
      </c>
      <c r="B375" s="41" t="s">
        <v>2511</v>
      </c>
      <c r="C375" s="65" t="str">
        <f>VLOOKUP(B:B,Brand!B:C,2,0)</f>
        <v>Listerine</v>
      </c>
      <c r="H375" s="41" t="s">
        <v>3401</v>
      </c>
      <c r="I375" s="41" t="s">
        <v>3402</v>
      </c>
      <c r="J375" s="65" t="str">
        <f>TRIM(CONCATENATE(B375," ",H375," ",L375," ",M375," ",O375,P375," ",Q375))</f>
        <v>ลิสเตอร์รีน คูลมินต์ น้ำยาบ้วนปาก 250 มล. x3 ชิ้น</v>
      </c>
      <c r="K375" s="80" t="str">
        <f>TRIM(CONCATENATE(C375," ",I375," ",L375," ",N375," ",O375,P375," ",R375))</f>
        <v>Listerine COOLMINT Mouth Wash 250 ml x3 pc</v>
      </c>
      <c r="L375" s="41">
        <v>250</v>
      </c>
      <c r="M375" s="41" t="s">
        <v>66</v>
      </c>
      <c r="N375" s="41" t="str">
        <f>VLOOKUP(M:M,Unit!B:C,2,0)</f>
        <v>ml</v>
      </c>
      <c r="O375" s="41" t="s">
        <v>67</v>
      </c>
      <c r="P375" s="41">
        <v>3</v>
      </c>
      <c r="Q375" s="41" t="s">
        <v>68</v>
      </c>
      <c r="R375" s="41" t="str">
        <f>VLOOKUP(Q:Q,Unit!B:D,2,0)</f>
        <v>pc</v>
      </c>
      <c r="S375" s="41" t="s">
        <v>75</v>
      </c>
      <c r="T375" s="41" t="str">
        <f>VLOOKUP(S:S,Promo!B:D,2,0)</f>
        <v>Promo EN</v>
      </c>
      <c r="W375" s="41">
        <v>168</v>
      </c>
      <c r="X375" s="41">
        <v>165</v>
      </c>
      <c r="AB375" s="41" t="s">
        <v>91</v>
      </c>
      <c r="AF375" s="41" t="s">
        <v>3373</v>
      </c>
      <c r="AG375" s="41" t="s">
        <v>71</v>
      </c>
      <c r="AH375" s="41" t="s">
        <v>71</v>
      </c>
      <c r="AI375" s="41" t="s">
        <v>71</v>
      </c>
      <c r="AJ375" s="41" t="s">
        <v>71</v>
      </c>
      <c r="AK375" s="41" t="s">
        <v>71</v>
      </c>
      <c r="AL375" s="41" t="s">
        <v>71</v>
      </c>
      <c r="AP375" s="41" t="s">
        <v>3403</v>
      </c>
      <c r="BS375" s="41" t="s">
        <v>2058</v>
      </c>
      <c r="BT375" s="41" t="s">
        <v>72</v>
      </c>
      <c r="BW375" s="41" t="s">
        <v>72</v>
      </c>
      <c r="BX375" s="41">
        <f>VLOOKUP(B:B,Brand!B:D,3,0)</f>
        <v>575</v>
      </c>
      <c r="BY375" s="41">
        <f>VLOOKUP(M:M,Unit!B:D,3,0)</f>
        <v>4</v>
      </c>
      <c r="BZ375" s="41">
        <f>VLOOKUP(S:S,Promo!B:D,3,0)</f>
        <v>0</v>
      </c>
    </row>
    <row r="376" spans="1:78" s="41" customFormat="1" ht="15.75" customHeight="1">
      <c r="A376" s="41">
        <v>171790</v>
      </c>
      <c r="B376" s="41" t="s">
        <v>1040</v>
      </c>
      <c r="C376" s="65" t="str">
        <f>VLOOKUP(B:B,Brand!B:C,2,0)</f>
        <v>Rejoice</v>
      </c>
      <c r="H376" s="41" t="s">
        <v>3404</v>
      </c>
      <c r="I376" s="41" t="s">
        <v>3405</v>
      </c>
      <c r="J376" s="65" t="str">
        <f>TRIM(CONCATENATE(B376," ",H376," ",L376," ",M376," ",O376,P376," ",Q376))</f>
        <v>รีจอยส์ ริช แชมพู 70 มล. x6 ขวด</v>
      </c>
      <c r="K376" s="80" t="str">
        <f>TRIM(CONCATENATE(C376," ",I376," ",L376," ",N376," ",O376,P376," ",R376))</f>
        <v>Rejoice RICH SHAMPOO 70 ml x6 bottle</v>
      </c>
      <c r="L376" s="41">
        <v>70</v>
      </c>
      <c r="M376" s="41" t="s">
        <v>66</v>
      </c>
      <c r="N376" s="41" t="str">
        <f>VLOOKUP(M:M,Unit!B:C,2,0)</f>
        <v>ml</v>
      </c>
      <c r="O376" s="41" t="s">
        <v>67</v>
      </c>
      <c r="P376" s="41">
        <v>6</v>
      </c>
      <c r="Q376" s="41" t="s">
        <v>95</v>
      </c>
      <c r="R376" s="41" t="str">
        <f>VLOOKUP(Q:Q,Unit!B:D,2,0)</f>
        <v>bottle</v>
      </c>
      <c r="S376" s="41" t="s">
        <v>75</v>
      </c>
      <c r="T376" s="41" t="str">
        <f>VLOOKUP(S:S,Promo!B:D,2,0)</f>
        <v>Promo EN</v>
      </c>
      <c r="W376" s="41">
        <v>94</v>
      </c>
      <c r="X376" s="41">
        <v>88</v>
      </c>
      <c r="AB376" s="41" t="s">
        <v>91</v>
      </c>
      <c r="AF376" s="41" t="s">
        <v>3373</v>
      </c>
      <c r="AG376" s="41" t="s">
        <v>71</v>
      </c>
      <c r="AH376" s="41" t="s">
        <v>71</v>
      </c>
      <c r="AI376" s="41" t="s">
        <v>71</v>
      </c>
      <c r="AJ376" s="41" t="s">
        <v>71</v>
      </c>
      <c r="AK376" s="41" t="s">
        <v>71</v>
      </c>
      <c r="AL376" s="41" t="s">
        <v>71</v>
      </c>
      <c r="AP376" s="41" t="s">
        <v>3406</v>
      </c>
      <c r="BS376" s="41" t="s">
        <v>2058</v>
      </c>
      <c r="BT376" s="41" t="s">
        <v>72</v>
      </c>
      <c r="BW376" s="41" t="s">
        <v>72</v>
      </c>
      <c r="BX376" s="41">
        <f>VLOOKUP(B:B,Brand!B:D,3,0)</f>
        <v>552</v>
      </c>
      <c r="BY376" s="41">
        <f>VLOOKUP(M:M,Unit!B:D,3,0)</f>
        <v>4</v>
      </c>
      <c r="BZ376" s="41">
        <f>VLOOKUP(S:S,Promo!B:D,3,0)</f>
        <v>0</v>
      </c>
    </row>
    <row r="377" spans="1:78" s="41" customFormat="1" ht="15.75" customHeight="1">
      <c r="A377" s="41">
        <v>146642</v>
      </c>
      <c r="B377" s="41" t="s">
        <v>2525</v>
      </c>
      <c r="C377" s="65" t="str">
        <f>VLOOKUP(B:B,Brand!B:C,2,0)</f>
        <v xml:space="preserve">Gillette </v>
      </c>
      <c r="H377" s="41" t="s">
        <v>3407</v>
      </c>
      <c r="I377" s="41" t="s">
        <v>3408</v>
      </c>
      <c r="J377" s="65" t="str">
        <f>TRIM(CONCATENATE(B377," ",H377," ",L377," ",M377," ",O377,P377," ",Q377))</f>
        <v>ยินเลตต์ บลูทูพลัส ด้ามมีด 12 ด้าม x1 แพ็ค</v>
      </c>
      <c r="K377" s="80" t="str">
        <f>TRIM(CONCATENATE(C377," ",I377," ",L377," ",N377," ",O377,P377," ",R377))</f>
        <v>Gillette Blue II Plus Disposable Razor 12 pc x1 pack</v>
      </c>
      <c r="L377" s="41">
        <v>12</v>
      </c>
      <c r="M377" s="41" t="s">
        <v>1805</v>
      </c>
      <c r="N377" s="41" t="str">
        <f>VLOOKUP(M:M,Unit!B:C,2,0)</f>
        <v>pc</v>
      </c>
      <c r="O377" s="41" t="s">
        <v>67</v>
      </c>
      <c r="P377" s="41">
        <v>1</v>
      </c>
      <c r="Q377" s="41" t="s">
        <v>179</v>
      </c>
      <c r="R377" s="41" t="str">
        <f>VLOOKUP(Q:Q,Unit!B:D,2,0)</f>
        <v>pack</v>
      </c>
      <c r="S377" s="41" t="s">
        <v>75</v>
      </c>
      <c r="T377" s="41" t="str">
        <f>VLOOKUP(S:S,Promo!B:D,2,0)</f>
        <v>Promo EN</v>
      </c>
      <c r="W377" s="41">
        <v>228</v>
      </c>
      <c r="X377" s="41">
        <v>215</v>
      </c>
      <c r="AB377" s="41" t="s">
        <v>91</v>
      </c>
      <c r="AF377" s="41" t="s">
        <v>3373</v>
      </c>
      <c r="AG377" s="41" t="s">
        <v>71</v>
      </c>
      <c r="AH377" s="41" t="s">
        <v>71</v>
      </c>
      <c r="AI377" s="41" t="s">
        <v>71</v>
      </c>
      <c r="AJ377" s="41" t="s">
        <v>71</v>
      </c>
      <c r="AK377" s="41" t="s">
        <v>71</v>
      </c>
      <c r="AL377" s="41" t="s">
        <v>71</v>
      </c>
      <c r="AP377" s="41" t="s">
        <v>3406</v>
      </c>
      <c r="AU377" s="41" t="s">
        <v>3409</v>
      </c>
      <c r="AV377" s="41" t="s">
        <v>3410</v>
      </c>
      <c r="BS377" s="41" t="s">
        <v>2058</v>
      </c>
      <c r="BT377" s="41" t="s">
        <v>72</v>
      </c>
      <c r="BW377" s="41" t="s">
        <v>72</v>
      </c>
      <c r="BX377" s="41">
        <f>VLOOKUP(B:B,Brand!B:D,3,0)</f>
        <v>889</v>
      </c>
      <c r="BY377" s="41">
        <f>VLOOKUP(M:M,Unit!B:D,3,0)</f>
        <v>26</v>
      </c>
      <c r="BZ377" s="41">
        <f>VLOOKUP(S:S,Promo!B:D,3,0)</f>
        <v>0</v>
      </c>
    </row>
    <row r="378" spans="1:78" s="41" customFormat="1" ht="15.75" customHeight="1">
      <c r="A378" s="41">
        <v>821151</v>
      </c>
      <c r="B378" s="41" t="s">
        <v>1915</v>
      </c>
      <c r="C378" s="65" t="str">
        <f>VLOOKUP(B:B,Brand!B:C,2,0)</f>
        <v>Lay</v>
      </c>
      <c r="H378" s="41" t="s">
        <v>3411</v>
      </c>
      <c r="I378" s="41" t="s">
        <v>3412</v>
      </c>
      <c r="J378" s="41" t="s">
        <v>4517</v>
      </c>
      <c r="K378" s="41" t="s">
        <v>4518</v>
      </c>
      <c r="L378" s="41">
        <v>50</v>
      </c>
      <c r="M378" s="41" t="s">
        <v>83</v>
      </c>
      <c r="N378" s="41" t="str">
        <f>VLOOKUP(M:M,Unit!B:C,2,0)</f>
        <v>g</v>
      </c>
      <c r="O378" s="41" t="s">
        <v>67</v>
      </c>
      <c r="P378" s="41">
        <v>6</v>
      </c>
      <c r="Q378" s="41" t="s">
        <v>2153</v>
      </c>
      <c r="R378" s="41" t="str">
        <f>VLOOKUP(Q:Q,Unit!B:D,2,0)</f>
        <v>unit</v>
      </c>
      <c r="S378" s="41" t="s">
        <v>212</v>
      </c>
      <c r="T378" s="41" t="str">
        <f>VLOOKUP(S:S,Promo!B:D,2,0)</f>
        <v>New</v>
      </c>
      <c r="X378" s="41">
        <v>103</v>
      </c>
      <c r="AB378" s="41" t="s">
        <v>91</v>
      </c>
      <c r="AF378" s="41" t="s">
        <v>3373</v>
      </c>
      <c r="AG378" s="41" t="s">
        <v>71</v>
      </c>
      <c r="AH378" s="41" t="s">
        <v>71</v>
      </c>
      <c r="AI378" s="41" t="s">
        <v>71</v>
      </c>
      <c r="AJ378" s="41" t="s">
        <v>71</v>
      </c>
      <c r="AK378" s="41" t="s">
        <v>71</v>
      </c>
      <c r="AL378" s="41" t="s">
        <v>71</v>
      </c>
      <c r="AP378" s="41" t="s">
        <v>3413</v>
      </c>
      <c r="AU378" s="41" t="s">
        <v>2342</v>
      </c>
      <c r="AV378" s="41" t="s">
        <v>2343</v>
      </c>
      <c r="BS378" s="41" t="s">
        <v>2058</v>
      </c>
      <c r="BT378" s="41" t="s">
        <v>72</v>
      </c>
      <c r="BW378" s="41" t="s">
        <v>72</v>
      </c>
      <c r="BX378" s="41">
        <f>VLOOKUP(B:B,Brand!B:D,3,0)</f>
        <v>909</v>
      </c>
      <c r="BY378" s="41">
        <f>VLOOKUP(M:M,Unit!B:D,3,0)</f>
        <v>1</v>
      </c>
      <c r="BZ378" s="41">
        <f>VLOOKUP(S:S,Promo!B:D,3,0)</f>
        <v>29</v>
      </c>
    </row>
    <row r="379" spans="1:78" s="41" customFormat="1" ht="15.75" customHeight="1">
      <c r="A379" s="41">
        <v>333981</v>
      </c>
      <c r="B379" s="41" t="s">
        <v>201</v>
      </c>
      <c r="C379" s="65" t="str">
        <f>VLOOKUP(B:B,Brand!B:C,2,0)</f>
        <v>Toshiba</v>
      </c>
      <c r="H379" s="41" t="s">
        <v>3427</v>
      </c>
      <c r="I379" s="41" t="s">
        <v>3428</v>
      </c>
      <c r="J379" s="41" t="s">
        <v>4525</v>
      </c>
      <c r="K379" s="41" t="s">
        <v>4526</v>
      </c>
      <c r="L379" s="41">
        <v>1</v>
      </c>
      <c r="M379" s="41" t="s">
        <v>93</v>
      </c>
      <c r="N379" s="41" t="str">
        <f>VLOOKUP(M:M,Unit!B:C,2,0)</f>
        <v>unit</v>
      </c>
      <c r="O379" s="41" t="s">
        <v>67</v>
      </c>
      <c r="P379" s="41">
        <v>1</v>
      </c>
      <c r="Q379" s="41" t="s">
        <v>68</v>
      </c>
      <c r="R379" s="41" t="str">
        <f>VLOOKUP(Q:Q,Unit!B:D,2,0)</f>
        <v>pc</v>
      </c>
      <c r="S379" s="41" t="s">
        <v>75</v>
      </c>
      <c r="T379" s="41" t="str">
        <f>VLOOKUP(S:S,Promo!B:D,2,0)</f>
        <v>Promo EN</v>
      </c>
      <c r="W379" s="41">
        <v>6790</v>
      </c>
      <c r="X379" s="41">
        <v>5790</v>
      </c>
      <c r="AB379" s="41" t="s">
        <v>91</v>
      </c>
      <c r="AE379" s="41" t="s">
        <v>3429</v>
      </c>
      <c r="AF379" s="41" t="s">
        <v>3373</v>
      </c>
      <c r="AG379" s="41" t="s">
        <v>71</v>
      </c>
      <c r="AH379" s="41" t="s">
        <v>71</v>
      </c>
      <c r="AI379" s="41" t="s">
        <v>71</v>
      </c>
      <c r="AJ379" s="41" t="s">
        <v>71</v>
      </c>
      <c r="AK379" s="41" t="s">
        <v>71</v>
      </c>
      <c r="AL379" s="41" t="s">
        <v>71</v>
      </c>
      <c r="AS379" s="41" t="s">
        <v>3430</v>
      </c>
      <c r="AT379" s="41" t="s">
        <v>3431</v>
      </c>
      <c r="BS379" s="41" t="s">
        <v>2058</v>
      </c>
      <c r="BT379" s="41" t="s">
        <v>72</v>
      </c>
      <c r="BW379" s="41" t="s">
        <v>72</v>
      </c>
      <c r="BX379" s="41">
        <f>VLOOKUP(B:B,Brand!B:D,3,0)</f>
        <v>260</v>
      </c>
      <c r="BY379" s="41">
        <f>VLOOKUP(M:M,Unit!B:D,3,0)</f>
        <v>6</v>
      </c>
      <c r="BZ379" s="41">
        <f>VLOOKUP(S:S,Promo!B:D,3,0)</f>
        <v>0</v>
      </c>
    </row>
    <row r="380" spans="1:78" s="41" customFormat="1" ht="15.75" customHeight="1">
      <c r="A380" s="41">
        <v>220354</v>
      </c>
      <c r="B380" s="41" t="s">
        <v>202</v>
      </c>
      <c r="C380" s="65" t="str">
        <f>VLOOKUP(B:B,Brand!B:C,2,0)</f>
        <v>Hitachi</v>
      </c>
      <c r="H380" s="41" t="s">
        <v>3432</v>
      </c>
      <c r="I380" s="41" t="s">
        <v>3433</v>
      </c>
      <c r="J380" s="65" t="str">
        <f>TRIM(CONCATENATE(B380," ",H380," ",L380," ",M380," ",O380,P380," ",Q380))</f>
        <v>ฮิตาชิ ตู้เย็น 2 ประตู #RH200PA 1 เครื่อง x1 ชิ้น</v>
      </c>
      <c r="K380" s="80" t="str">
        <f>TRIM(CONCATENATE(C380," ",I380," ",L380," ",N380," ",O380,P380," ",R380))</f>
        <v>Hitachi Refrigerator 2 Doors #RH200PA 1 unit x1 pc</v>
      </c>
      <c r="L380" s="41">
        <v>1</v>
      </c>
      <c r="M380" s="41" t="s">
        <v>93</v>
      </c>
      <c r="N380" s="41" t="str">
        <f>VLOOKUP(M:M,Unit!B:C,2,0)</f>
        <v>unit</v>
      </c>
      <c r="O380" s="41" t="s">
        <v>67</v>
      </c>
      <c r="P380" s="41">
        <v>1</v>
      </c>
      <c r="Q380" s="41" t="s">
        <v>68</v>
      </c>
      <c r="R380" s="41" t="str">
        <f>VLOOKUP(Q:Q,Unit!B:D,2,0)</f>
        <v>pc</v>
      </c>
      <c r="S380" s="41" t="s">
        <v>75</v>
      </c>
      <c r="T380" s="41" t="str">
        <f>VLOOKUP(S:S,Promo!B:D,2,0)</f>
        <v>Promo EN</v>
      </c>
      <c r="W380" s="41">
        <v>10490</v>
      </c>
      <c r="X380" s="41">
        <v>9490</v>
      </c>
      <c r="AB380" s="41" t="s">
        <v>91</v>
      </c>
      <c r="AE380" s="41" t="s">
        <v>3434</v>
      </c>
      <c r="AF380" s="41" t="s">
        <v>3373</v>
      </c>
      <c r="AG380" s="41" t="s">
        <v>71</v>
      </c>
      <c r="AH380" s="41" t="s">
        <v>71</v>
      </c>
      <c r="AI380" s="41" t="s">
        <v>71</v>
      </c>
      <c r="AJ380" s="41" t="s">
        <v>71</v>
      </c>
      <c r="AK380" s="41" t="s">
        <v>71</v>
      </c>
      <c r="AL380" s="41" t="s">
        <v>71</v>
      </c>
      <c r="AS380" s="41" t="s">
        <v>3435</v>
      </c>
      <c r="AT380" s="41" t="s">
        <v>3434</v>
      </c>
      <c r="BS380" s="41" t="s">
        <v>2058</v>
      </c>
      <c r="BT380" s="41" t="s">
        <v>72</v>
      </c>
      <c r="BW380" s="41" t="s">
        <v>72</v>
      </c>
      <c r="BX380" s="41">
        <f>VLOOKUP(B:B,Brand!B:D,3,0)</f>
        <v>744</v>
      </c>
      <c r="BY380" s="41">
        <f>VLOOKUP(M:M,Unit!B:D,3,0)</f>
        <v>6</v>
      </c>
      <c r="BZ380" s="41">
        <f>VLOOKUP(S:S,Promo!B:D,3,0)</f>
        <v>0</v>
      </c>
    </row>
    <row r="381" spans="1:78" s="41" customFormat="1" ht="15.75" customHeight="1">
      <c r="A381" s="41">
        <v>112863</v>
      </c>
      <c r="B381" s="41" t="s">
        <v>92</v>
      </c>
      <c r="C381" s="65" t="str">
        <f>VLOOKUP(B:B,Brand!B:C,2,0)</f>
        <v>LG</v>
      </c>
      <c r="H381" s="41" t="s">
        <v>3436</v>
      </c>
      <c r="I381" s="41" t="s">
        <v>3437</v>
      </c>
      <c r="J381" s="41" t="s">
        <v>4527</v>
      </c>
      <c r="K381" s="41" t="s">
        <v>4528</v>
      </c>
      <c r="L381" s="41">
        <v>1</v>
      </c>
      <c r="M381" s="41" t="s">
        <v>93</v>
      </c>
      <c r="N381" s="41" t="str">
        <f>VLOOKUP(M:M,Unit!B:C,2,0)</f>
        <v>unit</v>
      </c>
      <c r="O381" s="41" t="s">
        <v>67</v>
      </c>
      <c r="P381" s="41">
        <v>1</v>
      </c>
      <c r="Q381" s="41" t="s">
        <v>68</v>
      </c>
      <c r="R381" s="41" t="str">
        <f>VLOOKUP(Q:Q,Unit!B:D,2,0)</f>
        <v>pc</v>
      </c>
      <c r="S381" s="41" t="s">
        <v>75</v>
      </c>
      <c r="T381" s="41" t="str">
        <f>VLOOKUP(S:S,Promo!B:D,2,0)</f>
        <v>Promo EN</v>
      </c>
      <c r="W381" s="41">
        <v>8190</v>
      </c>
      <c r="X381" s="41">
        <v>7190</v>
      </c>
      <c r="AB381" s="41" t="s">
        <v>91</v>
      </c>
      <c r="AE381" s="41" t="s">
        <v>3438</v>
      </c>
      <c r="AF381" s="41" t="s">
        <v>3373</v>
      </c>
      <c r="AG381" s="41" t="s">
        <v>71</v>
      </c>
      <c r="AH381" s="41" t="s">
        <v>71</v>
      </c>
      <c r="AI381" s="41" t="s">
        <v>71</v>
      </c>
      <c r="AJ381" s="41" t="s">
        <v>71</v>
      </c>
      <c r="AK381" s="41" t="s">
        <v>71</v>
      </c>
      <c r="AL381" s="41" t="s">
        <v>71</v>
      </c>
      <c r="AS381" s="41" t="s">
        <v>3439</v>
      </c>
      <c r="AT381" s="41" t="s">
        <v>3440</v>
      </c>
      <c r="BS381" s="41" t="s">
        <v>2058</v>
      </c>
      <c r="BT381" s="41" t="s">
        <v>72</v>
      </c>
      <c r="BW381" s="41" t="s">
        <v>72</v>
      </c>
      <c r="BX381" s="41">
        <f>VLOOKUP(B:B,Brand!B:D,3,0)</f>
        <v>716</v>
      </c>
      <c r="BY381" s="41">
        <f>VLOOKUP(M:M,Unit!B:D,3,0)</f>
        <v>6</v>
      </c>
      <c r="BZ381" s="41">
        <f>VLOOKUP(S:S,Promo!B:D,3,0)</f>
        <v>0</v>
      </c>
    </row>
    <row r="382" spans="1:78" s="41" customFormat="1" ht="15.75" customHeight="1">
      <c r="A382" s="41">
        <v>197584</v>
      </c>
      <c r="B382" s="40" t="s">
        <v>3342</v>
      </c>
      <c r="C382" s="65" t="str">
        <f>VLOOKUP(B:B,Brand!B:C,2,0)</f>
        <v>Oreo</v>
      </c>
      <c r="H382" s="41" t="s">
        <v>3446</v>
      </c>
      <c r="I382" s="41" t="s">
        <v>3447</v>
      </c>
      <c r="J382" s="41" t="s">
        <v>4531</v>
      </c>
      <c r="K382" s="41" t="s">
        <v>4532</v>
      </c>
      <c r="L382" s="41">
        <v>29.4</v>
      </c>
      <c r="M382" s="41" t="s">
        <v>83</v>
      </c>
      <c r="N382" s="41" t="str">
        <f>VLOOKUP(M:M,Unit!B:C,2,0)</f>
        <v>g</v>
      </c>
      <c r="O382" s="41" t="s">
        <v>67</v>
      </c>
      <c r="P382" s="41">
        <v>12</v>
      </c>
      <c r="Q382" s="41" t="s">
        <v>154</v>
      </c>
      <c r="R382" s="41" t="str">
        <f>VLOOKUP(Q:Q,Unit!B:D,2,0)</f>
        <v>pack</v>
      </c>
      <c r="S382" s="41" t="s">
        <v>75</v>
      </c>
      <c r="T382" s="41" t="str">
        <f>VLOOKUP(S:S,Promo!B:D,2,0)</f>
        <v>Promo EN</v>
      </c>
      <c r="W382" s="41">
        <v>49.5</v>
      </c>
      <c r="X382" s="41">
        <v>46.5</v>
      </c>
      <c r="AB382" s="41" t="s">
        <v>91</v>
      </c>
      <c r="AF382" s="41" t="s">
        <v>3374</v>
      </c>
      <c r="AG382" s="41" t="s">
        <v>1845</v>
      </c>
      <c r="AH382" s="41" t="s">
        <v>71</v>
      </c>
      <c r="AI382" s="41" t="s">
        <v>71</v>
      </c>
      <c r="AJ382" s="41" t="s">
        <v>71</v>
      </c>
      <c r="AK382" s="41" t="s">
        <v>71</v>
      </c>
      <c r="AL382" s="41" t="s">
        <v>71</v>
      </c>
      <c r="AP382" s="41" t="s">
        <v>3448</v>
      </c>
      <c r="AU382" s="41" t="s">
        <v>129</v>
      </c>
      <c r="AV382" s="41" t="s">
        <v>2168</v>
      </c>
      <c r="BS382" s="41" t="s">
        <v>2058</v>
      </c>
      <c r="BT382" s="41" t="s">
        <v>72</v>
      </c>
      <c r="BW382" s="41" t="s">
        <v>72</v>
      </c>
      <c r="BX382" s="41">
        <f>VLOOKUP(B:B,Brand!B:D,3,0)</f>
        <v>724</v>
      </c>
      <c r="BY382" s="41">
        <f>VLOOKUP(M:M,Unit!B:D,3,0)</f>
        <v>1</v>
      </c>
      <c r="BZ382" s="41">
        <f>VLOOKUP(S:S,Promo!B:D,3,0)</f>
        <v>0</v>
      </c>
    </row>
    <row r="383" spans="1:78" s="41" customFormat="1" ht="15.75" customHeight="1">
      <c r="A383" s="41">
        <v>222187</v>
      </c>
      <c r="B383" s="41" t="s">
        <v>92</v>
      </c>
      <c r="C383" s="65" t="str">
        <f>VLOOKUP(B:B,Brand!B:C,2,0)</f>
        <v>LG</v>
      </c>
      <c r="H383" s="41" t="s">
        <v>3449</v>
      </c>
      <c r="I383" s="41" t="s">
        <v>3450</v>
      </c>
      <c r="J383" s="41" t="s">
        <v>4533</v>
      </c>
      <c r="K383" s="41" t="s">
        <v>4534</v>
      </c>
      <c r="L383" s="41">
        <v>1</v>
      </c>
      <c r="M383" s="41" t="s">
        <v>93</v>
      </c>
      <c r="N383" s="41" t="str">
        <f>VLOOKUP(M:M,Unit!B:C,2,0)</f>
        <v>unit</v>
      </c>
      <c r="O383" s="41" t="s">
        <v>67</v>
      </c>
      <c r="P383" s="41">
        <v>1</v>
      </c>
      <c r="Q383" s="41" t="s">
        <v>68</v>
      </c>
      <c r="R383" s="41" t="str">
        <f>VLOOKUP(Q:Q,Unit!B:D,2,0)</f>
        <v>pc</v>
      </c>
      <c r="S383" s="41" t="s">
        <v>75</v>
      </c>
      <c r="T383" s="41" t="str">
        <f>VLOOKUP(S:S,Promo!B:D,2,0)</f>
        <v>Promo EN</v>
      </c>
      <c r="W383" s="41">
        <v>9790</v>
      </c>
      <c r="X383" s="41">
        <v>8590</v>
      </c>
      <c r="AB383" s="41" t="s">
        <v>91</v>
      </c>
      <c r="AE383" s="41" t="s">
        <v>3451</v>
      </c>
      <c r="AF383" s="41" t="s">
        <v>3373</v>
      </c>
      <c r="AG383" s="41" t="s">
        <v>71</v>
      </c>
      <c r="AH383" s="41" t="s">
        <v>71</v>
      </c>
      <c r="AI383" s="41" t="s">
        <v>71</v>
      </c>
      <c r="AJ383" s="41" t="s">
        <v>71</v>
      </c>
      <c r="AK383" s="41" t="s">
        <v>71</v>
      </c>
      <c r="AL383" s="41" t="s">
        <v>71</v>
      </c>
      <c r="AS383" s="41" t="s">
        <v>3452</v>
      </c>
      <c r="AT383" s="41" t="s">
        <v>3453</v>
      </c>
      <c r="BS383" s="41" t="s">
        <v>2058</v>
      </c>
      <c r="BT383" s="41" t="s">
        <v>72</v>
      </c>
      <c r="BW383" s="41" t="s">
        <v>72</v>
      </c>
      <c r="BX383" s="41">
        <f>VLOOKUP(B:B,Brand!B:D,3,0)</f>
        <v>716</v>
      </c>
      <c r="BY383" s="41">
        <f>VLOOKUP(M:M,Unit!B:D,3,0)</f>
        <v>6</v>
      </c>
      <c r="BZ383" s="41">
        <f>VLOOKUP(S:S,Promo!B:D,3,0)</f>
        <v>0</v>
      </c>
    </row>
    <row r="384" spans="1:78" s="41" customFormat="1" ht="15.75" customHeight="1">
      <c r="A384" s="41">
        <v>55198</v>
      </c>
      <c r="B384" s="41" t="s">
        <v>587</v>
      </c>
      <c r="C384" s="65" t="str">
        <f>VLOOKUP(B:B,Brand!B:C,2,0)</f>
        <v>Horse</v>
      </c>
      <c r="H384" s="41" t="s">
        <v>3454</v>
      </c>
      <c r="I384" s="41" t="s">
        <v>3455</v>
      </c>
      <c r="J384" s="41" t="s">
        <v>4535</v>
      </c>
      <c r="K384" s="41" t="s">
        <v>4536</v>
      </c>
      <c r="L384" s="41">
        <v>12</v>
      </c>
      <c r="M384" s="41" t="s">
        <v>1805</v>
      </c>
      <c r="N384" s="41" t="str">
        <f>VLOOKUP(M:M,Unit!B:C,2,0)</f>
        <v>pc</v>
      </c>
      <c r="O384" s="41" t="s">
        <v>67</v>
      </c>
      <c r="P384" s="41">
        <v>1</v>
      </c>
      <c r="Q384" s="41" t="s">
        <v>179</v>
      </c>
      <c r="R384" s="41" t="str">
        <f>VLOOKUP(Q:Q,Unit!B:D,2,0)</f>
        <v>pack</v>
      </c>
      <c r="S384" s="41" t="s">
        <v>75</v>
      </c>
      <c r="T384" s="41" t="s">
        <v>75</v>
      </c>
      <c r="W384" s="41">
        <v>149</v>
      </c>
      <c r="X384" s="41">
        <v>125</v>
      </c>
      <c r="AB384" s="41" t="s">
        <v>91</v>
      </c>
      <c r="AF384" s="41" t="s">
        <v>3373</v>
      </c>
      <c r="AG384" s="41" t="s">
        <v>71</v>
      </c>
      <c r="AH384" s="41" t="s">
        <v>71</v>
      </c>
      <c r="AI384" s="41" t="s">
        <v>71</v>
      </c>
      <c r="AJ384" s="41" t="s">
        <v>71</v>
      </c>
      <c r="AK384" s="41" t="s">
        <v>71</v>
      </c>
      <c r="AL384" s="41" t="s">
        <v>71</v>
      </c>
      <c r="AQ384" s="41" t="s">
        <v>2083</v>
      </c>
      <c r="AR384" s="41" t="s">
        <v>3456</v>
      </c>
      <c r="BS384" s="41" t="s">
        <v>2058</v>
      </c>
      <c r="BT384" s="41" t="s">
        <v>72</v>
      </c>
      <c r="BW384" s="41" t="s">
        <v>72</v>
      </c>
      <c r="BX384" s="41">
        <f>VLOOKUP(B:B,Brand!B:D,3,0)</f>
        <v>252</v>
      </c>
      <c r="BY384" s="41">
        <f>VLOOKUP(M:M,Unit!B:D,3,0)</f>
        <v>26</v>
      </c>
      <c r="BZ384" s="41">
        <f>VLOOKUP(S:S,Promo!B:D,3,0)</f>
        <v>0</v>
      </c>
    </row>
    <row r="385" spans="1:78" s="41" customFormat="1" ht="15.75" customHeight="1">
      <c r="A385" s="41">
        <v>7462</v>
      </c>
      <c r="B385" s="41" t="s">
        <v>587</v>
      </c>
      <c r="C385" s="65" t="str">
        <f>VLOOKUP(B:B,Brand!B:C,2,0)</f>
        <v>Horse</v>
      </c>
      <c r="H385" s="41" t="s">
        <v>3457</v>
      </c>
      <c r="I385" s="41" t="s">
        <v>3458</v>
      </c>
      <c r="J385" s="41" t="s">
        <v>4537</v>
      </c>
      <c r="K385" s="41" t="s">
        <v>4538</v>
      </c>
      <c r="L385" s="41">
        <v>12</v>
      </c>
      <c r="M385" s="41" t="s">
        <v>1805</v>
      </c>
      <c r="N385" s="41" t="str">
        <f>VLOOKUP(M:M,Unit!B:C,2,0)</f>
        <v>pc</v>
      </c>
      <c r="O385" s="41" t="s">
        <v>67</v>
      </c>
      <c r="P385" s="41">
        <v>1</v>
      </c>
      <c r="Q385" s="41" t="s">
        <v>179</v>
      </c>
      <c r="R385" s="41" t="str">
        <f>VLOOKUP(Q:Q,Unit!B:D,2,0)</f>
        <v>pack</v>
      </c>
      <c r="S385" s="41" t="s">
        <v>75</v>
      </c>
      <c r="T385" s="41" t="s">
        <v>75</v>
      </c>
      <c r="W385" s="41">
        <v>149</v>
      </c>
      <c r="X385" s="41">
        <v>125</v>
      </c>
      <c r="AB385" s="41" t="s">
        <v>91</v>
      </c>
      <c r="AG385" s="41" t="s">
        <v>71</v>
      </c>
      <c r="AH385" s="41" t="s">
        <v>71</v>
      </c>
      <c r="AI385" s="41" t="s">
        <v>71</v>
      </c>
      <c r="AJ385" s="41" t="s">
        <v>71</v>
      </c>
      <c r="AK385" s="41" t="s">
        <v>71</v>
      </c>
      <c r="AL385" s="41" t="s">
        <v>71</v>
      </c>
      <c r="BS385" s="41" t="s">
        <v>2058</v>
      </c>
      <c r="BT385" s="41" t="s">
        <v>72</v>
      </c>
      <c r="BW385" s="41" t="s">
        <v>72</v>
      </c>
      <c r="BX385" s="41">
        <f>VLOOKUP(B:B,Brand!B:D,3,0)</f>
        <v>252</v>
      </c>
      <c r="BY385" s="41">
        <f>VLOOKUP(M:M,Unit!B:D,3,0)</f>
        <v>26</v>
      </c>
      <c r="BZ385" s="41">
        <f>VLOOKUP(S:S,Promo!B:D,3,0)</f>
        <v>0</v>
      </c>
    </row>
    <row r="386" spans="1:78" s="41" customFormat="1" ht="15.75" customHeight="1">
      <c r="A386" s="41">
        <v>7618</v>
      </c>
      <c r="B386" s="41" t="s">
        <v>587</v>
      </c>
      <c r="C386" s="65" t="str">
        <f>VLOOKUP(B:B,Brand!B:C,2,0)</f>
        <v>Horse</v>
      </c>
      <c r="H386" s="41" t="s">
        <v>3457</v>
      </c>
      <c r="I386" s="41" t="s">
        <v>3458</v>
      </c>
      <c r="J386" s="41" t="s">
        <v>4537</v>
      </c>
      <c r="K386" s="41" t="s">
        <v>4538</v>
      </c>
      <c r="L386" s="41">
        <v>12</v>
      </c>
      <c r="M386" s="41" t="s">
        <v>1805</v>
      </c>
      <c r="N386" s="41" t="str">
        <f>VLOOKUP(M:M,Unit!B:C,2,0)</f>
        <v>pc</v>
      </c>
      <c r="O386" s="41" t="s">
        <v>67</v>
      </c>
      <c r="P386" s="41">
        <v>1</v>
      </c>
      <c r="Q386" s="41" t="s">
        <v>179</v>
      </c>
      <c r="R386" s="41" t="str">
        <f>VLOOKUP(Q:Q,Unit!B:D,2,0)</f>
        <v>pack</v>
      </c>
      <c r="S386" s="41" t="s">
        <v>75</v>
      </c>
      <c r="T386" s="41" t="s">
        <v>75</v>
      </c>
      <c r="W386" s="41">
        <v>149</v>
      </c>
      <c r="X386" s="41">
        <v>125</v>
      </c>
      <c r="AB386" s="41" t="s">
        <v>91</v>
      </c>
      <c r="AG386" s="41" t="s">
        <v>71</v>
      </c>
      <c r="AH386" s="41" t="s">
        <v>71</v>
      </c>
      <c r="AI386" s="41" t="s">
        <v>71</v>
      </c>
      <c r="AJ386" s="41" t="s">
        <v>71</v>
      </c>
      <c r="AK386" s="41" t="s">
        <v>71</v>
      </c>
      <c r="AL386" s="41" t="s">
        <v>71</v>
      </c>
      <c r="BS386" s="41" t="s">
        <v>2058</v>
      </c>
      <c r="BT386" s="41" t="s">
        <v>72</v>
      </c>
      <c r="BW386" s="41" t="s">
        <v>72</v>
      </c>
      <c r="BX386" s="41">
        <f>VLOOKUP(B:B,Brand!B:D,3,0)</f>
        <v>252</v>
      </c>
      <c r="BY386" s="41">
        <f>VLOOKUP(M:M,Unit!B:D,3,0)</f>
        <v>26</v>
      </c>
      <c r="BZ386" s="41">
        <f>VLOOKUP(S:S,Promo!B:D,3,0)</f>
        <v>0</v>
      </c>
    </row>
    <row r="387" spans="1:78" s="41" customFormat="1" ht="15.75" customHeight="1">
      <c r="A387" s="41">
        <v>219518</v>
      </c>
      <c r="B387" s="41" t="s">
        <v>80</v>
      </c>
      <c r="C387" s="65" t="str">
        <f>VLOOKUP(B:B,Brand!B:C,2,0)</f>
        <v>Samsung</v>
      </c>
      <c r="H387" s="41" t="s">
        <v>3465</v>
      </c>
      <c r="I387" s="41" t="s">
        <v>3466</v>
      </c>
      <c r="J387" s="41" t="s">
        <v>4545</v>
      </c>
      <c r="K387" s="41" t="s">
        <v>4546</v>
      </c>
      <c r="L387" s="41">
        <v>1</v>
      </c>
      <c r="M387" s="41" t="s">
        <v>93</v>
      </c>
      <c r="N387" s="41" t="str">
        <f>VLOOKUP(M:M,Unit!B:C,2,0)</f>
        <v>unit</v>
      </c>
      <c r="O387" s="41" t="s">
        <v>67</v>
      </c>
      <c r="P387" s="41">
        <v>1</v>
      </c>
      <c r="Q387" s="41" t="s">
        <v>68</v>
      </c>
      <c r="R387" s="41" t="str">
        <f>VLOOKUP(Q:Q,Unit!B:D,2,0)</f>
        <v>pc</v>
      </c>
      <c r="S387" s="41" t="s">
        <v>75</v>
      </c>
      <c r="T387" s="41" t="str">
        <f>VLOOKUP(S:S,Promo!B:D,2,0)</f>
        <v>Promo EN</v>
      </c>
      <c r="W387" s="41">
        <v>6690</v>
      </c>
      <c r="X387" s="41">
        <v>4990</v>
      </c>
      <c r="AB387" s="41" t="s">
        <v>91</v>
      </c>
      <c r="AE387" s="41" t="s">
        <v>3467</v>
      </c>
      <c r="AF387" s="41" t="s">
        <v>3373</v>
      </c>
      <c r="AG387" s="41" t="s">
        <v>71</v>
      </c>
      <c r="AH387" s="41" t="s">
        <v>71</v>
      </c>
      <c r="AI387" s="41" t="s">
        <v>71</v>
      </c>
      <c r="AJ387" s="41" t="s">
        <v>71</v>
      </c>
      <c r="AK387" s="41" t="s">
        <v>71</v>
      </c>
      <c r="AL387" s="41" t="s">
        <v>71</v>
      </c>
      <c r="AS387" s="41" t="s">
        <v>3468</v>
      </c>
      <c r="AT387" s="41" t="s">
        <v>3467</v>
      </c>
      <c r="BS387" s="41" t="s">
        <v>2058</v>
      </c>
      <c r="BT387" s="41" t="s">
        <v>72</v>
      </c>
      <c r="BW387" s="41" t="s">
        <v>72</v>
      </c>
      <c r="BX387" s="41">
        <f>VLOOKUP(B:B,Brand!B:D,3,0)</f>
        <v>160</v>
      </c>
      <c r="BY387" s="41">
        <f>VLOOKUP(M:M,Unit!B:D,3,0)</f>
        <v>6</v>
      </c>
      <c r="BZ387" s="41">
        <f>VLOOKUP(S:S,Promo!B:D,3,0)</f>
        <v>0</v>
      </c>
    </row>
    <row r="388" spans="1:78" s="41" customFormat="1" ht="15.75" customHeight="1">
      <c r="A388" s="41">
        <v>117713</v>
      </c>
      <c r="B388" s="41" t="s">
        <v>284</v>
      </c>
      <c r="C388" s="65" t="str">
        <f>VLOOKUP(B:B,Brand!B:C,2,0)</f>
        <v>Cleo</v>
      </c>
      <c r="H388" s="41" t="s">
        <v>3469</v>
      </c>
      <c r="I388" s="41" t="s">
        <v>3470</v>
      </c>
      <c r="J388" s="41" t="s">
        <v>4547</v>
      </c>
      <c r="K388" s="41" t="s">
        <v>4548</v>
      </c>
      <c r="L388" s="41">
        <v>1</v>
      </c>
      <c r="M388" s="41" t="s">
        <v>93</v>
      </c>
      <c r="N388" s="41" t="str">
        <f>VLOOKUP(M:M,Unit!B:C,2,0)</f>
        <v>unit</v>
      </c>
      <c r="O388" s="41" t="s">
        <v>67</v>
      </c>
      <c r="P388" s="41">
        <v>1</v>
      </c>
      <c r="Q388" s="41" t="s">
        <v>68</v>
      </c>
      <c r="R388" s="41" t="str">
        <f>VLOOKUP(Q:Q,Unit!B:D,2,0)</f>
        <v>pc</v>
      </c>
      <c r="S388" s="41" t="s">
        <v>75</v>
      </c>
      <c r="T388" s="41" t="str">
        <f>VLOOKUP(S:S,Promo!B:D,2,0)</f>
        <v>Promo EN</v>
      </c>
      <c r="W388" s="41">
        <v>799</v>
      </c>
      <c r="X388" s="41">
        <v>599</v>
      </c>
      <c r="AB388" s="41" t="s">
        <v>91</v>
      </c>
      <c r="AE388" s="41" t="s">
        <v>3471</v>
      </c>
      <c r="AF388" s="41" t="s">
        <v>3373</v>
      </c>
      <c r="AG388" s="41" t="s">
        <v>71</v>
      </c>
      <c r="AH388" s="41" t="s">
        <v>71</v>
      </c>
      <c r="AI388" s="41" t="s">
        <v>71</v>
      </c>
      <c r="AJ388" s="41" t="s">
        <v>71</v>
      </c>
      <c r="AK388" s="41" t="s">
        <v>71</v>
      </c>
      <c r="AL388" s="41" t="s">
        <v>71</v>
      </c>
      <c r="AS388" s="41" t="s">
        <v>3472</v>
      </c>
      <c r="AT388" s="41" t="s">
        <v>3473</v>
      </c>
      <c r="BS388" s="41" t="s">
        <v>2058</v>
      </c>
      <c r="BT388" s="41" t="s">
        <v>72</v>
      </c>
      <c r="BW388" s="41" t="s">
        <v>72</v>
      </c>
      <c r="BX388" s="41">
        <f>VLOOKUP(B:B,Brand!B:D,3,0)</f>
        <v>51</v>
      </c>
      <c r="BY388" s="41">
        <f>VLOOKUP(M:M,Unit!B:D,3,0)</f>
        <v>6</v>
      </c>
      <c r="BZ388" s="41">
        <f>VLOOKUP(S:S,Promo!B:D,3,0)</f>
        <v>0</v>
      </c>
    </row>
    <row r="389" spans="1:78" s="41" customFormat="1" ht="15.75" customHeight="1">
      <c r="A389" s="41">
        <v>806603</v>
      </c>
      <c r="B389" s="41" t="s">
        <v>80</v>
      </c>
      <c r="C389" s="65" t="str">
        <f>VLOOKUP(B:B,Brand!B:C,2,0)</f>
        <v>Samsung</v>
      </c>
      <c r="H389" s="41" t="s">
        <v>3474</v>
      </c>
      <c r="I389" s="41" t="s">
        <v>3475</v>
      </c>
      <c r="J389" s="41" t="s">
        <v>4549</v>
      </c>
      <c r="K389" s="41" t="s">
        <v>4550</v>
      </c>
      <c r="L389" s="41">
        <v>1</v>
      </c>
      <c r="M389" s="41" t="s">
        <v>93</v>
      </c>
      <c r="N389" s="41" t="str">
        <f>VLOOKUP(M:M,Unit!B:C,2,0)</f>
        <v>unit</v>
      </c>
      <c r="O389" s="41" t="s">
        <v>67</v>
      </c>
      <c r="P389" s="41">
        <v>1</v>
      </c>
      <c r="Q389" s="41" t="s">
        <v>68</v>
      </c>
      <c r="R389" s="41" t="str">
        <f>VLOOKUP(Q:Q,Unit!B:D,2,0)</f>
        <v>pc</v>
      </c>
      <c r="S389" s="41" t="s">
        <v>75</v>
      </c>
      <c r="T389" s="41" t="str">
        <f>VLOOKUP(S:S,Promo!B:D,2,0)</f>
        <v>Promo EN</v>
      </c>
      <c r="W389" s="41">
        <v>12990</v>
      </c>
      <c r="X389" s="41">
        <v>9490</v>
      </c>
      <c r="AB389" s="41" t="s">
        <v>91</v>
      </c>
      <c r="AE389" s="41" t="s">
        <v>3476</v>
      </c>
      <c r="AF389" s="41" t="s">
        <v>3373</v>
      </c>
      <c r="AG389" s="41" t="s">
        <v>71</v>
      </c>
      <c r="AH389" s="41" t="s">
        <v>71</v>
      </c>
      <c r="AI389" s="41" t="s">
        <v>71</v>
      </c>
      <c r="AJ389" s="41" t="s">
        <v>71</v>
      </c>
      <c r="AK389" s="41" t="s">
        <v>71</v>
      </c>
      <c r="AL389" s="41" t="s">
        <v>71</v>
      </c>
      <c r="AS389" s="41" t="s">
        <v>3477</v>
      </c>
      <c r="AT389" s="41" t="s">
        <v>2265</v>
      </c>
      <c r="BS389" s="41" t="s">
        <v>2058</v>
      </c>
      <c r="BT389" s="41" t="s">
        <v>72</v>
      </c>
      <c r="BW389" s="41" t="s">
        <v>72</v>
      </c>
      <c r="BX389" s="41">
        <f>VLOOKUP(B:B,Brand!B:D,3,0)</f>
        <v>160</v>
      </c>
      <c r="BY389" s="41">
        <f>VLOOKUP(M:M,Unit!B:D,3,0)</f>
        <v>6</v>
      </c>
      <c r="BZ389" s="41">
        <f>VLOOKUP(S:S,Promo!B:D,3,0)</f>
        <v>0</v>
      </c>
    </row>
    <row r="390" spans="1:78" s="41" customFormat="1" ht="15.75" customHeight="1">
      <c r="A390" s="41">
        <v>111952</v>
      </c>
      <c r="H390" s="41" t="s">
        <v>3493</v>
      </c>
      <c r="I390" s="41" t="s">
        <v>3494</v>
      </c>
      <c r="J390" s="65" t="str">
        <f>TRIM(CONCATENATE(B390," ",H390," ",L390," ",M390," ",O390,P390," ",Q390))</f>
        <v>เห็ดนางรมหลวง (ยกลัง) 1 กก. x1 ชิ้น</v>
      </c>
      <c r="K390" s="80" t="str">
        <f>TRIM(CONCATENATE(C390," ",I390," ",L390," ",N390," ",O390,P390," ",R390))</f>
        <v>King Oyster Mushroom (Carton) 1 kg x1 pc</v>
      </c>
      <c r="L390" s="41">
        <v>1</v>
      </c>
      <c r="M390" s="41" t="s">
        <v>79</v>
      </c>
      <c r="N390" s="41" t="str">
        <f>VLOOKUP(M:M,Unit!B:C,2,0)</f>
        <v>kg</v>
      </c>
      <c r="O390" s="41" t="s">
        <v>67</v>
      </c>
      <c r="P390" s="41">
        <v>1</v>
      </c>
      <c r="Q390" s="41" t="s">
        <v>68</v>
      </c>
      <c r="R390" s="41" t="str">
        <f>VLOOKUP(Q:Q,Unit!B:D,2,0)</f>
        <v>pc</v>
      </c>
      <c r="S390" s="41" t="s">
        <v>75</v>
      </c>
      <c r="T390" s="41" t="str">
        <f>VLOOKUP(S:S,Promo!B:D,2,0)</f>
        <v>Promo EN</v>
      </c>
      <c r="X390" s="41">
        <v>65</v>
      </c>
      <c r="AB390" s="41" t="s">
        <v>2062</v>
      </c>
      <c r="AF390" s="41" t="s">
        <v>3373</v>
      </c>
      <c r="AG390" s="41" t="s">
        <v>71</v>
      </c>
      <c r="AH390" s="41" t="s">
        <v>71</v>
      </c>
      <c r="AI390" s="41" t="s">
        <v>71</v>
      </c>
      <c r="AJ390" s="41" t="s">
        <v>71</v>
      </c>
      <c r="AK390" s="41" t="s">
        <v>71</v>
      </c>
      <c r="AL390" s="41" t="s">
        <v>71</v>
      </c>
      <c r="BS390" s="41" t="s">
        <v>2058</v>
      </c>
      <c r="BT390" s="41" t="s">
        <v>72</v>
      </c>
      <c r="BW390" s="41" t="s">
        <v>72</v>
      </c>
      <c r="BY390" s="41">
        <f>VLOOKUP(M:M,Unit!B:D,3,0)</f>
        <v>2</v>
      </c>
      <c r="BZ390" s="41">
        <f>VLOOKUP(S:S,Promo!B:D,3,0)</f>
        <v>0</v>
      </c>
    </row>
    <row r="391" spans="1:78" s="41" customFormat="1" ht="15.75" customHeight="1">
      <c r="A391" s="41">
        <v>111718</v>
      </c>
      <c r="H391" s="41" t="s">
        <v>3495</v>
      </c>
      <c r="I391" s="41" t="s">
        <v>3496</v>
      </c>
      <c r="J391" s="65" t="str">
        <f>TRIM(CONCATENATE(B391," ",H391," ",L391," ",M391," ",O391,P391," ",Q391))</f>
        <v>มันเทศหวานเวียดนาม สีเหลือง (ยกลัง) 1 กก. x1 ชิ้น</v>
      </c>
      <c r="K391" s="80" t="str">
        <f>TRIM(CONCATENATE(C391," ",I391," ",L391," ",N391," ",O391,P391," ",R391))</f>
        <v>Sweet Potato (Carton) 1 kg x1 pc</v>
      </c>
      <c r="L391" s="41">
        <v>1</v>
      </c>
      <c r="M391" s="41" t="s">
        <v>79</v>
      </c>
      <c r="N391" s="41" t="str">
        <f>VLOOKUP(M:M,Unit!B:C,2,0)</f>
        <v>kg</v>
      </c>
      <c r="O391" s="41" t="s">
        <v>67</v>
      </c>
      <c r="P391" s="41">
        <v>1</v>
      </c>
      <c r="Q391" s="41" t="s">
        <v>68</v>
      </c>
      <c r="R391" s="41" t="str">
        <f>VLOOKUP(Q:Q,Unit!B:D,2,0)</f>
        <v>pc</v>
      </c>
      <c r="S391" s="41" t="s">
        <v>75</v>
      </c>
      <c r="T391" s="41" t="str">
        <f>VLOOKUP(S:S,Promo!B:D,2,0)</f>
        <v>Promo EN</v>
      </c>
      <c r="X391" s="41">
        <v>65</v>
      </c>
      <c r="AB391" s="41" t="s">
        <v>2062</v>
      </c>
      <c r="AF391" s="41" t="s">
        <v>3373</v>
      </c>
      <c r="AG391" s="41" t="s">
        <v>71</v>
      </c>
      <c r="AH391" s="41" t="s">
        <v>71</v>
      </c>
      <c r="AI391" s="41" t="s">
        <v>71</v>
      </c>
      <c r="AJ391" s="41" t="s">
        <v>71</v>
      </c>
      <c r="AK391" s="41" t="s">
        <v>71</v>
      </c>
      <c r="AL391" s="41" t="s">
        <v>71</v>
      </c>
      <c r="BS391" s="41" t="s">
        <v>2058</v>
      </c>
      <c r="BT391" s="41" t="s">
        <v>72</v>
      </c>
      <c r="BW391" s="41" t="s">
        <v>72</v>
      </c>
      <c r="BY391" s="41">
        <f>VLOOKUP(M:M,Unit!B:D,3,0)</f>
        <v>2</v>
      </c>
      <c r="BZ391" s="41">
        <f>VLOOKUP(S:S,Promo!B:D,3,0)</f>
        <v>0</v>
      </c>
    </row>
    <row r="392" spans="1:78" s="41" customFormat="1" ht="15.75" customHeight="1">
      <c r="A392" s="41">
        <v>160355</v>
      </c>
      <c r="B392" s="41" t="s">
        <v>97</v>
      </c>
      <c r="C392" s="65" t="str">
        <f>VLOOKUP(B:B,Brand!B:C,2,0)</f>
        <v>aro</v>
      </c>
      <c r="H392" s="41" t="s">
        <v>3497</v>
      </c>
      <c r="I392" s="41" t="s">
        <v>3498</v>
      </c>
      <c r="J392" s="41" t="s">
        <v>4561</v>
      </c>
      <c r="K392" s="41" t="s">
        <v>4562</v>
      </c>
      <c r="L392" s="41">
        <v>1</v>
      </c>
      <c r="M392" s="41" t="s">
        <v>79</v>
      </c>
      <c r="N392" s="41" t="str">
        <f>VLOOKUP(M:M,Unit!B:C,2,0)</f>
        <v>kg</v>
      </c>
      <c r="O392" s="41" t="s">
        <v>67</v>
      </c>
      <c r="P392" s="41">
        <v>1</v>
      </c>
      <c r="Q392" s="41" t="s">
        <v>179</v>
      </c>
      <c r="R392" s="41" t="str">
        <f>VLOOKUP(Q:Q,Unit!B:D,2,0)</f>
        <v>pack</v>
      </c>
      <c r="S392" s="41" t="s">
        <v>75</v>
      </c>
      <c r="T392" s="41" t="str">
        <f>VLOOKUP(S:S,Promo!B:D,2,0)</f>
        <v>Promo EN</v>
      </c>
      <c r="W392" s="41">
        <v>89</v>
      </c>
      <c r="X392" s="41">
        <v>79</v>
      </c>
      <c r="AB392" s="41" t="s">
        <v>2054</v>
      </c>
      <c r="AF392" s="41" t="s">
        <v>3373</v>
      </c>
      <c r="AG392" s="41" t="s">
        <v>71</v>
      </c>
      <c r="AH392" s="41" t="s">
        <v>71</v>
      </c>
      <c r="AI392" s="41" t="s">
        <v>71</v>
      </c>
      <c r="AJ392" s="41" t="s">
        <v>71</v>
      </c>
      <c r="AK392" s="41" t="s">
        <v>71</v>
      </c>
      <c r="AL392" s="41" t="s">
        <v>71</v>
      </c>
      <c r="BS392" s="41" t="s">
        <v>72</v>
      </c>
      <c r="BT392" s="41" t="s">
        <v>72</v>
      </c>
      <c r="BW392" s="41" t="s">
        <v>72</v>
      </c>
      <c r="BX392" s="41">
        <f>VLOOKUP(B:B,Brand!B:D,3,0)</f>
        <v>692</v>
      </c>
      <c r="BY392" s="41">
        <f>VLOOKUP(M:M,Unit!B:D,3,0)</f>
        <v>2</v>
      </c>
      <c r="BZ392" s="41">
        <f>VLOOKUP(S:S,Promo!B:D,3,0)</f>
        <v>0</v>
      </c>
    </row>
    <row r="393" spans="1:78" s="41" customFormat="1" ht="15.75" customHeight="1">
      <c r="A393" s="41">
        <v>160341</v>
      </c>
      <c r="B393" s="41" t="s">
        <v>97</v>
      </c>
      <c r="C393" s="65" t="str">
        <f>VLOOKUP(B:B,Brand!B:C,2,0)</f>
        <v>aro</v>
      </c>
      <c r="H393" s="41" t="s">
        <v>3497</v>
      </c>
      <c r="I393" s="41" t="s">
        <v>3498</v>
      </c>
      <c r="J393" s="41" t="s">
        <v>4563</v>
      </c>
      <c r="K393" s="41" t="s">
        <v>4564</v>
      </c>
      <c r="L393" s="41">
        <v>1</v>
      </c>
      <c r="M393" s="41" t="s">
        <v>79</v>
      </c>
      <c r="N393" s="41" t="str">
        <f>VLOOKUP(M:M,Unit!B:C,2,0)</f>
        <v>kg</v>
      </c>
      <c r="O393" s="41" t="s">
        <v>67</v>
      </c>
      <c r="P393" s="41">
        <v>10</v>
      </c>
      <c r="Q393" s="41" t="s">
        <v>179</v>
      </c>
      <c r="R393" s="41" t="str">
        <f>VLOOKUP(Q:Q,Unit!B:D,2,0)</f>
        <v>pack</v>
      </c>
      <c r="S393" s="41" t="s">
        <v>75</v>
      </c>
      <c r="T393" s="41" t="str">
        <f>VLOOKUP(S:S,Promo!B:D,2,0)</f>
        <v>Promo EN</v>
      </c>
      <c r="X393" s="41">
        <v>750</v>
      </c>
      <c r="AB393" s="41" t="s">
        <v>2054</v>
      </c>
      <c r="AF393" s="41" t="s">
        <v>3373</v>
      </c>
      <c r="AG393" s="41" t="s">
        <v>71</v>
      </c>
      <c r="AH393" s="41" t="s">
        <v>71</v>
      </c>
      <c r="AI393" s="41" t="s">
        <v>71</v>
      </c>
      <c r="AJ393" s="41" t="s">
        <v>71</v>
      </c>
      <c r="AK393" s="41" t="s">
        <v>71</v>
      </c>
      <c r="AL393" s="41" t="s">
        <v>71</v>
      </c>
      <c r="BS393" s="41" t="s">
        <v>72</v>
      </c>
      <c r="BT393" s="41" t="s">
        <v>72</v>
      </c>
      <c r="BW393" s="41" t="s">
        <v>72</v>
      </c>
      <c r="BX393" s="41">
        <f>VLOOKUP(B:B,Brand!B:D,3,0)</f>
        <v>692</v>
      </c>
      <c r="BY393" s="41">
        <f>VLOOKUP(M:M,Unit!B:D,3,0)</f>
        <v>2</v>
      </c>
      <c r="BZ393" s="41">
        <f>VLOOKUP(S:S,Promo!B:D,3,0)</f>
        <v>0</v>
      </c>
    </row>
    <row r="394" spans="1:78" s="41" customFormat="1" ht="15.75" customHeight="1">
      <c r="A394" s="41">
        <v>199233</v>
      </c>
      <c r="B394" s="41" t="s">
        <v>164</v>
      </c>
      <c r="C394" s="65" t="str">
        <f>VLOOKUP(B:B,Brand!B:C,2,0)</f>
        <v>Fa Thai</v>
      </c>
      <c r="H394" s="41" t="s">
        <v>3502</v>
      </c>
      <c r="I394" s="41" t="s">
        <v>3503</v>
      </c>
      <c r="J394" s="41" t="s">
        <v>4567</v>
      </c>
      <c r="K394" s="41" t="s">
        <v>4568</v>
      </c>
      <c r="L394" s="41">
        <v>350</v>
      </c>
      <c r="M394" s="41" t="s">
        <v>83</v>
      </c>
      <c r="N394" s="41" t="str">
        <f>VLOOKUP(M:M,Unit!B:C,2,0)</f>
        <v>g</v>
      </c>
      <c r="O394" s="41" t="s">
        <v>67</v>
      </c>
      <c r="P394" s="41">
        <v>6</v>
      </c>
      <c r="Q394" s="41" t="s">
        <v>135</v>
      </c>
      <c r="R394" s="41" t="str">
        <f>VLOOKUP(Q:Q,Unit!B:D,2,0)</f>
        <v>g</v>
      </c>
      <c r="S394" s="41" t="s">
        <v>75</v>
      </c>
      <c r="T394" s="41" t="str">
        <f>VLOOKUP(S:S,Promo!B:D,2,0)</f>
        <v>Promo EN</v>
      </c>
      <c r="W394" s="41">
        <v>135</v>
      </c>
      <c r="X394" s="41">
        <v>124</v>
      </c>
      <c r="AB394" s="41" t="s">
        <v>2054</v>
      </c>
      <c r="AF394" s="41" t="s">
        <v>3373</v>
      </c>
      <c r="AG394" s="41" t="s">
        <v>71</v>
      </c>
      <c r="AH394" s="41" t="s">
        <v>71</v>
      </c>
      <c r="AI394" s="41" t="s">
        <v>71</v>
      </c>
      <c r="AJ394" s="41" t="s">
        <v>71</v>
      </c>
      <c r="AK394" s="41" t="s">
        <v>71</v>
      </c>
      <c r="AL394" s="41" t="s">
        <v>71</v>
      </c>
      <c r="BS394" s="41" t="s">
        <v>2058</v>
      </c>
      <c r="BT394" s="41" t="s">
        <v>72</v>
      </c>
      <c r="BW394" s="41" t="s">
        <v>72</v>
      </c>
      <c r="BX394" s="41">
        <f>VLOOKUP(B:B,Brand!B:D,3,0)</f>
        <v>457</v>
      </c>
      <c r="BY394" s="41">
        <f>VLOOKUP(M:M,Unit!B:D,3,0)</f>
        <v>1</v>
      </c>
      <c r="BZ394" s="41">
        <f>VLOOKUP(S:S,Promo!B:D,3,0)</f>
        <v>0</v>
      </c>
    </row>
    <row r="395" spans="1:78" s="41" customFormat="1" ht="15.75" customHeight="1">
      <c r="A395" s="41">
        <v>126779</v>
      </c>
      <c r="B395" s="41" t="s">
        <v>2610</v>
      </c>
      <c r="C395" s="65" t="str">
        <f>VLOOKUP(B:B,Brand!B:C,2,0)</f>
        <v>Dewberry</v>
      </c>
      <c r="H395" s="41" t="s">
        <v>3504</v>
      </c>
      <c r="I395" s="41" t="s">
        <v>3505</v>
      </c>
      <c r="J395" s="41" t="s">
        <v>4569</v>
      </c>
      <c r="K395" s="41" t="s">
        <v>4570</v>
      </c>
      <c r="L395" s="41">
        <v>36</v>
      </c>
      <c r="M395" s="41" t="s">
        <v>83</v>
      </c>
      <c r="N395" s="41" t="str">
        <f>VLOOKUP(M:M,Unit!B:C,2,0)</f>
        <v>g</v>
      </c>
      <c r="O395" s="41" t="s">
        <v>67</v>
      </c>
      <c r="P395" s="41">
        <v>12</v>
      </c>
      <c r="Q395" s="41" t="s">
        <v>135</v>
      </c>
      <c r="R395" s="41" t="str">
        <f>VLOOKUP(Q:Q,Unit!B:D,2,0)</f>
        <v>g</v>
      </c>
      <c r="S395" s="41" t="s">
        <v>75</v>
      </c>
      <c r="T395" s="41" t="str">
        <f>VLOOKUP(S:S,Promo!B:D,2,0)</f>
        <v>Promo EN</v>
      </c>
      <c r="W395" s="41">
        <v>50.5</v>
      </c>
      <c r="X395" s="41">
        <v>47.5</v>
      </c>
      <c r="AB395" s="41" t="s">
        <v>2062</v>
      </c>
      <c r="AF395" s="41" t="s">
        <v>3373</v>
      </c>
      <c r="AG395" s="41" t="s">
        <v>71</v>
      </c>
      <c r="AH395" s="41" t="s">
        <v>71</v>
      </c>
      <c r="AI395" s="41" t="s">
        <v>71</v>
      </c>
      <c r="AJ395" s="41" t="s">
        <v>71</v>
      </c>
      <c r="AK395" s="41" t="s">
        <v>71</v>
      </c>
      <c r="AL395" s="41" t="s">
        <v>71</v>
      </c>
      <c r="AU395" s="41" t="s">
        <v>3506</v>
      </c>
      <c r="AV395" s="41" t="s">
        <v>2368</v>
      </c>
      <c r="BS395" s="41" t="s">
        <v>2058</v>
      </c>
      <c r="BT395" s="41" t="s">
        <v>72</v>
      </c>
      <c r="BW395" s="41" t="s">
        <v>72</v>
      </c>
      <c r="BX395" s="41">
        <f>VLOOKUP(B:B,Brand!B:D,3,0)</f>
        <v>1068</v>
      </c>
      <c r="BY395" s="41">
        <f>VLOOKUP(M:M,Unit!B:D,3,0)</f>
        <v>1</v>
      </c>
      <c r="BZ395" s="41">
        <f>VLOOKUP(S:S,Promo!B:D,3,0)</f>
        <v>0</v>
      </c>
    </row>
    <row r="396" spans="1:78" s="41" customFormat="1" ht="15.75" customHeight="1">
      <c r="A396" s="41">
        <v>820677</v>
      </c>
      <c r="B396" s="41" t="s">
        <v>366</v>
      </c>
      <c r="C396" s="65" t="str">
        <f>VLOOKUP(B:B,Brand!B:C,2,0)</f>
        <v>Nguan Chiang</v>
      </c>
      <c r="H396" s="41" t="s">
        <v>3507</v>
      </c>
      <c r="I396" s="41" t="s">
        <v>3508</v>
      </c>
      <c r="J396" s="41" t="s">
        <v>4585</v>
      </c>
      <c r="K396" s="41" t="s">
        <v>4586</v>
      </c>
      <c r="L396" s="41">
        <v>340</v>
      </c>
      <c r="M396" s="41" t="s">
        <v>66</v>
      </c>
      <c r="N396" s="41" t="str">
        <f>VLOOKUP(M:M,Unit!B:C,2,0)</f>
        <v>ml</v>
      </c>
      <c r="O396" s="41" t="s">
        <v>67</v>
      </c>
      <c r="P396" s="41">
        <v>4</v>
      </c>
      <c r="Q396" s="41" t="s">
        <v>95</v>
      </c>
      <c r="R396" s="41" t="str">
        <f>VLOOKUP(Q:Q,Unit!B:D,2,0)</f>
        <v>bottle</v>
      </c>
      <c r="S396" s="41" t="s">
        <v>75</v>
      </c>
      <c r="T396" s="41" t="str">
        <f>VLOOKUP(S:S,Promo!B:D,2,0)</f>
        <v>Promo EN</v>
      </c>
      <c r="W396" s="41">
        <v>123</v>
      </c>
      <c r="X396" s="41">
        <v>118</v>
      </c>
      <c r="AB396" s="41" t="s">
        <v>91</v>
      </c>
      <c r="AF396" s="41" t="s">
        <v>3373</v>
      </c>
      <c r="AG396" s="41" t="s">
        <v>71</v>
      </c>
      <c r="AH396" s="41" t="s">
        <v>71</v>
      </c>
      <c r="AI396" s="41" t="s">
        <v>71</v>
      </c>
      <c r="AJ396" s="41" t="s">
        <v>71</v>
      </c>
      <c r="AK396" s="41" t="s">
        <v>71</v>
      </c>
      <c r="AL396" s="41" t="s">
        <v>71</v>
      </c>
      <c r="AP396" s="41" t="s">
        <v>3525</v>
      </c>
      <c r="BS396" s="41" t="s">
        <v>2058</v>
      </c>
      <c r="BT396" s="41" t="s">
        <v>72</v>
      </c>
      <c r="BW396" s="41" t="s">
        <v>72</v>
      </c>
      <c r="BX396" s="41">
        <f>VLOOKUP(B:B,Brand!B:D,3,0)</f>
        <v>103</v>
      </c>
      <c r="BY396" s="41">
        <f>VLOOKUP(M:M,Unit!B:D,3,0)</f>
        <v>4</v>
      </c>
      <c r="BZ396" s="41">
        <f>VLOOKUP(S:S,Promo!B:D,3,0)</f>
        <v>0</v>
      </c>
    </row>
    <row r="397" spans="1:78" s="41" customFormat="1" ht="15.75" customHeight="1">
      <c r="A397" s="41">
        <v>817651</v>
      </c>
      <c r="B397" s="41" t="s">
        <v>202</v>
      </c>
      <c r="C397" s="65" t="str">
        <f>VLOOKUP(B:B,Brand!B:C,2,0)</f>
        <v>Hitachi</v>
      </c>
      <c r="H397" s="41" t="s">
        <v>3529</v>
      </c>
      <c r="I397" s="41" t="s">
        <v>3530</v>
      </c>
      <c r="J397" s="65" t="str">
        <f>TRIM(CONCATENATE(B397," ",H397," ",L397," ",M397," ",O397,P397," ",Q397))</f>
        <v>ฮิตาชิ เครื่องซักผ้า #SF-130XA 1 เครื่อง x1 ชิ้น</v>
      </c>
      <c r="K397" s="80" t="str">
        <f>TRIM(CONCATENATE(C397," ",I397," ",L397," ",N397," ",O397,P397," ",R397))</f>
        <v>Hitachi Washing Machine #SF-130XA 1 unit x1 pc</v>
      </c>
      <c r="L397" s="41">
        <v>1</v>
      </c>
      <c r="M397" s="41" t="s">
        <v>93</v>
      </c>
      <c r="N397" s="41" t="str">
        <f>VLOOKUP(M:M,Unit!B:C,2,0)</f>
        <v>unit</v>
      </c>
      <c r="O397" s="41" t="s">
        <v>67</v>
      </c>
      <c r="P397" s="41">
        <v>1</v>
      </c>
      <c r="Q397" s="41" t="s">
        <v>68</v>
      </c>
      <c r="R397" s="41" t="str">
        <f>VLOOKUP(Q:Q,Unit!B:D,2,0)</f>
        <v>pc</v>
      </c>
      <c r="S397" s="41" t="s">
        <v>75</v>
      </c>
      <c r="T397" s="41" t="str">
        <f>VLOOKUP(S:S,Promo!B:D,2,0)</f>
        <v>Promo EN</v>
      </c>
      <c r="W397" s="41">
        <v>15490</v>
      </c>
      <c r="X397" s="41">
        <v>14490</v>
      </c>
      <c r="AB397" s="41" t="s">
        <v>91</v>
      </c>
      <c r="AE397" s="41" t="s">
        <v>3531</v>
      </c>
      <c r="AF397" s="41" t="s">
        <v>3373</v>
      </c>
      <c r="AG397" s="41" t="s">
        <v>71</v>
      </c>
      <c r="AH397" s="41" t="s">
        <v>71</v>
      </c>
      <c r="AI397" s="41" t="s">
        <v>71</v>
      </c>
      <c r="AJ397" s="41" t="s">
        <v>71</v>
      </c>
      <c r="AK397" s="41" t="s">
        <v>71</v>
      </c>
      <c r="AL397" s="41" t="s">
        <v>71</v>
      </c>
      <c r="AP397" s="41" t="s">
        <v>3532</v>
      </c>
      <c r="AS397" s="41" t="s">
        <v>3533</v>
      </c>
      <c r="AT397" s="41" t="s">
        <v>3534</v>
      </c>
      <c r="BS397" s="41" t="s">
        <v>2058</v>
      </c>
      <c r="BT397" s="41" t="s">
        <v>72</v>
      </c>
      <c r="BW397" s="41" t="s">
        <v>72</v>
      </c>
      <c r="BX397" s="41">
        <f>VLOOKUP(B:B,Brand!B:D,3,0)</f>
        <v>744</v>
      </c>
      <c r="BY397" s="41">
        <f>VLOOKUP(M:M,Unit!B:D,3,0)</f>
        <v>6</v>
      </c>
      <c r="BZ397" s="41">
        <f>VLOOKUP(S:S,Promo!B:D,3,0)</f>
        <v>0</v>
      </c>
    </row>
    <row r="398" spans="1:78" s="41" customFormat="1" ht="15.75" customHeight="1">
      <c r="A398" s="41">
        <v>140215</v>
      </c>
      <c r="B398" s="41" t="s">
        <v>202</v>
      </c>
      <c r="C398" s="65" t="str">
        <f>VLOOKUP(B:B,Brand!B:C,2,0)</f>
        <v>Hitachi</v>
      </c>
      <c r="H398" s="41" t="s">
        <v>3535</v>
      </c>
      <c r="I398" s="41" t="s">
        <v>3536</v>
      </c>
      <c r="J398" s="65" t="str">
        <f>TRIM(CONCATENATE(B398," ",H398," ",L398," ",M398," ",O398,P398," ",Q398))</f>
        <v>ฮิตาชิ เครื่องซักผ้า 2 ถัง #PS-140SJ 1 เครื่อง x1 ชิ้น</v>
      </c>
      <c r="K398" s="80" t="str">
        <f>TRIM(CONCATENATE(C398," ",I398," ",L398," ",N398," ",O398,P398," ",R398))</f>
        <v>Hitachi Twin Tub Washing Machines #PS-140SJ 1 unit x1 pc</v>
      </c>
      <c r="L398" s="41">
        <v>1</v>
      </c>
      <c r="M398" s="41" t="s">
        <v>93</v>
      </c>
      <c r="N398" s="41" t="str">
        <f>VLOOKUP(M:M,Unit!B:C,2,0)</f>
        <v>unit</v>
      </c>
      <c r="O398" s="41" t="s">
        <v>67</v>
      </c>
      <c r="P398" s="41">
        <v>1</v>
      </c>
      <c r="Q398" s="41" t="s">
        <v>68</v>
      </c>
      <c r="R398" s="41" t="str">
        <f>VLOOKUP(Q:Q,Unit!B:D,2,0)</f>
        <v>pc</v>
      </c>
      <c r="S398" s="41" t="s">
        <v>75</v>
      </c>
      <c r="T398" s="41" t="str">
        <f>VLOOKUP(S:S,Promo!B:D,2,0)</f>
        <v>Promo EN</v>
      </c>
      <c r="W398" s="41">
        <v>12450</v>
      </c>
      <c r="X398" s="41">
        <v>11450</v>
      </c>
      <c r="AB398" s="41" t="s">
        <v>91</v>
      </c>
      <c r="AE398" s="41" t="s">
        <v>3537</v>
      </c>
      <c r="AF398" s="41" t="s">
        <v>3373</v>
      </c>
      <c r="AG398" s="41" t="s">
        <v>71</v>
      </c>
      <c r="AH398" s="41" t="s">
        <v>71</v>
      </c>
      <c r="AI398" s="41" t="s">
        <v>71</v>
      </c>
      <c r="AJ398" s="41" t="s">
        <v>71</v>
      </c>
      <c r="AK398" s="41" t="s">
        <v>71</v>
      </c>
      <c r="AL398" s="41" t="s">
        <v>71</v>
      </c>
      <c r="AP398" s="41" t="s">
        <v>3532</v>
      </c>
      <c r="AS398" s="41" t="s">
        <v>3538</v>
      </c>
      <c r="AT398" s="41" t="s">
        <v>3539</v>
      </c>
      <c r="BS398" s="41" t="s">
        <v>2058</v>
      </c>
      <c r="BT398" s="41" t="s">
        <v>72</v>
      </c>
      <c r="BW398" s="41" t="s">
        <v>72</v>
      </c>
      <c r="BX398" s="41">
        <f>VLOOKUP(B:B,Brand!B:D,3,0)</f>
        <v>744</v>
      </c>
      <c r="BY398" s="41">
        <f>VLOOKUP(M:M,Unit!B:D,3,0)</f>
        <v>6</v>
      </c>
      <c r="BZ398" s="41">
        <f>VLOOKUP(S:S,Promo!B:D,3,0)</f>
        <v>0</v>
      </c>
    </row>
    <row r="399" spans="1:78" s="41" customFormat="1" ht="15.75" customHeight="1">
      <c r="A399" s="41">
        <v>805176</v>
      </c>
      <c r="B399" s="41" t="s">
        <v>80</v>
      </c>
      <c r="C399" s="65" t="str">
        <f>VLOOKUP(B:B,Brand!B:C,2,0)</f>
        <v>Samsung</v>
      </c>
      <c r="H399" s="41" t="s">
        <v>3540</v>
      </c>
      <c r="I399" s="41" t="s">
        <v>3541</v>
      </c>
      <c r="J399" s="41" t="s">
        <v>4589</v>
      </c>
      <c r="K399" s="41" t="s">
        <v>4590</v>
      </c>
      <c r="L399" s="41">
        <v>1</v>
      </c>
      <c r="M399" s="41" t="s">
        <v>93</v>
      </c>
      <c r="N399" s="41" t="str">
        <f>VLOOKUP(M:M,Unit!B:C,2,0)</f>
        <v>unit</v>
      </c>
      <c r="O399" s="41" t="s">
        <v>67</v>
      </c>
      <c r="P399" s="41">
        <v>1</v>
      </c>
      <c r="Q399" s="41" t="s">
        <v>68</v>
      </c>
      <c r="R399" s="41" t="str">
        <f>VLOOKUP(Q:Q,Unit!B:D,2,0)</f>
        <v>pc</v>
      </c>
      <c r="S399" s="41" t="s">
        <v>75</v>
      </c>
      <c r="T399" s="41" t="str">
        <f>VLOOKUP(S:S,Promo!B:D,2,0)</f>
        <v>Promo EN</v>
      </c>
      <c r="W399" s="41">
        <v>10490</v>
      </c>
      <c r="X399" s="41">
        <v>9490</v>
      </c>
      <c r="AB399" s="41" t="s">
        <v>91</v>
      </c>
      <c r="AE399" s="41" t="s">
        <v>3542</v>
      </c>
      <c r="AF399" s="41" t="s">
        <v>3373</v>
      </c>
      <c r="AG399" s="41" t="s">
        <v>71</v>
      </c>
      <c r="AH399" s="41" t="s">
        <v>71</v>
      </c>
      <c r="AI399" s="41" t="s">
        <v>71</v>
      </c>
      <c r="AJ399" s="41" t="s">
        <v>71</v>
      </c>
      <c r="AK399" s="41" t="s">
        <v>71</v>
      </c>
      <c r="AL399" s="41" t="s">
        <v>71</v>
      </c>
      <c r="AP399" s="41" t="s">
        <v>3532</v>
      </c>
      <c r="AS399" s="41" t="s">
        <v>3543</v>
      </c>
      <c r="AT399" s="41" t="s">
        <v>3544</v>
      </c>
      <c r="BS399" s="41" t="s">
        <v>2058</v>
      </c>
      <c r="BT399" s="41" t="s">
        <v>72</v>
      </c>
      <c r="BW399" s="41" t="s">
        <v>72</v>
      </c>
      <c r="BX399" s="41">
        <f>VLOOKUP(B:B,Brand!B:D,3,0)</f>
        <v>160</v>
      </c>
      <c r="BY399" s="41">
        <f>VLOOKUP(M:M,Unit!B:D,3,0)</f>
        <v>6</v>
      </c>
      <c r="BZ399" s="41">
        <f>VLOOKUP(S:S,Promo!B:D,3,0)</f>
        <v>0</v>
      </c>
    </row>
    <row r="400" spans="1:78" s="41" customFormat="1" ht="15.75" customHeight="1">
      <c r="A400" s="41">
        <v>821184</v>
      </c>
      <c r="B400" s="41" t="s">
        <v>438</v>
      </c>
      <c r="C400" s="65" t="str">
        <f>VLOOKUP(B:B,Brand!B:C,2,0)</f>
        <v>Sunsilk</v>
      </c>
      <c r="H400" s="41" t="s">
        <v>3555</v>
      </c>
      <c r="I400" s="41" t="s">
        <v>3556</v>
      </c>
      <c r="J400" s="41" t="s">
        <v>4593</v>
      </c>
      <c r="K400" s="41" t="s">
        <v>4594</v>
      </c>
      <c r="L400" s="41">
        <v>60</v>
      </c>
      <c r="M400" s="41" t="s">
        <v>66</v>
      </c>
      <c r="N400" s="41" t="str">
        <f>VLOOKUP(M:M,Unit!B:C,2,0)</f>
        <v>ml</v>
      </c>
      <c r="O400" s="41" t="s">
        <v>67</v>
      </c>
      <c r="P400" s="41">
        <v>6</v>
      </c>
      <c r="Q400" s="41" t="s">
        <v>95</v>
      </c>
      <c r="R400" s="41" t="str">
        <f>VLOOKUP(Q:Q,Unit!B:D,2,0)</f>
        <v>bottle</v>
      </c>
      <c r="S400" s="41" t="s">
        <v>212</v>
      </c>
      <c r="T400" s="41" t="str">
        <f>VLOOKUP(S:S,Promo!B:D,2,0)</f>
        <v>New</v>
      </c>
      <c r="X400" s="41">
        <v>120</v>
      </c>
      <c r="AB400" s="41" t="s">
        <v>91</v>
      </c>
      <c r="AF400" s="41" t="s">
        <v>3373</v>
      </c>
      <c r="AG400" s="41" t="s">
        <v>71</v>
      </c>
      <c r="AH400" s="41" t="s">
        <v>71</v>
      </c>
      <c r="AI400" s="41" t="s">
        <v>71</v>
      </c>
      <c r="AJ400" s="41" t="s">
        <v>71</v>
      </c>
      <c r="AK400" s="41" t="s">
        <v>71</v>
      </c>
      <c r="AL400" s="41" t="s">
        <v>71</v>
      </c>
      <c r="AP400" s="41" t="s">
        <v>3557</v>
      </c>
      <c r="BS400" s="41" t="s">
        <v>2058</v>
      </c>
      <c r="BT400" s="41" t="s">
        <v>72</v>
      </c>
      <c r="BW400" s="41" t="s">
        <v>72</v>
      </c>
      <c r="BX400" s="41">
        <f>VLOOKUP(B:B,Brand!B:D,3,0)</f>
        <v>151</v>
      </c>
      <c r="BY400" s="41">
        <f>VLOOKUP(M:M,Unit!B:D,3,0)</f>
        <v>4</v>
      </c>
      <c r="BZ400" s="41">
        <f>VLOOKUP(S:S,Promo!B:D,3,0)</f>
        <v>29</v>
      </c>
    </row>
    <row r="401" spans="1:78" s="41" customFormat="1" ht="15.75" customHeight="1">
      <c r="A401" s="41">
        <v>223806</v>
      </c>
      <c r="H401" s="41" t="s">
        <v>3562</v>
      </c>
      <c r="I401" s="41" t="s">
        <v>3563</v>
      </c>
      <c r="J401" s="65" t="str">
        <f>TRIM(CONCATENATE(B401," ",H401," ",L401," ",M401," ",O401,P401," ",Q401))</f>
        <v>ชุดกล่องยาสังฆทาน 3.8 ลิตร + ชุดยา/ มหามงคล สังฆทานถัง 3 แกลลอน/ มหามงคล ชุดสังฆทาน... 3.8 ลิตร x1 ชิ้น</v>
      </c>
      <c r="K401" s="80" t="str">
        <f>TRIM(CONCATENATE(C401," ",I401," ",L401," ",N401," ",O401,P401," ",R401))</f>
        <v>MONK SET BOX 3.8 L x1 pc</v>
      </c>
      <c r="L401" s="41">
        <v>3.8</v>
      </c>
      <c r="M401" s="41" t="s">
        <v>94</v>
      </c>
      <c r="N401" s="41" t="str">
        <f>VLOOKUP(M:M,Unit!B:C,2,0)</f>
        <v>L</v>
      </c>
      <c r="O401" s="41" t="s">
        <v>67</v>
      </c>
      <c r="P401" s="41">
        <v>1</v>
      </c>
      <c r="Q401" s="41" t="s">
        <v>68</v>
      </c>
      <c r="R401" s="41" t="str">
        <f>VLOOKUP(Q:Q,Unit!B:D,2,0)</f>
        <v>pc</v>
      </c>
      <c r="S401" s="41" t="s">
        <v>75</v>
      </c>
      <c r="T401" s="41" t="str">
        <f>VLOOKUP(S:S,Promo!B:D,2,0)</f>
        <v>Promo EN</v>
      </c>
      <c r="X401" s="41">
        <v>199</v>
      </c>
      <c r="AB401" s="41" t="s">
        <v>91</v>
      </c>
      <c r="AG401" s="41" t="s">
        <v>71</v>
      </c>
      <c r="AH401" s="41" t="s">
        <v>71</v>
      </c>
      <c r="AI401" s="41" t="s">
        <v>71</v>
      </c>
      <c r="AJ401" s="41" t="s">
        <v>71</v>
      </c>
      <c r="AK401" s="41" t="s">
        <v>71</v>
      </c>
      <c r="AL401" s="41" t="s">
        <v>71</v>
      </c>
      <c r="BS401" s="41" t="s">
        <v>2058</v>
      </c>
      <c r="BT401" s="41" t="s">
        <v>72</v>
      </c>
      <c r="BW401" s="41" t="s">
        <v>72</v>
      </c>
      <c r="BY401" s="41">
        <f>VLOOKUP(M:M,Unit!B:D,3,0)</f>
        <v>7</v>
      </c>
      <c r="BZ401" s="41">
        <f>VLOOKUP(S:S,Promo!B:D,3,0)</f>
        <v>0</v>
      </c>
    </row>
    <row r="402" spans="1:78" s="41" customFormat="1" ht="15.75" customHeight="1">
      <c r="A402" s="41">
        <v>143699</v>
      </c>
      <c r="B402" s="41" t="s">
        <v>97</v>
      </c>
      <c r="C402" s="65" t="str">
        <f>VLOOKUP(B:B,Brand!B:C,2,0)</f>
        <v>aro</v>
      </c>
      <c r="H402" s="41" t="s">
        <v>3571</v>
      </c>
      <c r="I402" s="41" t="s">
        <v>3572</v>
      </c>
      <c r="J402" s="41" t="s">
        <v>4599</v>
      </c>
      <c r="K402" s="41" t="s">
        <v>4600</v>
      </c>
      <c r="L402" s="41">
        <v>1</v>
      </c>
      <c r="M402" s="41" t="s">
        <v>79</v>
      </c>
      <c r="N402" s="41" t="str">
        <f>VLOOKUP(M:M,Unit!B:C,2,0)</f>
        <v>kg</v>
      </c>
      <c r="O402" s="41" t="s">
        <v>67</v>
      </c>
      <c r="P402" s="41">
        <v>10</v>
      </c>
      <c r="Q402" s="41" t="s">
        <v>179</v>
      </c>
      <c r="R402" s="41" t="str">
        <f>VLOOKUP(Q:Q,Unit!B:D,2,0)</f>
        <v>pack</v>
      </c>
      <c r="S402" s="41" t="s">
        <v>75</v>
      </c>
      <c r="T402" s="41" t="str">
        <f>VLOOKUP(S:S,Promo!B:D,2,0)</f>
        <v>Promo EN</v>
      </c>
      <c r="X402" s="41">
        <v>650</v>
      </c>
      <c r="AB402" s="41" t="s">
        <v>2054</v>
      </c>
      <c r="AG402" s="41" t="s">
        <v>71</v>
      </c>
      <c r="AH402" s="41" t="s">
        <v>71</v>
      </c>
      <c r="AI402" s="41" t="s">
        <v>71</v>
      </c>
      <c r="AJ402" s="41" t="s">
        <v>71</v>
      </c>
      <c r="AK402" s="41" t="s">
        <v>71</v>
      </c>
      <c r="AL402" s="41" t="s">
        <v>71</v>
      </c>
      <c r="BS402" s="41" t="s">
        <v>72</v>
      </c>
      <c r="BT402" s="41" t="s">
        <v>72</v>
      </c>
      <c r="BW402" s="41" t="s">
        <v>72</v>
      </c>
      <c r="BX402" s="41">
        <f>VLOOKUP(B:B,Brand!B:D,3,0)</f>
        <v>692</v>
      </c>
      <c r="BY402" s="41">
        <f>VLOOKUP(M:M,Unit!B:D,3,0)</f>
        <v>2</v>
      </c>
      <c r="BZ402" s="41">
        <f>VLOOKUP(S:S,Promo!B:D,3,0)</f>
        <v>0</v>
      </c>
    </row>
    <row r="403" spans="1:78" s="41" customFormat="1" ht="15.75" customHeight="1">
      <c r="A403" s="41">
        <v>108814</v>
      </c>
      <c r="B403" s="41" t="s">
        <v>1297</v>
      </c>
      <c r="C403" s="65" t="str">
        <f>VLOOKUP(B:B,Brand!B:C,2,0)</f>
        <v>ANLENE</v>
      </c>
      <c r="H403" s="41" t="s">
        <v>3628</v>
      </c>
      <c r="I403" s="41" t="s">
        <v>3629</v>
      </c>
      <c r="J403" s="41" t="s">
        <v>4637</v>
      </c>
      <c r="K403" s="41" t="s">
        <v>4638</v>
      </c>
      <c r="L403" s="41">
        <v>1000</v>
      </c>
      <c r="M403" s="41" t="s">
        <v>83</v>
      </c>
      <c r="N403" s="41" t="str">
        <f>VLOOKUP(M:M,Unit!B:C,2,0)</f>
        <v>g</v>
      </c>
      <c r="O403" s="41" t="s">
        <v>67</v>
      </c>
      <c r="P403" s="41">
        <v>1</v>
      </c>
      <c r="Q403" s="41" t="s">
        <v>104</v>
      </c>
      <c r="R403" s="41" t="str">
        <f>VLOOKUP(Q:Q,Unit!B:D,2,0)</f>
        <v>box</v>
      </c>
      <c r="S403" s="41" t="s">
        <v>75</v>
      </c>
      <c r="T403" s="41" t="str">
        <f>VLOOKUP(S:S,Promo!B:D,2,0)</f>
        <v>Promo EN</v>
      </c>
      <c r="W403" s="41">
        <v>410</v>
      </c>
      <c r="X403" s="41">
        <v>395</v>
      </c>
      <c r="AB403" s="41" t="s">
        <v>91</v>
      </c>
      <c r="AF403" s="41" t="s">
        <v>3373</v>
      </c>
      <c r="AG403" s="41" t="s">
        <v>71</v>
      </c>
      <c r="AH403" s="41" t="s">
        <v>71</v>
      </c>
      <c r="AI403" s="41" t="s">
        <v>71</v>
      </c>
      <c r="AJ403" s="41" t="s">
        <v>71</v>
      </c>
      <c r="AK403" s="41" t="s">
        <v>71</v>
      </c>
      <c r="AL403" s="41" t="s">
        <v>71</v>
      </c>
      <c r="AP403" s="41" t="s">
        <v>3630</v>
      </c>
      <c r="BS403" s="41" t="s">
        <v>2058</v>
      </c>
      <c r="BT403" s="41" t="s">
        <v>72</v>
      </c>
      <c r="BW403" s="41" t="s">
        <v>72</v>
      </c>
      <c r="BX403" s="41">
        <f>VLOOKUP(B:B,Brand!B:D,3,0)</f>
        <v>712</v>
      </c>
      <c r="BY403" s="41">
        <f>VLOOKUP(M:M,Unit!B:D,3,0)</f>
        <v>1</v>
      </c>
      <c r="BZ403" s="41">
        <f>VLOOKUP(S:S,Promo!B:D,3,0)</f>
        <v>0</v>
      </c>
    </row>
    <row r="404" spans="1:78" s="41" customFormat="1" ht="15.75" customHeight="1">
      <c r="A404" s="41">
        <v>549718</v>
      </c>
      <c r="B404" s="41" t="s">
        <v>1157</v>
      </c>
      <c r="C404" s="65" t="str">
        <f>VLOOKUP(B:B,Brand!B:C,2,0)</f>
        <v>Smartheart</v>
      </c>
      <c r="H404" s="41" t="s">
        <v>2378</v>
      </c>
      <c r="I404" s="41" t="s">
        <v>2377</v>
      </c>
      <c r="J404" s="65" t="str">
        <f>TRIM(CONCATENATE(B404," ",H404," ",L404," ",M404," ",O404,P404," ",Q404))</f>
        <v>สมาร์ทฮาร์ท อาหารสุนัข รสเนื้อ 10 กก. x1 กระสอบ</v>
      </c>
      <c r="K404" s="80" t="str">
        <f>TRIM(CONCATENATE(C404," ",I404," ",L404," ",N404," ",O404,P404," ",R404))</f>
        <v>Smartheart DOG FOOD BEEF 10 kg x1 sack</v>
      </c>
      <c r="L404" s="41">
        <v>10</v>
      </c>
      <c r="M404" s="41" t="s">
        <v>79</v>
      </c>
      <c r="N404" s="41" t="str">
        <f>VLOOKUP(M:M,Unit!B:C,2,0)</f>
        <v>kg</v>
      </c>
      <c r="O404" s="41" t="s">
        <v>67</v>
      </c>
      <c r="P404" s="41">
        <v>1</v>
      </c>
      <c r="Q404" s="41" t="s">
        <v>3637</v>
      </c>
      <c r="R404" s="41" t="str">
        <f>VLOOKUP(Q:Q,Unit!B:D,2,0)</f>
        <v>sack</v>
      </c>
      <c r="S404" s="41" t="s">
        <v>75</v>
      </c>
      <c r="T404" s="41" t="str">
        <f>VLOOKUP(S:S,Promo!B:D,2,0)</f>
        <v>Promo EN</v>
      </c>
      <c r="W404" s="41">
        <v>619</v>
      </c>
      <c r="X404" s="41">
        <v>555</v>
      </c>
      <c r="AB404" s="41" t="s">
        <v>91</v>
      </c>
      <c r="AG404" s="41" t="s">
        <v>71</v>
      </c>
      <c r="AH404" s="41" t="s">
        <v>71</v>
      </c>
      <c r="AI404" s="41" t="s">
        <v>71</v>
      </c>
      <c r="AJ404" s="41" t="s">
        <v>71</v>
      </c>
      <c r="AK404" s="41" t="s">
        <v>71</v>
      </c>
      <c r="AL404" s="41" t="s">
        <v>71</v>
      </c>
      <c r="AU404" s="41" t="s">
        <v>2222</v>
      </c>
      <c r="AV404" s="41" t="s">
        <v>2177</v>
      </c>
      <c r="BS404" s="41" t="s">
        <v>2058</v>
      </c>
      <c r="BT404" s="41" t="s">
        <v>72</v>
      </c>
      <c r="BW404" s="41" t="s">
        <v>72</v>
      </c>
      <c r="BX404" s="41">
        <f>VLOOKUP(B:B,Brand!B:D,3,0)</f>
        <v>627</v>
      </c>
      <c r="BY404" s="41">
        <f>VLOOKUP(M:M,Unit!B:D,3,0)</f>
        <v>2</v>
      </c>
      <c r="BZ404" s="41">
        <f>VLOOKUP(S:S,Promo!B:D,3,0)</f>
        <v>0</v>
      </c>
    </row>
    <row r="405" spans="1:78" s="41" customFormat="1" ht="15.75" customHeight="1">
      <c r="A405" s="41">
        <v>802616</v>
      </c>
      <c r="B405" s="41" t="s">
        <v>897</v>
      </c>
      <c r="C405" s="65" t="str">
        <f>VLOOKUP(B:B,Brand!B:C,2,0)</f>
        <v>Friskies</v>
      </c>
      <c r="H405" s="41" t="s">
        <v>2379</v>
      </c>
      <c r="I405" s="41" t="s">
        <v>2380</v>
      </c>
      <c r="J405" s="41" t="s">
        <v>4645</v>
      </c>
      <c r="K405" s="41" t="s">
        <v>4646</v>
      </c>
      <c r="L405" s="41">
        <v>1.2</v>
      </c>
      <c r="M405" s="41" t="s">
        <v>79</v>
      </c>
      <c r="N405" s="41" t="str">
        <f>VLOOKUP(M:M,Unit!B:C,2,0)</f>
        <v>kg</v>
      </c>
      <c r="O405" s="41" t="s">
        <v>67</v>
      </c>
      <c r="P405" s="41">
        <v>1</v>
      </c>
      <c r="Q405" s="41" t="s">
        <v>3637</v>
      </c>
      <c r="R405" s="41" t="str">
        <f>VLOOKUP(Q:Q,Unit!B:D,2,0)</f>
        <v>sack</v>
      </c>
      <c r="S405" s="41" t="s">
        <v>75</v>
      </c>
      <c r="T405" s="41" t="str">
        <f>VLOOKUP(S:S,Promo!B:D,2,0)</f>
        <v>Promo EN</v>
      </c>
      <c r="X405" s="41">
        <v>115</v>
      </c>
      <c r="AB405" s="41" t="s">
        <v>91</v>
      </c>
      <c r="AG405" s="41" t="s">
        <v>71</v>
      </c>
      <c r="AH405" s="41" t="s">
        <v>71</v>
      </c>
      <c r="AI405" s="41" t="s">
        <v>71</v>
      </c>
      <c r="AJ405" s="41" t="s">
        <v>71</v>
      </c>
      <c r="AK405" s="41" t="s">
        <v>71</v>
      </c>
      <c r="AL405" s="41" t="s">
        <v>71</v>
      </c>
      <c r="AP405" s="41" t="s">
        <v>3638</v>
      </c>
      <c r="AU405" s="41" t="s">
        <v>3639</v>
      </c>
      <c r="AV405" s="41" t="s">
        <v>2223</v>
      </c>
      <c r="BS405" s="41" t="s">
        <v>2058</v>
      </c>
      <c r="BT405" s="41" t="s">
        <v>72</v>
      </c>
      <c r="BW405" s="41" t="s">
        <v>72</v>
      </c>
      <c r="BX405" s="41">
        <f>VLOOKUP(B:B,Brand!B:D,3,0)</f>
        <v>454</v>
      </c>
      <c r="BY405" s="41">
        <f>VLOOKUP(M:M,Unit!B:D,3,0)</f>
        <v>2</v>
      </c>
      <c r="BZ405" s="41">
        <f>VLOOKUP(S:S,Promo!B:D,3,0)</f>
        <v>0</v>
      </c>
    </row>
    <row r="406" spans="1:78" s="41" customFormat="1" ht="15.75" customHeight="1">
      <c r="A406" s="41">
        <v>215798</v>
      </c>
      <c r="B406" s="41" t="s">
        <v>2633</v>
      </c>
      <c r="C406" s="65" t="str">
        <f>VLOOKUP(B:B,Brand!B:C,2,0)</f>
        <v>Eno</v>
      </c>
      <c r="H406" s="41" t="s">
        <v>3670</v>
      </c>
      <c r="I406" s="41" t="s">
        <v>3671</v>
      </c>
      <c r="J406" s="65" t="str">
        <f>TRIM(CONCATENATE(B406," ",H406," ",L406," ",M406," ",O406,P406," ",Q406))</f>
        <v>อีโน ฟรุตซอล รสส้ม 4.3 กรัม x24 ซอง</v>
      </c>
      <c r="K406" s="80" t="str">
        <f>TRIM(CONCATENATE(C406," ",I406," ",L406," ",N406," ",O406,P406," ",R406))</f>
        <v>Eno ORANGE FRUITSAL 4.3 g x24 g</v>
      </c>
      <c r="L406" s="41">
        <v>4.3</v>
      </c>
      <c r="M406" s="41" t="s">
        <v>83</v>
      </c>
      <c r="N406" s="41" t="str">
        <f>VLOOKUP(M:M,Unit!B:C,2,0)</f>
        <v>g</v>
      </c>
      <c r="O406" s="41" t="s">
        <v>67</v>
      </c>
      <c r="P406" s="41">
        <v>24</v>
      </c>
      <c r="Q406" s="41" t="s">
        <v>135</v>
      </c>
      <c r="R406" s="41" t="str">
        <f>VLOOKUP(Q:Q,Unit!B:D,2,0)</f>
        <v>g</v>
      </c>
      <c r="S406" s="41" t="s">
        <v>75</v>
      </c>
      <c r="T406" s="41" t="str">
        <f>VLOOKUP(S:S,Promo!B:D,2,0)</f>
        <v>Promo EN</v>
      </c>
      <c r="W406" s="41">
        <v>230</v>
      </c>
      <c r="X406" s="41">
        <v>219</v>
      </c>
      <c r="Z406" s="41" t="s">
        <v>3573</v>
      </c>
      <c r="AA406" s="41" t="s">
        <v>3574</v>
      </c>
      <c r="AB406" s="41" t="s">
        <v>91</v>
      </c>
      <c r="AG406" s="41" t="s">
        <v>71</v>
      </c>
      <c r="AH406" s="41" t="s">
        <v>71</v>
      </c>
      <c r="AI406" s="41" t="s">
        <v>71</v>
      </c>
      <c r="AJ406" s="41" t="s">
        <v>71</v>
      </c>
      <c r="AK406" s="41" t="s">
        <v>71</v>
      </c>
      <c r="AL406" s="41" t="s">
        <v>71</v>
      </c>
      <c r="AU406" s="41" t="s">
        <v>3672</v>
      </c>
      <c r="AV406" s="41" t="s">
        <v>2167</v>
      </c>
      <c r="BS406" s="41" t="s">
        <v>2058</v>
      </c>
      <c r="BT406" s="41" t="s">
        <v>72</v>
      </c>
      <c r="BW406" s="41" t="s">
        <v>72</v>
      </c>
      <c r="BX406" s="41">
        <f>VLOOKUP(B:B,Brand!B:D,3,0)</f>
        <v>1080</v>
      </c>
      <c r="BY406" s="41">
        <f>VLOOKUP(M:M,Unit!B:D,3,0)</f>
        <v>1</v>
      </c>
      <c r="BZ406" s="41">
        <f>VLOOKUP(S:S,Promo!B:D,3,0)</f>
        <v>0</v>
      </c>
    </row>
    <row r="407" spans="1:78" s="41" customFormat="1" ht="15.75" customHeight="1">
      <c r="A407" s="41">
        <v>809961</v>
      </c>
      <c r="B407" s="41" t="s">
        <v>766</v>
      </c>
      <c r="C407" s="65" t="str">
        <f>VLOOKUP(B:B,Brand!B:C,2,0)</f>
        <v>Baby Love DayPants</v>
      </c>
      <c r="H407" s="41" t="s">
        <v>3673</v>
      </c>
      <c r="I407" s="41" t="s">
        <v>3674</v>
      </c>
      <c r="J407" s="41" t="s">
        <v>4691</v>
      </c>
      <c r="K407" s="41" t="s">
        <v>4692</v>
      </c>
      <c r="L407" s="41">
        <v>74</v>
      </c>
      <c r="M407" s="41" t="s">
        <v>68</v>
      </c>
      <c r="N407" s="41" t="str">
        <f>VLOOKUP(M:M,Unit!B:C,2,0)</f>
        <v>pc</v>
      </c>
      <c r="O407" s="41" t="s">
        <v>67</v>
      </c>
      <c r="P407" s="41">
        <v>1</v>
      </c>
      <c r="Q407" s="41" t="s">
        <v>179</v>
      </c>
      <c r="R407" s="41" t="str">
        <f>VLOOKUP(Q:Q,Unit!B:D,2,0)</f>
        <v>pack</v>
      </c>
      <c r="S407" s="41" t="s">
        <v>75</v>
      </c>
      <c r="T407" s="41" t="str">
        <f>VLOOKUP(S:S,Promo!B:D,2,0)</f>
        <v>Promo EN</v>
      </c>
      <c r="W407" s="41">
        <v>365</v>
      </c>
      <c r="X407" s="41">
        <v>335</v>
      </c>
      <c r="Z407" s="41" t="s">
        <v>3573</v>
      </c>
      <c r="AA407" s="41" t="s">
        <v>3574</v>
      </c>
      <c r="AB407" s="41" t="s">
        <v>91</v>
      </c>
      <c r="AE407" s="41" t="s">
        <v>3675</v>
      </c>
      <c r="AG407" s="41" t="s">
        <v>71</v>
      </c>
      <c r="AH407" s="41" t="s">
        <v>71</v>
      </c>
      <c r="AI407" s="41" t="s">
        <v>71</v>
      </c>
      <c r="AJ407" s="41" t="s">
        <v>71</v>
      </c>
      <c r="AK407" s="41" t="s">
        <v>71</v>
      </c>
      <c r="AL407" s="41" t="s">
        <v>71</v>
      </c>
      <c r="AP407" s="41" t="s">
        <v>3676</v>
      </c>
      <c r="AS407" s="41" t="s">
        <v>2131</v>
      </c>
      <c r="AT407" s="41" t="s">
        <v>2286</v>
      </c>
      <c r="BS407" s="41" t="s">
        <v>2058</v>
      </c>
      <c r="BT407" s="41" t="s">
        <v>72</v>
      </c>
      <c r="BW407" s="41" t="s">
        <v>72</v>
      </c>
      <c r="BX407" s="41">
        <f>VLOOKUP(B:B,Brand!B:D,3,0)</f>
        <v>366</v>
      </c>
      <c r="BY407" s="41">
        <f>VLOOKUP(M:M,Unit!B:D,3,0)</f>
        <v>3</v>
      </c>
      <c r="BZ407" s="41">
        <f>VLOOKUP(S:S,Promo!B:D,3,0)</f>
        <v>0</v>
      </c>
    </row>
    <row r="408" spans="1:78" s="41" customFormat="1" ht="15.75" customHeight="1">
      <c r="A408" s="41">
        <v>147866</v>
      </c>
      <c r="B408" s="41" t="s">
        <v>354</v>
      </c>
      <c r="C408" s="65" t="str">
        <f>VLOOKUP(B:B,Brand!B:C,2,0)</f>
        <v>Care</v>
      </c>
      <c r="H408" s="41" t="s">
        <v>3677</v>
      </c>
      <c r="I408" s="41" t="s">
        <v>3678</v>
      </c>
      <c r="J408" s="41" t="s">
        <v>4693</v>
      </c>
      <c r="K408" s="41" t="s">
        <v>4694</v>
      </c>
      <c r="L408" s="41">
        <v>400</v>
      </c>
      <c r="M408" s="41" t="s">
        <v>83</v>
      </c>
      <c r="N408" s="41" t="str">
        <f>VLOOKUP(M:M,Unit!B:C,2,0)</f>
        <v>g</v>
      </c>
      <c r="O408" s="41" t="s">
        <v>67</v>
      </c>
      <c r="P408" s="41" t="s">
        <v>3679</v>
      </c>
      <c r="Q408" s="41" t="s">
        <v>68</v>
      </c>
      <c r="R408" s="41" t="str">
        <f>VLOOKUP(Q:Q,Unit!B:D,2,0)</f>
        <v>pc</v>
      </c>
      <c r="S408" s="41" t="s">
        <v>75</v>
      </c>
      <c r="T408" s="41" t="str">
        <f>VLOOKUP(S:S,Promo!B:D,2,0)</f>
        <v>Promo EN</v>
      </c>
      <c r="W408" s="41">
        <v>95</v>
      </c>
      <c r="X408" s="41">
        <v>92</v>
      </c>
      <c r="AB408" s="41" t="s">
        <v>91</v>
      </c>
      <c r="AG408" s="41" t="s">
        <v>71</v>
      </c>
      <c r="AH408" s="41" t="s">
        <v>71</v>
      </c>
      <c r="AI408" s="41" t="s">
        <v>71</v>
      </c>
      <c r="AJ408" s="41" t="s">
        <v>71</v>
      </c>
      <c r="AK408" s="41" t="s">
        <v>71</v>
      </c>
      <c r="AL408" s="41" t="s">
        <v>71</v>
      </c>
      <c r="AQ408" s="41" t="s">
        <v>3680</v>
      </c>
      <c r="AR408" s="41" t="s">
        <v>3681</v>
      </c>
      <c r="BS408" s="41" t="s">
        <v>2058</v>
      </c>
      <c r="BT408" s="41" t="s">
        <v>72</v>
      </c>
      <c r="BW408" s="41" t="s">
        <v>72</v>
      </c>
      <c r="BX408" s="41">
        <f>VLOOKUP(B:B,Brand!B:D,3,0)</f>
        <v>93</v>
      </c>
      <c r="BY408" s="41">
        <f>VLOOKUP(M:M,Unit!B:D,3,0)</f>
        <v>1</v>
      </c>
      <c r="BZ408" s="41">
        <f>VLOOKUP(S:S,Promo!B:D,3,0)</f>
        <v>0</v>
      </c>
    </row>
    <row r="409" spans="1:78" s="41" customFormat="1" ht="15.75" customHeight="1">
      <c r="A409" s="41">
        <v>835172</v>
      </c>
      <c r="B409" s="41" t="s">
        <v>519</v>
      </c>
      <c r="C409" s="65" t="str">
        <f>VLOOKUP(B:B,Brand!B:C,2,0)</f>
        <v>Dok Bua Ku/Twin Lotus</v>
      </c>
      <c r="H409" s="41" t="s">
        <v>2170</v>
      </c>
      <c r="I409" s="41" t="s">
        <v>3682</v>
      </c>
      <c r="J409" s="41" t="s">
        <v>4695</v>
      </c>
      <c r="K409" s="41" t="s">
        <v>4696</v>
      </c>
      <c r="L409" s="41">
        <v>150</v>
      </c>
      <c r="M409" s="41" t="s">
        <v>83</v>
      </c>
      <c r="N409" s="41" t="str">
        <f>VLOOKUP(M:M,Unit!B:C,2,0)</f>
        <v>g</v>
      </c>
      <c r="O409" s="41" t="s">
        <v>67</v>
      </c>
      <c r="P409" s="41">
        <v>6</v>
      </c>
      <c r="Q409" s="41" t="s">
        <v>214</v>
      </c>
      <c r="R409" s="41" t="str">
        <f>VLOOKUP(Q:Q,Unit!B:D,2,0)</f>
        <v>bulb</v>
      </c>
      <c r="S409" s="41" t="s">
        <v>75</v>
      </c>
      <c r="T409" s="41" t="str">
        <f>VLOOKUP(S:S,Promo!B:D,2,0)</f>
        <v>Promo EN</v>
      </c>
      <c r="W409" s="41">
        <v>242</v>
      </c>
      <c r="X409" s="41">
        <v>229</v>
      </c>
      <c r="AB409" s="41" t="s">
        <v>91</v>
      </c>
      <c r="AF409" s="41" t="s">
        <v>3373</v>
      </c>
      <c r="AG409" s="41" t="s">
        <v>71</v>
      </c>
      <c r="AH409" s="41" t="s">
        <v>71</v>
      </c>
      <c r="AI409" s="41" t="s">
        <v>71</v>
      </c>
      <c r="AJ409" s="41" t="s">
        <v>71</v>
      </c>
      <c r="AK409" s="41" t="s">
        <v>71</v>
      </c>
      <c r="AL409" s="41" t="s">
        <v>71</v>
      </c>
      <c r="AP409" s="41" t="s">
        <v>3683</v>
      </c>
      <c r="BS409" s="41" t="s">
        <v>2058</v>
      </c>
      <c r="BT409" s="41" t="s">
        <v>72</v>
      </c>
      <c r="BW409" s="41" t="s">
        <v>72</v>
      </c>
      <c r="BX409" s="41">
        <f>VLOOKUP(B:B,Brand!B:D,3,0)</f>
        <v>206</v>
      </c>
      <c r="BY409" s="41">
        <f>VLOOKUP(M:M,Unit!B:D,3,0)</f>
        <v>1</v>
      </c>
      <c r="BZ409" s="41">
        <f>VLOOKUP(S:S,Promo!B:D,3,0)</f>
        <v>0</v>
      </c>
    </row>
    <row r="410" spans="1:78" s="41" customFormat="1" ht="15.75" customHeight="1">
      <c r="A410" s="41">
        <v>224003</v>
      </c>
      <c r="B410" s="41" t="s">
        <v>2402</v>
      </c>
      <c r="C410" s="65" t="str">
        <f>VLOOKUP(B:B,Brand!B:C,2,0)</f>
        <v>Snake Brand</v>
      </c>
      <c r="H410" s="41" t="s">
        <v>3684</v>
      </c>
      <c r="I410" s="41" t="s">
        <v>3685</v>
      </c>
      <c r="J410" s="41" t="s">
        <v>4697</v>
      </c>
      <c r="K410" s="41" t="s">
        <v>4698</v>
      </c>
      <c r="L410" s="41">
        <v>50</v>
      </c>
      <c r="M410" s="41" t="s">
        <v>83</v>
      </c>
      <c r="N410" s="41" t="str">
        <f>VLOOKUP(M:M,Unit!B:C,2,0)</f>
        <v>g</v>
      </c>
      <c r="O410" s="41" t="s">
        <v>67</v>
      </c>
      <c r="P410" s="41">
        <v>12</v>
      </c>
      <c r="Q410" s="41" t="s">
        <v>2154</v>
      </c>
      <c r="R410" s="41" t="str">
        <f>VLOOKUP(Q:Q,Unit!B:D,2,0)</f>
        <v>can</v>
      </c>
      <c r="S410" s="41" t="s">
        <v>75</v>
      </c>
      <c r="T410" s="41" t="str">
        <f>VLOOKUP(S:S,Promo!B:D,2,0)</f>
        <v>Promo EN</v>
      </c>
      <c r="W410" s="41">
        <v>130</v>
      </c>
      <c r="X410" s="41">
        <v>125</v>
      </c>
      <c r="AB410" s="41" t="s">
        <v>91</v>
      </c>
      <c r="AF410" s="41" t="s">
        <v>3373</v>
      </c>
      <c r="AG410" s="41" t="s">
        <v>71</v>
      </c>
      <c r="AH410" s="41" t="s">
        <v>71</v>
      </c>
      <c r="AI410" s="41" t="s">
        <v>71</v>
      </c>
      <c r="AJ410" s="41" t="s">
        <v>71</v>
      </c>
      <c r="AK410" s="41" t="s">
        <v>71</v>
      </c>
      <c r="AL410" s="41" t="s">
        <v>71</v>
      </c>
      <c r="AP410" s="41" t="s">
        <v>3686</v>
      </c>
      <c r="BS410" s="41" t="s">
        <v>2058</v>
      </c>
      <c r="BT410" s="41" t="s">
        <v>72</v>
      </c>
      <c r="BW410" s="41" t="s">
        <v>72</v>
      </c>
      <c r="BX410" s="41">
        <f>VLOOKUP(B:B,Brand!B:D,3,0)</f>
        <v>245</v>
      </c>
      <c r="BY410" s="41">
        <f>VLOOKUP(M:M,Unit!B:D,3,0)</f>
        <v>1</v>
      </c>
      <c r="BZ410" s="41">
        <f>VLOOKUP(S:S,Promo!B:D,3,0)</f>
        <v>0</v>
      </c>
    </row>
    <row r="411" spans="1:78" s="41" customFormat="1" ht="15.75" customHeight="1">
      <c r="A411" s="41">
        <v>463619</v>
      </c>
      <c r="B411" s="41" t="s">
        <v>856</v>
      </c>
      <c r="C411" s="65" t="str">
        <f>VLOOKUP(B:B,Brand!B:C,2,0)</f>
        <v>Paracap</v>
      </c>
      <c r="H411" s="41" t="s">
        <v>2226</v>
      </c>
      <c r="I411" s="41" t="s">
        <v>2227</v>
      </c>
      <c r="J411" s="41" t="s">
        <v>4699</v>
      </c>
      <c r="K411" s="41" t="s">
        <v>4700</v>
      </c>
      <c r="L411" s="41">
        <v>10</v>
      </c>
      <c r="M411" s="41" t="s">
        <v>1798</v>
      </c>
      <c r="N411" s="41" t="str">
        <f>VLOOKUP(M:M,Unit!B:C,2,0)</f>
        <v>pill</v>
      </c>
      <c r="O411" s="41" t="s">
        <v>67</v>
      </c>
      <c r="P411" s="41">
        <v>50</v>
      </c>
      <c r="Q411" s="41" t="s">
        <v>2173</v>
      </c>
      <c r="R411" s="41" t="str">
        <f>VLOOKUP(Q:Q,Unit!B:D,2,0)</f>
        <v>panel</v>
      </c>
      <c r="S411" s="41" t="s">
        <v>75</v>
      </c>
      <c r="T411" s="41" t="str">
        <f>VLOOKUP(S:S,Promo!B:D,2,0)</f>
        <v>Promo EN</v>
      </c>
      <c r="W411" s="41">
        <v>380</v>
      </c>
      <c r="X411" s="41">
        <v>362</v>
      </c>
      <c r="AB411" s="41" t="s">
        <v>91</v>
      </c>
      <c r="AG411" s="41" t="s">
        <v>71</v>
      </c>
      <c r="AH411" s="41" t="s">
        <v>71</v>
      </c>
      <c r="AI411" s="41" t="s">
        <v>71</v>
      </c>
      <c r="AJ411" s="41" t="s">
        <v>71</v>
      </c>
      <c r="AK411" s="41" t="s">
        <v>71</v>
      </c>
      <c r="AL411" s="41" t="s">
        <v>71</v>
      </c>
      <c r="BS411" s="41" t="s">
        <v>2058</v>
      </c>
      <c r="BT411" s="41" t="s">
        <v>72</v>
      </c>
      <c r="BW411" s="41" t="s">
        <v>72</v>
      </c>
      <c r="BX411" s="41">
        <f>VLOOKUP(B:B,Brand!B:D,3,0)</f>
        <v>428</v>
      </c>
      <c r="BY411" s="41">
        <f>VLOOKUP(M:M,Unit!B:D,3,0)</f>
        <v>8</v>
      </c>
      <c r="BZ411" s="41">
        <f>VLOOKUP(S:S,Promo!B:D,3,0)</f>
        <v>0</v>
      </c>
    </row>
    <row r="412" spans="1:78" s="41" customFormat="1" ht="15.75" customHeight="1">
      <c r="A412" s="41">
        <v>818088</v>
      </c>
      <c r="B412" s="41" t="s">
        <v>735</v>
      </c>
      <c r="C412" s="65" t="str">
        <f>VLOOKUP(B:B,Brand!B:C,2,0)</f>
        <v>Bioré</v>
      </c>
      <c r="H412" s="41" t="s">
        <v>3689</v>
      </c>
      <c r="I412" s="41" t="s">
        <v>3690</v>
      </c>
      <c r="J412" s="41" t="s">
        <v>4701</v>
      </c>
      <c r="K412" s="41" t="s">
        <v>4702</v>
      </c>
      <c r="L412" s="41">
        <v>15</v>
      </c>
      <c r="M412" s="41" t="s">
        <v>66</v>
      </c>
      <c r="N412" s="41" t="str">
        <f>VLOOKUP(M:M,Unit!B:C,2,0)</f>
        <v>ml</v>
      </c>
      <c r="O412" s="41" t="s">
        <v>67</v>
      </c>
      <c r="P412" s="41">
        <v>3</v>
      </c>
      <c r="Q412" s="41" t="s">
        <v>68</v>
      </c>
      <c r="R412" s="41" t="str">
        <f>VLOOKUP(Q:Q,Unit!B:D,2,0)</f>
        <v>pc</v>
      </c>
      <c r="S412" s="41" t="s">
        <v>75</v>
      </c>
      <c r="T412" s="41" t="str">
        <f>VLOOKUP(S:S,Promo!B:D,2,0)</f>
        <v>Promo EN</v>
      </c>
      <c r="X412" s="41">
        <v>309</v>
      </c>
      <c r="AB412" s="41" t="s">
        <v>91</v>
      </c>
      <c r="AG412" s="41" t="s">
        <v>71</v>
      </c>
      <c r="AH412" s="41" t="s">
        <v>71</v>
      </c>
      <c r="AI412" s="41" t="s">
        <v>71</v>
      </c>
      <c r="AJ412" s="41" t="s">
        <v>71</v>
      </c>
      <c r="AK412" s="41" t="s">
        <v>71</v>
      </c>
      <c r="AL412" s="41" t="s">
        <v>71</v>
      </c>
      <c r="AP412" s="41" t="s">
        <v>3691</v>
      </c>
      <c r="BS412" s="41" t="s">
        <v>2058</v>
      </c>
      <c r="BT412" s="41" t="s">
        <v>72</v>
      </c>
      <c r="BW412" s="41" t="s">
        <v>72</v>
      </c>
      <c r="BX412" s="41">
        <f>VLOOKUP(B:B,Brand!B:D,3,0)</f>
        <v>350</v>
      </c>
      <c r="BY412" s="41">
        <f>VLOOKUP(M:M,Unit!B:D,3,0)</f>
        <v>4</v>
      </c>
      <c r="BZ412" s="41">
        <f>VLOOKUP(S:S,Promo!B:D,3,0)</f>
        <v>0</v>
      </c>
    </row>
    <row r="413" spans="1:78" s="41" customFormat="1" ht="15.75" customHeight="1">
      <c r="A413" s="41">
        <v>818635</v>
      </c>
      <c r="B413" s="41" t="s">
        <v>2352</v>
      </c>
      <c r="C413" s="65" t="str">
        <f>VLOOKUP(B:B,Brand!B:C,2,0)</f>
        <v>Schwarzkopf</v>
      </c>
      <c r="H413" s="41" t="s">
        <v>3693</v>
      </c>
      <c r="I413" s="41" t="s">
        <v>3694</v>
      </c>
      <c r="J413" s="41" t="s">
        <v>4705</v>
      </c>
      <c r="K413" s="41" t="s">
        <v>4706</v>
      </c>
      <c r="L413" s="41">
        <v>40</v>
      </c>
      <c r="M413" s="41" t="s">
        <v>66</v>
      </c>
      <c r="N413" s="41" t="str">
        <f>VLOOKUP(M:M,Unit!B:C,2,0)</f>
        <v>ml</v>
      </c>
      <c r="O413" s="41" t="s">
        <v>67</v>
      </c>
      <c r="P413" s="41">
        <v>1</v>
      </c>
      <c r="Q413" s="41" t="s">
        <v>68</v>
      </c>
      <c r="R413" s="41" t="str">
        <f>VLOOKUP(Q:Q,Unit!B:D,2,0)</f>
        <v>pc</v>
      </c>
      <c r="S413" s="41" t="s">
        <v>75</v>
      </c>
      <c r="T413" s="41" t="str">
        <f>VLOOKUP(S:S,Promo!B:D,2,0)</f>
        <v>Promo EN</v>
      </c>
      <c r="X413" s="41">
        <v>226</v>
      </c>
      <c r="AB413" s="41" t="s">
        <v>91</v>
      </c>
      <c r="AG413" s="41" t="s">
        <v>71</v>
      </c>
      <c r="AH413" s="41" t="s">
        <v>71</v>
      </c>
      <c r="AI413" s="41" t="s">
        <v>71</v>
      </c>
      <c r="AJ413" s="41" t="s">
        <v>71</v>
      </c>
      <c r="AK413" s="41" t="s">
        <v>71</v>
      </c>
      <c r="AL413" s="41" t="s">
        <v>71</v>
      </c>
      <c r="AP413" s="41" t="s">
        <v>3695</v>
      </c>
      <c r="AQ413" s="41" t="s">
        <v>2353</v>
      </c>
      <c r="AR413" s="41" t="s">
        <v>2354</v>
      </c>
      <c r="BS413" s="41" t="s">
        <v>2058</v>
      </c>
      <c r="BT413" s="41" t="s">
        <v>72</v>
      </c>
      <c r="BW413" s="41" t="s">
        <v>72</v>
      </c>
      <c r="BX413" s="41">
        <f>VLOOKUP(B:B,Brand!B:D,3,0)</f>
        <v>998</v>
      </c>
      <c r="BY413" s="41">
        <f>VLOOKUP(M:M,Unit!B:D,3,0)</f>
        <v>4</v>
      </c>
      <c r="BZ413" s="41">
        <f>VLOOKUP(S:S,Promo!B:D,3,0)</f>
        <v>0</v>
      </c>
    </row>
    <row r="414" spans="1:78" s="41" customFormat="1" ht="15.75" customHeight="1">
      <c r="A414" s="41">
        <v>200072</v>
      </c>
      <c r="B414" s="41" t="s">
        <v>2359</v>
      </c>
      <c r="C414" s="65" t="str">
        <f>VLOOKUP(B:B,Brand!B:C,2,0)</f>
        <v>Berman</v>
      </c>
      <c r="H414" s="41" t="s">
        <v>2294</v>
      </c>
      <c r="I414" s="41" t="s">
        <v>2295</v>
      </c>
      <c r="J414" s="41" t="s">
        <v>4707</v>
      </c>
      <c r="K414" s="41" t="s">
        <v>4708</v>
      </c>
      <c r="L414" s="41">
        <v>6</v>
      </c>
      <c r="M414" s="41" t="s">
        <v>68</v>
      </c>
      <c r="N414" s="41" t="str">
        <f>VLOOKUP(M:M,Unit!B:C,2,0)</f>
        <v>pc</v>
      </c>
      <c r="O414" s="41" t="s">
        <v>67</v>
      </c>
      <c r="P414" s="41">
        <v>1</v>
      </c>
      <c r="Q414" s="41" t="s">
        <v>179</v>
      </c>
      <c r="R414" s="41" t="str">
        <f>VLOOKUP(Q:Q,Unit!B:D,2,0)</f>
        <v>pack</v>
      </c>
      <c r="S414" s="41" t="s">
        <v>75</v>
      </c>
      <c r="T414" s="41" t="str">
        <f>VLOOKUP(S:S,Promo!B:D,2,0)</f>
        <v>Promo EN</v>
      </c>
      <c r="W414" s="41">
        <v>89</v>
      </c>
      <c r="X414" s="41">
        <v>85</v>
      </c>
      <c r="AB414" s="41" t="s">
        <v>91</v>
      </c>
      <c r="AG414" s="41" t="s">
        <v>71</v>
      </c>
      <c r="AH414" s="41" t="s">
        <v>71</v>
      </c>
      <c r="AI414" s="41" t="s">
        <v>71</v>
      </c>
      <c r="AJ414" s="41" t="s">
        <v>71</v>
      </c>
      <c r="AK414" s="41" t="s">
        <v>71</v>
      </c>
      <c r="AL414" s="41" t="s">
        <v>71</v>
      </c>
      <c r="AP414" s="41" t="s">
        <v>3588</v>
      </c>
      <c r="BS414" s="41" t="s">
        <v>2058</v>
      </c>
      <c r="BT414" s="41" t="s">
        <v>72</v>
      </c>
      <c r="BW414" s="41" t="s">
        <v>72</v>
      </c>
      <c r="BX414" s="41">
        <f>VLOOKUP(B:B,Brand!B:D,3,0)</f>
        <v>1012</v>
      </c>
      <c r="BY414" s="41">
        <f>VLOOKUP(M:M,Unit!B:D,3,0)</f>
        <v>3</v>
      </c>
      <c r="BZ414" s="41">
        <f>VLOOKUP(S:S,Promo!B:D,3,0)</f>
        <v>0</v>
      </c>
    </row>
    <row r="415" spans="1:78" s="41" customFormat="1" ht="15.75" customHeight="1">
      <c r="A415" s="41">
        <v>138804</v>
      </c>
      <c r="B415" s="41" t="s">
        <v>301</v>
      </c>
      <c r="C415" s="65" t="str">
        <f>VLOOKUP(B:B,Brand!B:C,2,0)</f>
        <v>Colgate</v>
      </c>
      <c r="H415" s="41" t="s">
        <v>3696</v>
      </c>
      <c r="I415" s="41" t="s">
        <v>3697</v>
      </c>
      <c r="J415" s="41" t="s">
        <v>4709</v>
      </c>
      <c r="K415" s="41" t="s">
        <v>4710</v>
      </c>
      <c r="L415" s="41">
        <v>35</v>
      </c>
      <c r="M415" s="41" t="s">
        <v>83</v>
      </c>
      <c r="N415" s="41" t="str">
        <f>VLOOKUP(M:M,Unit!B:C,2,0)</f>
        <v>g</v>
      </c>
      <c r="O415" s="41" t="s">
        <v>67</v>
      </c>
      <c r="P415" s="41" t="s">
        <v>3698</v>
      </c>
      <c r="Q415" s="41" t="s">
        <v>68</v>
      </c>
      <c r="R415" s="41" t="str">
        <f>VLOOKUP(Q:Q,Unit!B:D,2,0)</f>
        <v>pc</v>
      </c>
      <c r="S415" s="41" t="s">
        <v>75</v>
      </c>
      <c r="T415" s="41" t="str">
        <f>VLOOKUP(S:S,Promo!B:D,2,0)</f>
        <v>Promo EN</v>
      </c>
      <c r="W415" s="41">
        <v>137</v>
      </c>
      <c r="X415" s="41">
        <v>129</v>
      </c>
      <c r="AB415" s="41" t="s">
        <v>91</v>
      </c>
      <c r="AG415" s="41" t="s">
        <v>71</v>
      </c>
      <c r="AH415" s="41" t="s">
        <v>71</v>
      </c>
      <c r="AI415" s="41" t="s">
        <v>71</v>
      </c>
      <c r="AJ415" s="41" t="s">
        <v>71</v>
      </c>
      <c r="AK415" s="41" t="s">
        <v>71</v>
      </c>
      <c r="AL415" s="41" t="s">
        <v>71</v>
      </c>
      <c r="AP415" s="41" t="s">
        <v>3699</v>
      </c>
      <c r="AU415" s="41" t="s">
        <v>3700</v>
      </c>
      <c r="AV415" s="41" t="s">
        <v>3701</v>
      </c>
      <c r="BS415" s="41" t="s">
        <v>2058</v>
      </c>
      <c r="BT415" s="41" t="s">
        <v>72</v>
      </c>
      <c r="BW415" s="41" t="s">
        <v>72</v>
      </c>
      <c r="BX415" s="41">
        <f>VLOOKUP(B:B,Brand!B:D,3,0)</f>
        <v>62</v>
      </c>
      <c r="BY415" s="41">
        <f>VLOOKUP(M:M,Unit!B:D,3,0)</f>
        <v>1</v>
      </c>
      <c r="BZ415" s="41">
        <f>VLOOKUP(S:S,Promo!B:D,3,0)</f>
        <v>0</v>
      </c>
    </row>
    <row r="416" spans="1:78" s="41" customFormat="1" ht="15.75" customHeight="1">
      <c r="A416" s="41">
        <v>216333</v>
      </c>
      <c r="B416" s="41" t="s">
        <v>373</v>
      </c>
      <c r="C416" s="65" t="str">
        <f>VLOOKUP(B:B,Brand!B:C,2,0)</f>
        <v>Johnson's</v>
      </c>
      <c r="H416" s="41" t="s">
        <v>3720</v>
      </c>
      <c r="I416" s="41" t="s">
        <v>3721</v>
      </c>
      <c r="J416" s="41" t="s">
        <v>4723</v>
      </c>
      <c r="K416" s="41" t="s">
        <v>4724</v>
      </c>
      <c r="L416" s="41">
        <v>50</v>
      </c>
      <c r="M416" s="41" t="s">
        <v>83</v>
      </c>
      <c r="N416" s="41" t="str">
        <f>VLOOKUP(M:M,Unit!B:C,2,0)</f>
        <v>g</v>
      </c>
      <c r="O416" s="41" t="s">
        <v>67</v>
      </c>
      <c r="P416" s="41">
        <v>12</v>
      </c>
      <c r="Q416" s="41" t="s">
        <v>2154</v>
      </c>
      <c r="R416" s="41" t="str">
        <f>VLOOKUP(Q:Q,Unit!B:D,2,0)</f>
        <v>can</v>
      </c>
      <c r="S416" s="41" t="s">
        <v>75</v>
      </c>
      <c r="T416" s="41" t="str">
        <f>VLOOKUP(S:S,Promo!B:D,2,0)</f>
        <v>Promo EN</v>
      </c>
      <c r="W416" s="41">
        <v>109</v>
      </c>
      <c r="X416" s="41">
        <v>107</v>
      </c>
      <c r="Z416" s="41" t="s">
        <v>3573</v>
      </c>
      <c r="AA416" s="41" t="s">
        <v>3574</v>
      </c>
      <c r="AB416" s="41" t="s">
        <v>91</v>
      </c>
      <c r="AG416" s="41" t="s">
        <v>71</v>
      </c>
      <c r="AH416" s="41" t="s">
        <v>71</v>
      </c>
      <c r="AI416" s="41" t="s">
        <v>71</v>
      </c>
      <c r="AJ416" s="41" t="s">
        <v>71</v>
      </c>
      <c r="AK416" s="41" t="s">
        <v>71</v>
      </c>
      <c r="AL416" s="41" t="s">
        <v>71</v>
      </c>
      <c r="AQ416" s="41" t="s">
        <v>2104</v>
      </c>
      <c r="AR416" s="41" t="s">
        <v>2162</v>
      </c>
      <c r="BS416" s="41" t="s">
        <v>2058</v>
      </c>
      <c r="BT416" s="41" t="s">
        <v>72</v>
      </c>
      <c r="BW416" s="41" t="s">
        <v>72</v>
      </c>
      <c r="BX416" s="41">
        <f>VLOOKUP(B:B,Brand!B:D,3,0)</f>
        <v>108</v>
      </c>
      <c r="BY416" s="41">
        <f>VLOOKUP(M:M,Unit!B:D,3,0)</f>
        <v>1</v>
      </c>
      <c r="BZ416" s="41">
        <f>VLOOKUP(S:S,Promo!B:D,3,0)</f>
        <v>0</v>
      </c>
    </row>
    <row r="417" spans="1:78" s="41" customFormat="1" ht="15.75" customHeight="1">
      <c r="A417" s="41">
        <v>811575</v>
      </c>
      <c r="B417" s="41" t="s">
        <v>2511</v>
      </c>
      <c r="C417" s="65" t="str">
        <f>VLOOKUP(B:B,Brand!B:C,2,0)</f>
        <v>Listerine</v>
      </c>
      <c r="H417" s="41" t="s">
        <v>3722</v>
      </c>
      <c r="I417" s="41" t="s">
        <v>3723</v>
      </c>
      <c r="J417" s="65" t="str">
        <f>TRIM(CONCATENATE(B417," ",H417," ",L417," ",M417," ",O417,P417," ",Q417))</f>
        <v>ลิสเตอร์รีน คูลมินต์ น้ำยาม้วนปาก 80 มล. x6 ขวด</v>
      </c>
      <c r="K417" s="80" t="str">
        <f>TRIM(CONCATENATE(C417," ",I417," ",L417," ",N417," ",O417,P417," ",R417))</f>
        <v>Listerine COOLMINT mouthwash 80 ml x6 bottle</v>
      </c>
      <c r="L417" s="41">
        <v>80</v>
      </c>
      <c r="M417" s="41" t="s">
        <v>66</v>
      </c>
      <c r="N417" s="41" t="str">
        <f>VLOOKUP(M:M,Unit!B:C,2,0)</f>
        <v>ml</v>
      </c>
      <c r="O417" s="41" t="s">
        <v>67</v>
      </c>
      <c r="P417" s="41">
        <v>6</v>
      </c>
      <c r="Q417" s="41" t="s">
        <v>95</v>
      </c>
      <c r="R417" s="41" t="str">
        <f>VLOOKUP(Q:Q,Unit!B:D,2,0)</f>
        <v>bottle</v>
      </c>
      <c r="S417" s="41" t="s">
        <v>75</v>
      </c>
      <c r="T417" s="41" t="str">
        <f>VLOOKUP(S:S,Promo!B:D,2,0)</f>
        <v>Promo EN</v>
      </c>
      <c r="W417" s="41">
        <v>125</v>
      </c>
      <c r="X417" s="41">
        <v>123</v>
      </c>
      <c r="Z417" s="41" t="s">
        <v>3573</v>
      </c>
      <c r="AA417" s="41" t="s">
        <v>3574</v>
      </c>
      <c r="AB417" s="41" t="s">
        <v>91</v>
      </c>
      <c r="AG417" s="41" t="s">
        <v>71</v>
      </c>
      <c r="AH417" s="41" t="s">
        <v>71</v>
      </c>
      <c r="AI417" s="41" t="s">
        <v>71</v>
      </c>
      <c r="AJ417" s="41" t="s">
        <v>71</v>
      </c>
      <c r="AK417" s="41" t="s">
        <v>71</v>
      </c>
      <c r="AL417" s="41" t="s">
        <v>71</v>
      </c>
      <c r="AU417" s="41" t="s">
        <v>3724</v>
      </c>
      <c r="AV417" s="41" t="s">
        <v>3725</v>
      </c>
      <c r="BS417" s="41" t="s">
        <v>2058</v>
      </c>
      <c r="BT417" s="41" t="s">
        <v>72</v>
      </c>
      <c r="BW417" s="41" t="s">
        <v>72</v>
      </c>
      <c r="BX417" s="41">
        <f>VLOOKUP(B:B,Brand!B:D,3,0)</f>
        <v>575</v>
      </c>
      <c r="BY417" s="41">
        <f>VLOOKUP(M:M,Unit!B:D,3,0)</f>
        <v>4</v>
      </c>
      <c r="BZ417" s="41">
        <f>VLOOKUP(S:S,Promo!B:D,3,0)</f>
        <v>0</v>
      </c>
    </row>
    <row r="418" spans="1:78" s="41" customFormat="1" ht="15.75" customHeight="1">
      <c r="A418" s="41">
        <v>144958</v>
      </c>
      <c r="B418" s="41" t="s">
        <v>678</v>
      </c>
      <c r="C418" s="65" t="str">
        <f>VLOOKUP(B:B,Brand!B:C,2,0)</f>
        <v>Nivea</v>
      </c>
      <c r="H418" s="41" t="s">
        <v>3728</v>
      </c>
      <c r="I418" s="41" t="s">
        <v>3729</v>
      </c>
      <c r="J418" s="41" t="s">
        <v>4727</v>
      </c>
      <c r="K418" s="41" t="s">
        <v>4728</v>
      </c>
      <c r="L418" s="41">
        <v>400</v>
      </c>
      <c r="M418" s="41" t="s">
        <v>66</v>
      </c>
      <c r="N418" s="41" t="str">
        <f>VLOOKUP(M:M,Unit!B:C,2,0)</f>
        <v>ml</v>
      </c>
      <c r="O418" s="41" t="s">
        <v>67</v>
      </c>
      <c r="P418" s="41">
        <v>1</v>
      </c>
      <c r="Q418" s="41" t="s">
        <v>95</v>
      </c>
      <c r="R418" s="41" t="str">
        <f>VLOOKUP(Q:Q,Unit!B:D,2,0)</f>
        <v>bottle</v>
      </c>
      <c r="S418" s="41" t="s">
        <v>75</v>
      </c>
      <c r="T418" s="41" t="str">
        <f>VLOOKUP(S:S,Promo!B:D,2,0)</f>
        <v>Promo EN</v>
      </c>
      <c r="W418" s="41">
        <v>113</v>
      </c>
      <c r="X418" s="41">
        <v>99</v>
      </c>
      <c r="AB418" s="41" t="s">
        <v>91</v>
      </c>
      <c r="AG418" s="41" t="s">
        <v>71</v>
      </c>
      <c r="AH418" s="41" t="s">
        <v>71</v>
      </c>
      <c r="AI418" s="41" t="s">
        <v>71</v>
      </c>
      <c r="AJ418" s="41" t="s">
        <v>71</v>
      </c>
      <c r="AK418" s="41" t="s">
        <v>71</v>
      </c>
      <c r="AL418" s="41" t="s">
        <v>71</v>
      </c>
      <c r="BS418" s="41" t="s">
        <v>2058</v>
      </c>
      <c r="BT418" s="41" t="s">
        <v>72</v>
      </c>
      <c r="BW418" s="41" t="s">
        <v>72</v>
      </c>
      <c r="BX418" s="41">
        <f>VLOOKUP(B:B,Brand!B:D,3,0)</f>
        <v>307</v>
      </c>
      <c r="BY418" s="41">
        <f>VLOOKUP(M:M,Unit!B:D,3,0)</f>
        <v>4</v>
      </c>
      <c r="BZ418" s="41">
        <f>VLOOKUP(S:S,Promo!B:D,3,0)</f>
        <v>0</v>
      </c>
    </row>
    <row r="419" spans="1:78" s="41" customFormat="1" ht="15.75" customHeight="1">
      <c r="A419" s="41">
        <v>315991</v>
      </c>
      <c r="B419" s="41" t="s">
        <v>373</v>
      </c>
      <c r="C419" s="65" t="str">
        <f>VLOOKUP(B:B,Brand!B:C,2,0)</f>
        <v>Johnson's</v>
      </c>
      <c r="H419" s="41" t="s">
        <v>3732</v>
      </c>
      <c r="I419" s="41" t="s">
        <v>3733</v>
      </c>
      <c r="J419" s="41" t="s">
        <v>4731</v>
      </c>
      <c r="K419" s="41" t="s">
        <v>4732</v>
      </c>
      <c r="L419" s="41">
        <v>200</v>
      </c>
      <c r="M419" s="41" t="s">
        <v>83</v>
      </c>
      <c r="N419" s="41" t="str">
        <f>VLOOKUP(M:M,Unit!B:C,2,0)</f>
        <v>g</v>
      </c>
      <c r="O419" s="41" t="s">
        <v>67</v>
      </c>
      <c r="P419" s="41">
        <v>6</v>
      </c>
      <c r="Q419" s="41" t="s">
        <v>2154</v>
      </c>
      <c r="R419" s="41" t="str">
        <f>VLOOKUP(Q:Q,Unit!B:D,2,0)</f>
        <v>can</v>
      </c>
      <c r="S419" s="41" t="s">
        <v>75</v>
      </c>
      <c r="T419" s="41" t="str">
        <f>VLOOKUP(S:S,Promo!B:D,2,0)</f>
        <v>Promo EN</v>
      </c>
      <c r="W419" s="41">
        <v>149</v>
      </c>
      <c r="X419" s="41">
        <v>144</v>
      </c>
      <c r="AB419" s="41" t="s">
        <v>91</v>
      </c>
      <c r="AG419" s="41" t="s">
        <v>71</v>
      </c>
      <c r="AH419" s="41" t="s">
        <v>71</v>
      </c>
      <c r="AI419" s="41" t="s">
        <v>71</v>
      </c>
      <c r="AJ419" s="41" t="s">
        <v>71</v>
      </c>
      <c r="AK419" s="41" t="s">
        <v>71</v>
      </c>
      <c r="AL419" s="41" t="s">
        <v>71</v>
      </c>
      <c r="AQ419" s="41" t="s">
        <v>2087</v>
      </c>
      <c r="AR419" s="41" t="s">
        <v>2162</v>
      </c>
      <c r="BS419" s="41" t="s">
        <v>2058</v>
      </c>
      <c r="BT419" s="41" t="s">
        <v>72</v>
      </c>
      <c r="BW419" s="41" t="s">
        <v>72</v>
      </c>
      <c r="BX419" s="41">
        <f>VLOOKUP(B:B,Brand!B:D,3,0)</f>
        <v>108</v>
      </c>
      <c r="BY419" s="41">
        <f>VLOOKUP(M:M,Unit!B:D,3,0)</f>
        <v>1</v>
      </c>
      <c r="BZ419" s="41">
        <f>VLOOKUP(S:S,Promo!B:D,3,0)</f>
        <v>0</v>
      </c>
    </row>
    <row r="420" spans="1:78" s="41" customFormat="1" ht="15.75" customHeight="1">
      <c r="A420" s="41">
        <v>146114</v>
      </c>
      <c r="B420" s="41" t="s">
        <v>373</v>
      </c>
      <c r="C420" s="65" t="str">
        <f>VLOOKUP(B:B,Brand!B:C,2,0)</f>
        <v>Johnson's</v>
      </c>
      <c r="H420" s="41" t="s">
        <v>3734</v>
      </c>
      <c r="I420" s="41" t="s">
        <v>3735</v>
      </c>
      <c r="J420" s="41" t="s">
        <v>4733</v>
      </c>
      <c r="K420" s="41" t="s">
        <v>4734</v>
      </c>
      <c r="L420" s="41">
        <v>1000</v>
      </c>
      <c r="M420" s="41" t="s">
        <v>66</v>
      </c>
      <c r="N420" s="41" t="str">
        <f>VLOOKUP(M:M,Unit!B:C,2,0)</f>
        <v>ml</v>
      </c>
      <c r="O420" s="41" t="s">
        <v>67</v>
      </c>
      <c r="P420" s="41">
        <v>1</v>
      </c>
      <c r="Q420" s="41" t="s">
        <v>95</v>
      </c>
      <c r="R420" s="41" t="str">
        <f>VLOOKUP(Q:Q,Unit!B:D,2,0)</f>
        <v>bottle</v>
      </c>
      <c r="S420" s="41" t="s">
        <v>75</v>
      </c>
      <c r="T420" s="41" t="str">
        <f>VLOOKUP(S:S,Promo!B:D,2,0)</f>
        <v>Promo EN</v>
      </c>
      <c r="W420" s="41">
        <v>184</v>
      </c>
      <c r="X420" s="41">
        <v>174</v>
      </c>
      <c r="AB420" s="41" t="s">
        <v>91</v>
      </c>
      <c r="AG420" s="41" t="s">
        <v>71</v>
      </c>
      <c r="AH420" s="41" t="s">
        <v>71</v>
      </c>
      <c r="AI420" s="41" t="s">
        <v>71</v>
      </c>
      <c r="AJ420" s="41" t="s">
        <v>71</v>
      </c>
      <c r="AK420" s="41" t="s">
        <v>71</v>
      </c>
      <c r="AL420" s="41" t="s">
        <v>71</v>
      </c>
      <c r="BS420" s="41" t="s">
        <v>2058</v>
      </c>
      <c r="BT420" s="41" t="s">
        <v>72</v>
      </c>
      <c r="BW420" s="41" t="s">
        <v>72</v>
      </c>
      <c r="BX420" s="41">
        <f>VLOOKUP(B:B,Brand!B:D,3,0)</f>
        <v>108</v>
      </c>
      <c r="BY420" s="41">
        <f>VLOOKUP(M:M,Unit!B:D,3,0)</f>
        <v>4</v>
      </c>
      <c r="BZ420" s="41">
        <f>VLOOKUP(S:S,Promo!B:D,3,0)</f>
        <v>0</v>
      </c>
    </row>
    <row r="421" spans="1:78" s="41" customFormat="1" ht="15.75" customHeight="1">
      <c r="A421" s="41">
        <v>218732</v>
      </c>
      <c r="B421" s="41" t="s">
        <v>1354</v>
      </c>
      <c r="C421" s="65" t="str">
        <f>VLOOKUP(B:B,Brand!B:C,2,0)</f>
        <v>Head &amp; Shoulders</v>
      </c>
      <c r="H421" s="41" t="s">
        <v>3746</v>
      </c>
      <c r="I421" s="41" t="s">
        <v>3747</v>
      </c>
      <c r="J421" s="41" t="s">
        <v>4743</v>
      </c>
      <c r="K421" s="41" t="s">
        <v>4744</v>
      </c>
      <c r="L421" s="41">
        <v>65</v>
      </c>
      <c r="M421" s="41" t="s">
        <v>66</v>
      </c>
      <c r="N421" s="41" t="str">
        <f>VLOOKUP(M:M,Unit!B:C,2,0)</f>
        <v>ml</v>
      </c>
      <c r="O421" s="41" t="s">
        <v>67</v>
      </c>
      <c r="P421" s="41">
        <v>6</v>
      </c>
      <c r="Q421" s="41" t="s">
        <v>95</v>
      </c>
      <c r="R421" s="41" t="str">
        <f>VLOOKUP(Q:Q,Unit!B:D,2,0)</f>
        <v>bottle</v>
      </c>
      <c r="S421" s="41" t="s">
        <v>75</v>
      </c>
      <c r="T421" s="41" t="str">
        <f>VLOOKUP(S:S,Promo!B:D,2,0)</f>
        <v>Promo EN</v>
      </c>
      <c r="W421" s="41">
        <v>126</v>
      </c>
      <c r="X421" s="41">
        <v>119</v>
      </c>
      <c r="AB421" s="41" t="s">
        <v>91</v>
      </c>
      <c r="AF421" s="41" t="s">
        <v>3373</v>
      </c>
      <c r="AG421" s="41" t="s">
        <v>71</v>
      </c>
      <c r="AH421" s="41" t="s">
        <v>71</v>
      </c>
      <c r="AI421" s="41" t="s">
        <v>71</v>
      </c>
      <c r="AJ421" s="41" t="s">
        <v>71</v>
      </c>
      <c r="AK421" s="41" t="s">
        <v>71</v>
      </c>
      <c r="AL421" s="41" t="s">
        <v>71</v>
      </c>
      <c r="AU421" s="41" t="s">
        <v>3748</v>
      </c>
      <c r="AV421" s="41" t="s">
        <v>3749</v>
      </c>
      <c r="BS421" s="41" t="s">
        <v>2058</v>
      </c>
      <c r="BT421" s="41" t="s">
        <v>72</v>
      </c>
      <c r="BW421" s="41" t="s">
        <v>72</v>
      </c>
      <c r="BX421" s="41">
        <f>VLOOKUP(B:B,Brand!B:D,3,0)</f>
        <v>746</v>
      </c>
      <c r="BY421" s="41">
        <f>VLOOKUP(M:M,Unit!B:D,3,0)</f>
        <v>4</v>
      </c>
      <c r="BZ421" s="41">
        <f>VLOOKUP(S:S,Promo!B:D,3,0)</f>
        <v>0</v>
      </c>
    </row>
    <row r="422" spans="1:78" s="41" customFormat="1" ht="15.75" customHeight="1">
      <c r="A422" s="41">
        <v>149864</v>
      </c>
      <c r="B422" s="41" t="s">
        <v>538</v>
      </c>
      <c r="C422" s="65" t="str">
        <f>VLOOKUP(B:B,Brand!B:C,2,0)</f>
        <v>Darlie</v>
      </c>
      <c r="H422" s="41" t="s">
        <v>3750</v>
      </c>
      <c r="I422" s="41" t="s">
        <v>3751</v>
      </c>
      <c r="J422" s="41" t="s">
        <v>4745</v>
      </c>
      <c r="K422" s="41" t="s">
        <v>4746</v>
      </c>
      <c r="L422" s="41" t="s">
        <v>3752</v>
      </c>
      <c r="M422" s="41" t="s">
        <v>83</v>
      </c>
      <c r="N422" s="41" t="str">
        <f>VLOOKUP(M:M,Unit!B:C,2,0)</f>
        <v>g</v>
      </c>
      <c r="O422" s="41" t="s">
        <v>67</v>
      </c>
      <c r="P422" s="41">
        <v>6</v>
      </c>
      <c r="Q422" s="41" t="s">
        <v>68</v>
      </c>
      <c r="R422" s="41" t="str">
        <f>VLOOKUP(Q:Q,Unit!B:D,2,0)</f>
        <v>pc</v>
      </c>
      <c r="S422" s="41" t="s">
        <v>75</v>
      </c>
      <c r="T422" s="41" t="str">
        <f>VLOOKUP(S:S,Promo!B:D,2,0)</f>
        <v>Promo EN</v>
      </c>
      <c r="W422" s="41">
        <v>252</v>
      </c>
      <c r="X422" s="41">
        <v>239</v>
      </c>
      <c r="AB422" s="41" t="s">
        <v>91</v>
      </c>
      <c r="AF422" s="41" t="s">
        <v>3373</v>
      </c>
      <c r="AG422" s="41" t="s">
        <v>71</v>
      </c>
      <c r="AH422" s="41" t="s">
        <v>71</v>
      </c>
      <c r="AI422" s="41" t="s">
        <v>71</v>
      </c>
      <c r="AJ422" s="41" t="s">
        <v>71</v>
      </c>
      <c r="AK422" s="41" t="s">
        <v>71</v>
      </c>
      <c r="AL422" s="41" t="s">
        <v>71</v>
      </c>
      <c r="AP422" s="41" t="s">
        <v>3753</v>
      </c>
      <c r="AQ422" s="41" t="s">
        <v>3754</v>
      </c>
      <c r="BS422" s="41" t="s">
        <v>2058</v>
      </c>
      <c r="BT422" s="41" t="s">
        <v>72</v>
      </c>
      <c r="BW422" s="41" t="s">
        <v>72</v>
      </c>
      <c r="BX422" s="41">
        <f>VLOOKUP(B:B,Brand!B:D,3,0)</f>
        <v>216</v>
      </c>
      <c r="BY422" s="41">
        <f>VLOOKUP(M:M,Unit!B:D,3,0)</f>
        <v>1</v>
      </c>
      <c r="BZ422" s="41">
        <f>VLOOKUP(S:S,Promo!B:D,3,0)</f>
        <v>0</v>
      </c>
    </row>
    <row r="423" spans="1:78" s="41" customFormat="1" ht="15.75" customHeight="1">
      <c r="A423" s="41">
        <v>150522</v>
      </c>
      <c r="B423" s="41" t="s">
        <v>1890</v>
      </c>
      <c r="C423" s="65" t="str">
        <f>VLOOKUP(B:B,Brand!B:C,2,0)</f>
        <v xml:space="preserve">MAMY POKO </v>
      </c>
      <c r="H423" s="41" t="s">
        <v>3755</v>
      </c>
      <c r="I423" s="41" t="s">
        <v>3756</v>
      </c>
      <c r="J423" s="41" t="s">
        <v>4747</v>
      </c>
      <c r="K423" s="41" t="s">
        <v>4748</v>
      </c>
      <c r="L423" s="41">
        <v>4</v>
      </c>
      <c r="M423" s="41" t="s">
        <v>68</v>
      </c>
      <c r="N423" s="41" t="str">
        <f>VLOOKUP(M:M,Unit!B:C,2,0)</f>
        <v>pc</v>
      </c>
      <c r="O423" s="41" t="s">
        <v>67</v>
      </c>
      <c r="P423" s="41">
        <v>4</v>
      </c>
      <c r="Q423" s="41" t="s">
        <v>179</v>
      </c>
      <c r="R423" s="41" t="str">
        <f>VLOOKUP(Q:Q,Unit!B:D,2,0)</f>
        <v>pack</v>
      </c>
      <c r="S423" s="41" t="s">
        <v>75</v>
      </c>
      <c r="T423" s="41" t="str">
        <f>VLOOKUP(S:S,Promo!B:D,2,0)</f>
        <v>Promo EN</v>
      </c>
      <c r="W423" s="41">
        <v>79</v>
      </c>
      <c r="X423" s="41">
        <v>69</v>
      </c>
      <c r="AB423" s="41" t="s">
        <v>91</v>
      </c>
      <c r="AF423" s="41" t="s">
        <v>3373</v>
      </c>
      <c r="AG423" s="41" t="s">
        <v>71</v>
      </c>
      <c r="AH423" s="41" t="s">
        <v>71</v>
      </c>
      <c r="AI423" s="41" t="s">
        <v>71</v>
      </c>
      <c r="AJ423" s="41" t="s">
        <v>71</v>
      </c>
      <c r="AK423" s="41" t="s">
        <v>71</v>
      </c>
      <c r="AL423" s="41" t="s">
        <v>71</v>
      </c>
      <c r="AS423" s="41" t="s">
        <v>2131</v>
      </c>
      <c r="AT423" s="41" t="s">
        <v>2131</v>
      </c>
      <c r="BS423" s="41" t="s">
        <v>2058</v>
      </c>
      <c r="BT423" s="41" t="s">
        <v>72</v>
      </c>
      <c r="BW423" s="41" t="s">
        <v>72</v>
      </c>
      <c r="BX423" s="41">
        <f>VLOOKUP(B:B,Brand!B:D,3,0)</f>
        <v>894</v>
      </c>
      <c r="BY423" s="41">
        <f>VLOOKUP(M:M,Unit!B:D,3,0)</f>
        <v>3</v>
      </c>
      <c r="BZ423" s="41">
        <f>VLOOKUP(S:S,Promo!B:D,3,0)</f>
        <v>0</v>
      </c>
    </row>
    <row r="424" spans="1:78" s="41" customFormat="1" ht="15.75" customHeight="1">
      <c r="A424" s="41">
        <v>809830</v>
      </c>
      <c r="B424" s="41" t="s">
        <v>1890</v>
      </c>
      <c r="C424" s="65" t="str">
        <f>VLOOKUP(B:B,Brand!B:C,2,0)</f>
        <v xml:space="preserve">MAMY POKO </v>
      </c>
      <c r="H424" s="41" t="s">
        <v>3757</v>
      </c>
      <c r="I424" s="41" t="s">
        <v>3758</v>
      </c>
      <c r="J424" s="41" t="s">
        <v>4749</v>
      </c>
      <c r="K424" s="41" t="s">
        <v>4750</v>
      </c>
      <c r="L424" s="41">
        <v>66</v>
      </c>
      <c r="M424" s="41" t="s">
        <v>68</v>
      </c>
      <c r="N424" s="41" t="str">
        <f>VLOOKUP(M:M,Unit!B:C,2,0)</f>
        <v>pc</v>
      </c>
      <c r="O424" s="41" t="s">
        <v>67</v>
      </c>
      <c r="P424" s="41">
        <v>1</v>
      </c>
      <c r="Q424" s="41" t="s">
        <v>179</v>
      </c>
      <c r="R424" s="41" t="str">
        <f>VLOOKUP(Q:Q,Unit!B:D,2,0)</f>
        <v>pack</v>
      </c>
      <c r="S424" s="41" t="s">
        <v>75</v>
      </c>
      <c r="T424" s="41" t="str">
        <f>VLOOKUP(S:S,Promo!B:D,2,0)</f>
        <v>Promo EN</v>
      </c>
      <c r="W424" s="41">
        <v>429</v>
      </c>
      <c r="X424" s="41">
        <v>389</v>
      </c>
      <c r="AB424" s="41" t="s">
        <v>91</v>
      </c>
      <c r="AG424" s="41" t="s">
        <v>71</v>
      </c>
      <c r="AH424" s="41" t="s">
        <v>71</v>
      </c>
      <c r="AI424" s="41" t="s">
        <v>71</v>
      </c>
      <c r="AJ424" s="41" t="s">
        <v>71</v>
      </c>
      <c r="AK424" s="41" t="s">
        <v>71</v>
      </c>
      <c r="AL424" s="41" t="s">
        <v>71</v>
      </c>
      <c r="AS424" s="41" t="s">
        <v>2131</v>
      </c>
      <c r="AT424" s="41" t="s">
        <v>2131</v>
      </c>
      <c r="BS424" s="41" t="s">
        <v>2058</v>
      </c>
      <c r="BT424" s="41" t="s">
        <v>72</v>
      </c>
      <c r="BW424" s="41" t="s">
        <v>72</v>
      </c>
      <c r="BX424" s="41">
        <f>VLOOKUP(B:B,Brand!B:D,3,0)</f>
        <v>894</v>
      </c>
      <c r="BY424" s="41">
        <f>VLOOKUP(M:M,Unit!B:D,3,0)</f>
        <v>3</v>
      </c>
      <c r="BZ424" s="41">
        <f>VLOOKUP(S:S,Promo!B:D,3,0)</f>
        <v>0</v>
      </c>
    </row>
    <row r="425" spans="1:78" s="41" customFormat="1" ht="15.75" customHeight="1">
      <c r="A425" s="41">
        <v>197876</v>
      </c>
      <c r="B425" s="41" t="s">
        <v>538</v>
      </c>
      <c r="C425" s="65" t="str">
        <f>VLOOKUP(B:B,Brand!B:C,2,0)</f>
        <v>Darlie</v>
      </c>
      <c r="H425" s="41" t="s">
        <v>2231</v>
      </c>
      <c r="I425" s="41" t="s">
        <v>2232</v>
      </c>
      <c r="J425" s="41" t="s">
        <v>4751</v>
      </c>
      <c r="K425" s="41" t="s">
        <v>4752</v>
      </c>
      <c r="L425" s="41" t="s">
        <v>3759</v>
      </c>
      <c r="M425" s="41" t="s">
        <v>83</v>
      </c>
      <c r="N425" s="41" t="str">
        <f>VLOOKUP(M:M,Unit!B:C,2,0)</f>
        <v>g</v>
      </c>
      <c r="O425" s="41" t="s">
        <v>67</v>
      </c>
      <c r="P425" s="41">
        <v>12</v>
      </c>
      <c r="Q425" s="41" t="s">
        <v>68</v>
      </c>
      <c r="R425" s="41" t="str">
        <f>VLOOKUP(Q:Q,Unit!B:D,2,0)</f>
        <v>pc</v>
      </c>
      <c r="S425" s="41" t="s">
        <v>75</v>
      </c>
      <c r="T425" s="41" t="str">
        <f>VLOOKUP(S:S,Promo!B:D,2,0)</f>
        <v>Promo EN</v>
      </c>
      <c r="W425" s="41">
        <v>269</v>
      </c>
      <c r="X425" s="41">
        <v>249</v>
      </c>
      <c r="AB425" s="41" t="s">
        <v>91</v>
      </c>
      <c r="AG425" s="41" t="s">
        <v>71</v>
      </c>
      <c r="AH425" s="41" t="s">
        <v>71</v>
      </c>
      <c r="AI425" s="41" t="s">
        <v>71</v>
      </c>
      <c r="AJ425" s="41" t="s">
        <v>71</v>
      </c>
      <c r="AK425" s="41" t="s">
        <v>71</v>
      </c>
      <c r="AL425" s="41" t="s">
        <v>71</v>
      </c>
      <c r="BS425" s="41" t="s">
        <v>2058</v>
      </c>
      <c r="BT425" s="41" t="s">
        <v>72</v>
      </c>
      <c r="BW425" s="41" t="s">
        <v>72</v>
      </c>
      <c r="BX425" s="41">
        <f>VLOOKUP(B:B,Brand!B:D,3,0)</f>
        <v>216</v>
      </c>
      <c r="BY425" s="41">
        <f>VLOOKUP(M:M,Unit!B:D,3,0)</f>
        <v>1</v>
      </c>
      <c r="BZ425" s="41">
        <f>VLOOKUP(S:S,Promo!B:D,3,0)</f>
        <v>0</v>
      </c>
    </row>
    <row r="426" spans="1:78" s="41" customFormat="1" ht="15.75" customHeight="1">
      <c r="A426" s="41">
        <v>107109</v>
      </c>
      <c r="B426" s="41" t="s">
        <v>678</v>
      </c>
      <c r="C426" s="65" t="str">
        <f>VLOOKUP(B:B,Brand!B:C,2,0)</f>
        <v>Nivea</v>
      </c>
      <c r="H426" s="41" t="s">
        <v>3728</v>
      </c>
      <c r="I426" s="41" t="s">
        <v>3729</v>
      </c>
      <c r="J426" s="41" t="s">
        <v>4761</v>
      </c>
      <c r="K426" s="41" t="s">
        <v>4762</v>
      </c>
      <c r="L426" s="41">
        <v>125</v>
      </c>
      <c r="M426" s="41" t="s">
        <v>66</v>
      </c>
      <c r="N426" s="41" t="str">
        <f>VLOOKUP(M:M,Unit!B:C,2,0)</f>
        <v>ml</v>
      </c>
      <c r="O426" s="41" t="s">
        <v>67</v>
      </c>
      <c r="P426" s="41">
        <v>3</v>
      </c>
      <c r="Q426" s="41" t="s">
        <v>95</v>
      </c>
      <c r="R426" s="41" t="str">
        <f>VLOOKUP(Q:Q,Unit!B:D,2,0)</f>
        <v>bottle</v>
      </c>
      <c r="S426" s="41" t="s">
        <v>75</v>
      </c>
      <c r="T426" s="41" t="str">
        <f>VLOOKUP(S:S,Promo!B:D,2,0)</f>
        <v>Promo EN</v>
      </c>
      <c r="W426" s="41">
        <v>125</v>
      </c>
      <c r="X426" s="41">
        <v>92</v>
      </c>
      <c r="AB426" s="41" t="s">
        <v>91</v>
      </c>
      <c r="AG426" s="41" t="s">
        <v>71</v>
      </c>
      <c r="AH426" s="41" t="s">
        <v>71</v>
      </c>
      <c r="AI426" s="41" t="s">
        <v>71</v>
      </c>
      <c r="AJ426" s="41" t="s">
        <v>71</v>
      </c>
      <c r="AK426" s="41" t="s">
        <v>71</v>
      </c>
      <c r="AL426" s="41" t="s">
        <v>71</v>
      </c>
      <c r="BS426" s="41" t="s">
        <v>2058</v>
      </c>
      <c r="BT426" s="41" t="s">
        <v>72</v>
      </c>
      <c r="BW426" s="41" t="s">
        <v>72</v>
      </c>
      <c r="BX426" s="41">
        <f>VLOOKUP(B:B,Brand!B:D,3,0)</f>
        <v>307</v>
      </c>
      <c r="BY426" s="41">
        <f>VLOOKUP(M:M,Unit!B:D,3,0)</f>
        <v>4</v>
      </c>
      <c r="BZ426" s="41">
        <f>VLOOKUP(S:S,Promo!B:D,3,0)</f>
        <v>0</v>
      </c>
    </row>
    <row r="427" spans="1:78" s="41" customFormat="1" ht="15.75" customHeight="1">
      <c r="A427" s="41">
        <v>144533</v>
      </c>
      <c r="B427" s="41" t="s">
        <v>882</v>
      </c>
      <c r="C427" s="65" t="str">
        <f>VLOOKUP(B:B,Brand!B:C,2,0)</f>
        <v>Pantene</v>
      </c>
      <c r="H427" s="41" t="s">
        <v>3767</v>
      </c>
      <c r="I427" s="41" t="s">
        <v>3768</v>
      </c>
      <c r="J427" s="41" t="s">
        <v>4763</v>
      </c>
      <c r="K427" s="41" t="s">
        <v>4764</v>
      </c>
      <c r="L427" s="41">
        <v>70</v>
      </c>
      <c r="M427" s="41" t="s">
        <v>66</v>
      </c>
      <c r="N427" s="41" t="str">
        <f>VLOOKUP(M:M,Unit!B:C,2,0)</f>
        <v>ml</v>
      </c>
      <c r="O427" s="41" t="s">
        <v>67</v>
      </c>
      <c r="P427" s="41">
        <v>6</v>
      </c>
      <c r="Q427" s="41" t="s">
        <v>95</v>
      </c>
      <c r="R427" s="41" t="str">
        <f>VLOOKUP(Q:Q,Unit!B:D,2,0)</f>
        <v>bottle</v>
      </c>
      <c r="S427" s="41" t="s">
        <v>75</v>
      </c>
      <c r="T427" s="41" t="str">
        <f>VLOOKUP(S:S,Promo!B:D,2,0)</f>
        <v>Promo EN</v>
      </c>
      <c r="X427" s="41">
        <v>97</v>
      </c>
      <c r="AB427" s="41" t="s">
        <v>91</v>
      </c>
      <c r="AG427" s="41" t="s">
        <v>71</v>
      </c>
      <c r="AH427" s="41" t="s">
        <v>71</v>
      </c>
      <c r="AI427" s="41" t="s">
        <v>71</v>
      </c>
      <c r="AJ427" s="41" t="s">
        <v>71</v>
      </c>
      <c r="AK427" s="41" t="s">
        <v>71</v>
      </c>
      <c r="AL427" s="41" t="s">
        <v>71</v>
      </c>
      <c r="BS427" s="41" t="s">
        <v>2058</v>
      </c>
      <c r="BT427" s="41" t="s">
        <v>72</v>
      </c>
      <c r="BW427" s="41" t="s">
        <v>72</v>
      </c>
      <c r="BX427" s="41">
        <f>VLOOKUP(B:B,Brand!B:D,3,0)</f>
        <v>443</v>
      </c>
      <c r="BY427" s="41">
        <f>VLOOKUP(M:M,Unit!B:D,3,0)</f>
        <v>4</v>
      </c>
      <c r="BZ427" s="41">
        <f>VLOOKUP(S:S,Promo!B:D,3,0)</f>
        <v>0</v>
      </c>
    </row>
    <row r="428" spans="1:78" s="41" customFormat="1" ht="15.75" customHeight="1">
      <c r="A428" s="41">
        <v>224330</v>
      </c>
      <c r="B428" s="41" t="s">
        <v>292</v>
      </c>
      <c r="C428" s="65" t="str">
        <f>VLOOKUP(B:B,Brand!B:C,2,0)</f>
        <v>Comfort</v>
      </c>
      <c r="H428" s="41" t="s">
        <v>3771</v>
      </c>
      <c r="I428" s="41" t="s">
        <v>3772</v>
      </c>
      <c r="J428" s="41" t="s">
        <v>4767</v>
      </c>
      <c r="K428" s="41" t="s">
        <v>4768</v>
      </c>
      <c r="L428" s="41">
        <v>1600</v>
      </c>
      <c r="M428" s="41" t="s">
        <v>66</v>
      </c>
      <c r="N428" s="41" t="str">
        <f>VLOOKUP(M:M,Unit!B:C,2,0)</f>
        <v>ml</v>
      </c>
      <c r="O428" s="41" t="s">
        <v>67</v>
      </c>
      <c r="P428" s="41">
        <v>1</v>
      </c>
      <c r="Q428" s="41" t="s">
        <v>68</v>
      </c>
      <c r="R428" s="41" t="str">
        <f>VLOOKUP(Q:Q,Unit!B:D,2,0)</f>
        <v>pc</v>
      </c>
      <c r="S428" s="41" t="s">
        <v>75</v>
      </c>
      <c r="T428" s="41" t="str">
        <f>VLOOKUP(S:S,Promo!B:D,2,0)</f>
        <v>Promo EN</v>
      </c>
      <c r="W428" s="41">
        <v>143</v>
      </c>
      <c r="X428" s="41">
        <v>129</v>
      </c>
      <c r="AB428" s="41" t="s">
        <v>91</v>
      </c>
      <c r="AG428" s="41" t="s">
        <v>71</v>
      </c>
      <c r="AH428" s="41" t="s">
        <v>71</v>
      </c>
      <c r="AI428" s="41" t="s">
        <v>71</v>
      </c>
      <c r="AJ428" s="41" t="s">
        <v>71</v>
      </c>
      <c r="AK428" s="41" t="s">
        <v>71</v>
      </c>
      <c r="AL428" s="41" t="s">
        <v>71</v>
      </c>
      <c r="AQ428" s="41" t="s">
        <v>3773</v>
      </c>
      <c r="AR428" s="41" t="s">
        <v>3681</v>
      </c>
      <c r="BS428" s="41" t="s">
        <v>2058</v>
      </c>
      <c r="BT428" s="41" t="s">
        <v>72</v>
      </c>
      <c r="BW428" s="41" t="s">
        <v>72</v>
      </c>
      <c r="BX428" s="41">
        <f>VLOOKUP(B:B,Brand!B:D,3,0)</f>
        <v>57</v>
      </c>
      <c r="BY428" s="41">
        <f>VLOOKUP(M:M,Unit!B:D,3,0)</f>
        <v>4</v>
      </c>
      <c r="BZ428" s="41">
        <f>VLOOKUP(S:S,Promo!B:D,3,0)</f>
        <v>0</v>
      </c>
    </row>
    <row r="429" spans="1:78" s="41" customFormat="1" ht="15.75" customHeight="1">
      <c r="A429" s="41">
        <v>818783</v>
      </c>
      <c r="B429" s="41" t="s">
        <v>2511</v>
      </c>
      <c r="C429" s="65" t="str">
        <f>VLOOKUP(B:B,Brand!B:C,2,0)</f>
        <v>Listerine</v>
      </c>
      <c r="H429" s="41" t="s">
        <v>3775</v>
      </c>
      <c r="I429" s="41" t="s">
        <v>3776</v>
      </c>
      <c r="J429" s="65" t="str">
        <f>TRIM(CONCATENATE(B429," ",H429," ",L429," ",M429," ",O429,P429," ",Q429))</f>
        <v>ลิสเตอร์รีน เฮลตี้ไบรท์ น้ำยาบ้วนปาก 750 มล. x2 ขวด</v>
      </c>
      <c r="K429" s="80" t="str">
        <f>TRIM(CONCATENATE(C429," ",I429," ",L429," ",N429," ",O429,P429," ",R429))</f>
        <v>Listerine HEALTHY BRIGHT 750 ml x2 bottle</v>
      </c>
      <c r="L429" s="41">
        <v>750</v>
      </c>
      <c r="M429" s="41" t="s">
        <v>66</v>
      </c>
      <c r="N429" s="41" t="str">
        <f>VLOOKUP(M:M,Unit!B:C,2,0)</f>
        <v>ml</v>
      </c>
      <c r="O429" s="41" t="s">
        <v>67</v>
      </c>
      <c r="P429" s="41">
        <v>2</v>
      </c>
      <c r="Q429" s="41" t="s">
        <v>95</v>
      </c>
      <c r="R429" s="41" t="str">
        <f>VLOOKUP(Q:Q,Unit!B:D,2,0)</f>
        <v>bottle</v>
      </c>
      <c r="S429" s="41" t="s">
        <v>75</v>
      </c>
      <c r="T429" s="41" t="str">
        <f>VLOOKUP(S:S,Promo!B:D,2,0)</f>
        <v>Promo EN</v>
      </c>
      <c r="W429" s="41">
        <v>282</v>
      </c>
      <c r="X429" s="41">
        <v>275</v>
      </c>
      <c r="AB429" s="41" t="s">
        <v>91</v>
      </c>
      <c r="AG429" s="41" t="s">
        <v>71</v>
      </c>
      <c r="AH429" s="41" t="s">
        <v>71</v>
      </c>
      <c r="AI429" s="41" t="s">
        <v>71</v>
      </c>
      <c r="AJ429" s="41" t="s">
        <v>71</v>
      </c>
      <c r="AK429" s="41" t="s">
        <v>71</v>
      </c>
      <c r="AL429" s="41" t="s">
        <v>71</v>
      </c>
      <c r="BS429" s="41" t="s">
        <v>2058</v>
      </c>
      <c r="BT429" s="41" t="s">
        <v>72</v>
      </c>
      <c r="BW429" s="41" t="s">
        <v>72</v>
      </c>
      <c r="BX429" s="41">
        <f>VLOOKUP(B:B,Brand!B:D,3,0)</f>
        <v>575</v>
      </c>
      <c r="BY429" s="41">
        <f>VLOOKUP(M:M,Unit!B:D,3,0)</f>
        <v>4</v>
      </c>
      <c r="BZ429" s="41">
        <f>VLOOKUP(S:S,Promo!B:D,3,0)</f>
        <v>0</v>
      </c>
    </row>
    <row r="430" spans="1:78" s="41" customFormat="1" ht="15.75" customHeight="1">
      <c r="A430" s="41">
        <v>805991</v>
      </c>
      <c r="B430" s="41" t="s">
        <v>2531</v>
      </c>
      <c r="C430" s="65" t="str">
        <f>VLOOKUP(B:B,Brand!B:C,2,0)</f>
        <v>Zinsano</v>
      </c>
      <c r="H430" s="41" t="s">
        <v>3863</v>
      </c>
      <c r="I430" s="41" t="s">
        <v>3864</v>
      </c>
      <c r="J430" s="41" t="s">
        <v>4803</v>
      </c>
      <c r="K430" s="41" t="s">
        <v>4804</v>
      </c>
      <c r="L430" s="41">
        <v>1</v>
      </c>
      <c r="M430" s="41" t="s">
        <v>93</v>
      </c>
      <c r="N430" s="41" t="str">
        <f>VLOOKUP(M:M,Unit!B:C,2,0)</f>
        <v>unit</v>
      </c>
      <c r="O430" s="41" t="s">
        <v>67</v>
      </c>
      <c r="P430" s="41">
        <v>1</v>
      </c>
      <c r="Q430" s="41" t="s">
        <v>68</v>
      </c>
      <c r="R430" s="41" t="str">
        <f>VLOOKUP(Q:Q,Unit!B:D,2,0)</f>
        <v>pc</v>
      </c>
      <c r="S430" s="41" t="s">
        <v>75</v>
      </c>
      <c r="T430" s="41" t="str">
        <f>VLOOKUP(S:S,Promo!B:D,2,0)</f>
        <v>Promo EN</v>
      </c>
      <c r="W430" s="41">
        <v>1990</v>
      </c>
      <c r="X430" s="41">
        <v>1790</v>
      </c>
      <c r="AB430" s="41" t="s">
        <v>91</v>
      </c>
      <c r="AE430" s="41" t="s">
        <v>3865</v>
      </c>
      <c r="AG430" s="41" t="s">
        <v>71</v>
      </c>
      <c r="AH430" s="41" t="s">
        <v>71</v>
      </c>
      <c r="AI430" s="41" t="s">
        <v>71</v>
      </c>
      <c r="AJ430" s="41" t="s">
        <v>71</v>
      </c>
      <c r="AK430" s="41" t="s">
        <v>71</v>
      </c>
      <c r="AL430" s="41" t="s">
        <v>71</v>
      </c>
      <c r="AS430" s="41" t="s">
        <v>3866</v>
      </c>
      <c r="AT430" s="41" t="s">
        <v>3865</v>
      </c>
      <c r="BS430" s="41" t="s">
        <v>2058</v>
      </c>
      <c r="BT430" s="41" t="s">
        <v>72</v>
      </c>
      <c r="BW430" s="41" t="s">
        <v>72</v>
      </c>
      <c r="BX430" s="41">
        <f>VLOOKUP(B:B,Brand!B:D,3,0)</f>
        <v>921</v>
      </c>
      <c r="BY430" s="41">
        <f>VLOOKUP(M:M,Unit!B:D,3,0)</f>
        <v>6</v>
      </c>
      <c r="BZ430" s="41">
        <f>VLOOKUP(S:S,Promo!B:D,3,0)</f>
        <v>0</v>
      </c>
    </row>
    <row r="431" spans="1:78" s="41" customFormat="1" ht="15.75" customHeight="1">
      <c r="A431" s="41">
        <v>223670</v>
      </c>
      <c r="B431" s="41" t="s">
        <v>2531</v>
      </c>
      <c r="C431" s="65" t="str">
        <f>VLOOKUP(B:B,Brand!B:C,2,0)</f>
        <v>Zinsano</v>
      </c>
      <c r="H431" s="41" t="s">
        <v>3867</v>
      </c>
      <c r="I431" s="41" t="s">
        <v>3868</v>
      </c>
      <c r="J431" s="41" t="s">
        <v>4805</v>
      </c>
      <c r="K431" s="41" t="s">
        <v>4806</v>
      </c>
      <c r="L431" s="41">
        <v>1</v>
      </c>
      <c r="M431" s="41" t="s">
        <v>93</v>
      </c>
      <c r="N431" s="41" t="str">
        <f>VLOOKUP(M:M,Unit!B:C,2,0)</f>
        <v>unit</v>
      </c>
      <c r="O431" s="41" t="s">
        <v>67</v>
      </c>
      <c r="P431" s="41">
        <v>1</v>
      </c>
      <c r="Q431" s="41" t="s">
        <v>68</v>
      </c>
      <c r="R431" s="41" t="str">
        <f>VLOOKUP(Q:Q,Unit!B:D,2,0)</f>
        <v>pc</v>
      </c>
      <c r="S431" s="41" t="s">
        <v>75</v>
      </c>
      <c r="T431" s="41" t="str">
        <f>VLOOKUP(S:S,Promo!B:D,2,0)</f>
        <v>Promo EN</v>
      </c>
      <c r="W431" s="41">
        <v>2590</v>
      </c>
      <c r="X431" s="41">
        <v>2390</v>
      </c>
      <c r="AB431" s="41" t="s">
        <v>91</v>
      </c>
      <c r="AE431" s="41" t="s">
        <v>3869</v>
      </c>
      <c r="AG431" s="41" t="s">
        <v>71</v>
      </c>
      <c r="AH431" s="41" t="s">
        <v>71</v>
      </c>
      <c r="AI431" s="41" t="s">
        <v>71</v>
      </c>
      <c r="AJ431" s="41" t="s">
        <v>71</v>
      </c>
      <c r="AK431" s="41" t="s">
        <v>71</v>
      </c>
      <c r="AL431" s="41" t="s">
        <v>71</v>
      </c>
      <c r="AS431" s="41" t="s">
        <v>3870</v>
      </c>
      <c r="AT431" s="41" t="s">
        <v>3869</v>
      </c>
      <c r="BS431" s="41" t="s">
        <v>2058</v>
      </c>
      <c r="BT431" s="41" t="s">
        <v>72</v>
      </c>
      <c r="BW431" s="41" t="s">
        <v>72</v>
      </c>
      <c r="BX431" s="41">
        <f>VLOOKUP(B:B,Brand!B:D,3,0)</f>
        <v>921</v>
      </c>
      <c r="BY431" s="41">
        <f>VLOOKUP(M:M,Unit!B:D,3,0)</f>
        <v>6</v>
      </c>
      <c r="BZ431" s="41">
        <f>VLOOKUP(S:S,Promo!B:D,3,0)</f>
        <v>0</v>
      </c>
    </row>
    <row r="432" spans="1:78" s="41" customFormat="1" ht="15.75" customHeight="1">
      <c r="A432" s="41">
        <v>172957</v>
      </c>
      <c r="B432" s="41" t="s">
        <v>583</v>
      </c>
      <c r="C432" s="65" t="str">
        <f>VLOOKUP(B:B,Brand!B:C,2,0)</f>
        <v>Elephant Brand</v>
      </c>
      <c r="H432" s="41" t="s">
        <v>3879</v>
      </c>
      <c r="I432" s="41" t="s">
        <v>3880</v>
      </c>
      <c r="J432" s="41" t="s">
        <v>4815</v>
      </c>
      <c r="K432" s="41" t="s">
        <v>4816</v>
      </c>
      <c r="L432" s="41">
        <v>50</v>
      </c>
      <c r="M432" s="41" t="s">
        <v>172</v>
      </c>
      <c r="N432" s="41" t="str">
        <f>VLOOKUP(M:M,Unit!B:C,2,0)</f>
        <v>sheet</v>
      </c>
      <c r="O432" s="41" t="s">
        <v>67</v>
      </c>
      <c r="P432" s="41">
        <v>1</v>
      </c>
      <c r="Q432" s="41" t="s">
        <v>179</v>
      </c>
      <c r="R432" s="41" t="str">
        <f>VLOOKUP(Q:Q,Unit!B:D,2,0)</f>
        <v>pack</v>
      </c>
      <c r="S432" s="41" t="s">
        <v>75</v>
      </c>
      <c r="T432" s="41" t="str">
        <f>VLOOKUP(S:S,Promo!B:D,2,0)</f>
        <v>Promo EN</v>
      </c>
      <c r="W432" s="41">
        <v>119</v>
      </c>
      <c r="X432" s="41">
        <v>109</v>
      </c>
      <c r="AB432" s="41" t="s">
        <v>91</v>
      </c>
      <c r="AG432" s="41" t="s">
        <v>71</v>
      </c>
      <c r="AH432" s="41" t="s">
        <v>71</v>
      </c>
      <c r="AI432" s="41" t="s">
        <v>71</v>
      </c>
      <c r="AJ432" s="41" t="s">
        <v>71</v>
      </c>
      <c r="AK432" s="41" t="s">
        <v>71</v>
      </c>
      <c r="AL432" s="41" t="s">
        <v>71</v>
      </c>
      <c r="AS432" s="41" t="s">
        <v>3881</v>
      </c>
      <c r="AT432" s="41" t="s">
        <v>3882</v>
      </c>
      <c r="BS432" s="41" t="s">
        <v>2058</v>
      </c>
      <c r="BT432" s="41" t="s">
        <v>72</v>
      </c>
      <c r="BW432" s="41" t="s">
        <v>72</v>
      </c>
      <c r="BX432" s="41">
        <f>VLOOKUP(B:B,Brand!B:D,3,0)</f>
        <v>248</v>
      </c>
      <c r="BY432" s="41">
        <f>VLOOKUP(M:M,Unit!B:D,3,0)</f>
        <v>17</v>
      </c>
      <c r="BZ432" s="41">
        <f>VLOOKUP(S:S,Promo!B:D,3,0)</f>
        <v>0</v>
      </c>
    </row>
    <row r="433" spans="1:78" s="41" customFormat="1" ht="15.75" customHeight="1">
      <c r="A433" s="41">
        <v>813197</v>
      </c>
      <c r="B433" s="41" t="s">
        <v>1918</v>
      </c>
      <c r="C433" s="65" t="str">
        <f>VLOOKUP(B:B,Brand!B:C,2,0)</f>
        <v>EPSON</v>
      </c>
      <c r="H433" s="41" t="s">
        <v>3915</v>
      </c>
      <c r="I433" s="41" t="s">
        <v>3916</v>
      </c>
      <c r="J433" s="41" t="s">
        <v>4827</v>
      </c>
      <c r="K433" s="41" t="s">
        <v>4828</v>
      </c>
      <c r="L433" s="41">
        <v>1</v>
      </c>
      <c r="M433" s="41" t="s">
        <v>93</v>
      </c>
      <c r="N433" s="41" t="str">
        <f>VLOOKUP(M:M,Unit!B:C,2,0)</f>
        <v>unit</v>
      </c>
      <c r="O433" s="41" t="s">
        <v>67</v>
      </c>
      <c r="P433" s="41">
        <v>1</v>
      </c>
      <c r="Q433" s="41" t="s">
        <v>68</v>
      </c>
      <c r="R433" s="41" t="str">
        <f>VLOOKUP(Q:Q,Unit!B:D,2,0)</f>
        <v>pc</v>
      </c>
      <c r="S433" s="41" t="s">
        <v>75</v>
      </c>
      <c r="T433" s="41" t="str">
        <f>VLOOKUP(S:S,Promo!B:D,2,0)</f>
        <v>Promo EN</v>
      </c>
      <c r="W433" s="41">
        <v>4590</v>
      </c>
      <c r="X433" s="41">
        <v>4390</v>
      </c>
      <c r="AB433" s="41" t="s">
        <v>91</v>
      </c>
      <c r="AE433" s="41" t="s">
        <v>3917</v>
      </c>
      <c r="AG433" s="41" t="s">
        <v>71</v>
      </c>
      <c r="AH433" s="41" t="s">
        <v>71</v>
      </c>
      <c r="AI433" s="41" t="s">
        <v>71</v>
      </c>
      <c r="AJ433" s="41" t="s">
        <v>71</v>
      </c>
      <c r="AK433" s="41" t="s">
        <v>71</v>
      </c>
      <c r="AL433" s="41" t="s">
        <v>71</v>
      </c>
      <c r="BS433" s="41" t="s">
        <v>2058</v>
      </c>
      <c r="BT433" s="41" t="s">
        <v>72</v>
      </c>
      <c r="BW433" s="41" t="s">
        <v>72</v>
      </c>
      <c r="BX433" s="41">
        <f>VLOOKUP(B:B,Brand!B:D,3,0)</f>
        <v>912</v>
      </c>
      <c r="BY433" s="41">
        <f>VLOOKUP(M:M,Unit!B:D,3,0)</f>
        <v>6</v>
      </c>
      <c r="BZ433" s="41">
        <f>VLOOKUP(S:S,Promo!B:D,3,0)</f>
        <v>0</v>
      </c>
    </row>
    <row r="434" spans="1:78" s="41" customFormat="1" ht="15.75" customHeight="1">
      <c r="A434" s="41">
        <v>108704</v>
      </c>
      <c r="B434" s="41" t="s">
        <v>654</v>
      </c>
      <c r="C434" s="65" t="str">
        <f>VLOOKUP(B:B,Brand!B:C,2,0)</f>
        <v>Parrot</v>
      </c>
      <c r="H434" s="41" t="s">
        <v>3955</v>
      </c>
      <c r="I434" s="41" t="s">
        <v>3956</v>
      </c>
      <c r="J434" s="41" t="s">
        <v>4859</v>
      </c>
      <c r="K434" s="41" t="s">
        <v>4860</v>
      </c>
      <c r="L434" s="41">
        <v>75</v>
      </c>
      <c r="M434" s="41" t="s">
        <v>83</v>
      </c>
      <c r="N434" s="41" t="str">
        <f>VLOOKUP(M:M,Unit!B:C,2,0)</f>
        <v>g</v>
      </c>
      <c r="O434" s="41" t="s">
        <v>67</v>
      </c>
      <c r="P434" s="41">
        <v>4</v>
      </c>
      <c r="Q434" s="41" t="s">
        <v>210</v>
      </c>
      <c r="R434" s="41" t="str">
        <f>VLOOKUP(Q:Q,Unit!B:D,2,0)</f>
        <v>bar</v>
      </c>
      <c r="S434" s="41" t="s">
        <v>75</v>
      </c>
      <c r="T434" s="41" t="str">
        <f>VLOOKUP(S:S,Promo!B:D,2,0)</f>
        <v>Promo EN</v>
      </c>
      <c r="W434" s="41">
        <v>45</v>
      </c>
      <c r="X434" s="41">
        <v>36</v>
      </c>
      <c r="AB434" s="41" t="s">
        <v>2056</v>
      </c>
      <c r="AG434" s="41" t="s">
        <v>71</v>
      </c>
      <c r="AH434" s="41" t="s">
        <v>71</v>
      </c>
      <c r="AI434" s="41" t="s">
        <v>71</v>
      </c>
      <c r="AJ434" s="41" t="s">
        <v>71</v>
      </c>
      <c r="AK434" s="41" t="s">
        <v>71</v>
      </c>
      <c r="AL434" s="41" t="s">
        <v>71</v>
      </c>
      <c r="AP434" s="41" t="s">
        <v>3957</v>
      </c>
      <c r="BS434" s="41" t="s">
        <v>2058</v>
      </c>
      <c r="BT434" s="41" t="s">
        <v>72</v>
      </c>
      <c r="BW434" s="41" t="s">
        <v>72</v>
      </c>
      <c r="BX434" s="41">
        <f>VLOOKUP(B:B,Brand!B:D,3,0)</f>
        <v>292</v>
      </c>
      <c r="BY434" s="41">
        <f>VLOOKUP(M:M,Unit!B:D,3,0)</f>
        <v>1</v>
      </c>
      <c r="BZ434" s="41">
        <f>VLOOKUP(S:S,Promo!B:D,3,0)</f>
        <v>0</v>
      </c>
    </row>
    <row r="435" spans="1:78" s="41" customFormat="1" ht="15.75" customHeight="1">
      <c r="A435" s="41">
        <v>146503</v>
      </c>
      <c r="B435" s="41" t="s">
        <v>867</v>
      </c>
      <c r="C435" s="65" t="str">
        <f>VLOOKUP(B:B,Brand!B:C,2,0)</f>
        <v>P&amp;P</v>
      </c>
      <c r="H435" s="41" t="s">
        <v>3960</v>
      </c>
      <c r="I435" s="41" t="s">
        <v>3961</v>
      </c>
      <c r="J435" s="41" t="s">
        <v>4861</v>
      </c>
      <c r="K435" s="41" t="s">
        <v>4862</v>
      </c>
      <c r="L435" s="41">
        <v>1</v>
      </c>
      <c r="M435" s="41" t="s">
        <v>79</v>
      </c>
      <c r="N435" s="41" t="str">
        <f>VLOOKUP(M:M,Unit!B:C,2,0)</f>
        <v>kg</v>
      </c>
      <c r="O435" s="41" t="s">
        <v>67</v>
      </c>
      <c r="P435" s="41">
        <v>1</v>
      </c>
      <c r="Q435" s="41" t="s">
        <v>179</v>
      </c>
      <c r="R435" s="41" t="str">
        <f>VLOOKUP(Q:Q,Unit!B:D,2,0)</f>
        <v>pack</v>
      </c>
      <c r="S435" s="41" t="s">
        <v>75</v>
      </c>
      <c r="T435" s="41" t="str">
        <f>VLOOKUP(S:S,Promo!B:D,2,0)</f>
        <v>Promo EN</v>
      </c>
      <c r="W435" s="41">
        <v>135</v>
      </c>
      <c r="X435" s="41">
        <v>125</v>
      </c>
      <c r="AB435" s="41" t="s">
        <v>2056</v>
      </c>
      <c r="AG435" s="41" t="s">
        <v>71</v>
      </c>
      <c r="AH435" s="41" t="s">
        <v>71</v>
      </c>
      <c r="AI435" s="41" t="s">
        <v>71</v>
      </c>
      <c r="AJ435" s="41" t="s">
        <v>71</v>
      </c>
      <c r="AK435" s="41" t="s">
        <v>71</v>
      </c>
      <c r="AL435" s="41" t="s">
        <v>71</v>
      </c>
      <c r="BS435" s="41" t="s">
        <v>72</v>
      </c>
      <c r="BT435" s="41" t="s">
        <v>72</v>
      </c>
      <c r="BW435" s="41" t="s">
        <v>72</v>
      </c>
      <c r="BX435" s="41">
        <f>VLOOKUP(B:B,Brand!B:D,3,0)</f>
        <v>435</v>
      </c>
      <c r="BY435" s="41">
        <f>VLOOKUP(M:M,Unit!B:D,3,0)</f>
        <v>2</v>
      </c>
      <c r="BZ435" s="41">
        <f>VLOOKUP(S:S,Promo!B:D,3,0)</f>
        <v>0</v>
      </c>
    </row>
    <row r="436" spans="1:78" s="41" customFormat="1" ht="15.75" customHeight="1">
      <c r="A436" s="41">
        <v>108064</v>
      </c>
      <c r="B436" s="41" t="s">
        <v>867</v>
      </c>
      <c r="C436" s="65" t="str">
        <f>VLOOKUP(B:B,Brand!B:C,2,0)</f>
        <v>P&amp;P</v>
      </c>
      <c r="H436" s="41" t="s">
        <v>3960</v>
      </c>
      <c r="I436" s="41" t="s">
        <v>3962</v>
      </c>
      <c r="J436" s="41" t="s">
        <v>4863</v>
      </c>
      <c r="K436" s="41" t="s">
        <v>4864</v>
      </c>
      <c r="M436" s="41" t="s">
        <v>79</v>
      </c>
      <c r="N436" s="41" t="str">
        <f>VLOOKUP(M:M,Unit!B:C,2,0)</f>
        <v>kg</v>
      </c>
      <c r="O436" s="41" t="s">
        <v>67</v>
      </c>
      <c r="P436" s="41">
        <v>10</v>
      </c>
      <c r="Q436" s="41" t="s">
        <v>179</v>
      </c>
      <c r="R436" s="41" t="str">
        <f>VLOOKUP(Q:Q,Unit!B:D,2,0)</f>
        <v>pack</v>
      </c>
      <c r="S436" s="41" t="s">
        <v>75</v>
      </c>
      <c r="T436" s="41" t="str">
        <f>VLOOKUP(S:S,Promo!B:D,2,0)</f>
        <v>Promo EN</v>
      </c>
      <c r="X436" s="41">
        <v>1240</v>
      </c>
      <c r="AB436" s="41" t="s">
        <v>2056</v>
      </c>
      <c r="AG436" s="41" t="s">
        <v>71</v>
      </c>
      <c r="AH436" s="41" t="s">
        <v>71</v>
      </c>
      <c r="AI436" s="41" t="s">
        <v>71</v>
      </c>
      <c r="AJ436" s="41" t="s">
        <v>71</v>
      </c>
      <c r="AK436" s="41" t="s">
        <v>71</v>
      </c>
      <c r="AL436" s="41" t="s">
        <v>71</v>
      </c>
      <c r="BS436" s="41" t="s">
        <v>72</v>
      </c>
      <c r="BT436" s="41" t="s">
        <v>72</v>
      </c>
      <c r="BW436" s="41" t="s">
        <v>72</v>
      </c>
      <c r="BX436" s="41">
        <f>VLOOKUP(B:B,Brand!B:D,3,0)</f>
        <v>435</v>
      </c>
      <c r="BY436" s="41">
        <f>VLOOKUP(M:M,Unit!B:D,3,0)</f>
        <v>2</v>
      </c>
      <c r="BZ436" s="41">
        <f>VLOOKUP(S:S,Promo!B:D,3,0)</f>
        <v>0</v>
      </c>
    </row>
    <row r="437" spans="1:78" s="41" customFormat="1" ht="15.75" customHeight="1">
      <c r="A437" s="41">
        <v>169521</v>
      </c>
      <c r="B437" s="41" t="s">
        <v>748</v>
      </c>
      <c r="C437" s="65" t="str">
        <f>VLOOKUP(B:B,Brand!B:C,2,0)</f>
        <v>BMP</v>
      </c>
      <c r="H437" s="41" t="s">
        <v>3963</v>
      </c>
      <c r="I437" s="41" t="s">
        <v>3964</v>
      </c>
      <c r="J437" s="41" t="s">
        <v>4865</v>
      </c>
      <c r="K437" s="41" t="s">
        <v>4866</v>
      </c>
      <c r="L437" s="41">
        <v>1</v>
      </c>
      <c r="M437" s="41" t="s">
        <v>79</v>
      </c>
      <c r="N437" s="41" t="str">
        <f>VLOOKUP(M:M,Unit!B:C,2,0)</f>
        <v>kg</v>
      </c>
      <c r="O437" s="41" t="s">
        <v>67</v>
      </c>
      <c r="P437" s="41">
        <v>10</v>
      </c>
      <c r="Q437" s="41" t="s">
        <v>179</v>
      </c>
      <c r="R437" s="41" t="str">
        <f>VLOOKUP(Q:Q,Unit!B:D,2,0)</f>
        <v>pack</v>
      </c>
      <c r="S437" s="41" t="s">
        <v>75</v>
      </c>
      <c r="T437" s="41" t="str">
        <f>VLOOKUP(S:S,Promo!B:D,2,0)</f>
        <v>Promo EN</v>
      </c>
      <c r="X437" s="41">
        <v>2870</v>
      </c>
      <c r="AB437" s="41" t="s">
        <v>2056</v>
      </c>
      <c r="AG437" s="41" t="s">
        <v>71</v>
      </c>
      <c r="AH437" s="41" t="s">
        <v>71</v>
      </c>
      <c r="AI437" s="41" t="s">
        <v>71</v>
      </c>
      <c r="AJ437" s="41" t="s">
        <v>71</v>
      </c>
      <c r="AK437" s="41" t="s">
        <v>71</v>
      </c>
      <c r="AL437" s="41" t="s">
        <v>71</v>
      </c>
      <c r="BS437" s="41" t="s">
        <v>72</v>
      </c>
      <c r="BT437" s="41" t="s">
        <v>72</v>
      </c>
      <c r="BW437" s="41" t="s">
        <v>72</v>
      </c>
      <c r="BX437" s="41">
        <f>VLOOKUP(B:B,Brand!B:D,3,0)</f>
        <v>357</v>
      </c>
      <c r="BY437" s="41">
        <f>VLOOKUP(M:M,Unit!B:D,3,0)</f>
        <v>2</v>
      </c>
      <c r="BZ437" s="41">
        <f>VLOOKUP(S:S,Promo!B:D,3,0)</f>
        <v>0</v>
      </c>
    </row>
    <row r="438" spans="1:78" s="41" customFormat="1" ht="15.75" customHeight="1">
      <c r="A438" s="41">
        <v>169552</v>
      </c>
      <c r="B438" s="41" t="s">
        <v>748</v>
      </c>
      <c r="C438" s="65" t="str">
        <f>VLOOKUP(B:B,Brand!B:C,2,0)</f>
        <v>BMP</v>
      </c>
      <c r="H438" s="41" t="s">
        <v>3963</v>
      </c>
      <c r="I438" s="41" t="s">
        <v>3964</v>
      </c>
      <c r="J438" s="41" t="s">
        <v>4867</v>
      </c>
      <c r="K438" s="41" t="s">
        <v>4868</v>
      </c>
      <c r="L438" s="41">
        <v>1</v>
      </c>
      <c r="M438" s="41" t="s">
        <v>79</v>
      </c>
      <c r="N438" s="41" t="str">
        <f>VLOOKUP(M:M,Unit!B:C,2,0)</f>
        <v>kg</v>
      </c>
      <c r="O438" s="41" t="s">
        <v>67</v>
      </c>
      <c r="P438" s="41">
        <v>1</v>
      </c>
      <c r="Q438" s="41" t="s">
        <v>179</v>
      </c>
      <c r="R438" s="41" t="str">
        <f>VLOOKUP(Q:Q,Unit!B:D,2,0)</f>
        <v>pack</v>
      </c>
      <c r="S438" s="41" t="s">
        <v>75</v>
      </c>
      <c r="T438" s="41" t="str">
        <f>VLOOKUP(S:S,Promo!B:D,2,0)</f>
        <v>Promo EN</v>
      </c>
      <c r="W438" s="41">
        <v>300</v>
      </c>
      <c r="X438" s="41">
        <v>289</v>
      </c>
      <c r="AB438" s="41" t="s">
        <v>2056</v>
      </c>
      <c r="AG438" s="41" t="s">
        <v>71</v>
      </c>
      <c r="AH438" s="41" t="s">
        <v>71</v>
      </c>
      <c r="AI438" s="41" t="s">
        <v>71</v>
      </c>
      <c r="AJ438" s="41" t="s">
        <v>71</v>
      </c>
      <c r="AK438" s="41" t="s">
        <v>71</v>
      </c>
      <c r="AL438" s="41" t="s">
        <v>71</v>
      </c>
      <c r="BS438" s="41" t="s">
        <v>2058</v>
      </c>
      <c r="BT438" s="41" t="s">
        <v>72</v>
      </c>
      <c r="BW438" s="41" t="s">
        <v>72</v>
      </c>
      <c r="BX438" s="41">
        <f>VLOOKUP(B:B,Brand!B:D,3,0)</f>
        <v>357</v>
      </c>
      <c r="BY438" s="41">
        <f>VLOOKUP(M:M,Unit!B:D,3,0)</f>
        <v>2</v>
      </c>
      <c r="BZ438" s="41">
        <f>VLOOKUP(S:S,Promo!B:D,3,0)</f>
        <v>0</v>
      </c>
    </row>
    <row r="439" spans="1:78" s="41" customFormat="1" ht="15.75" customHeight="1">
      <c r="A439" s="41">
        <v>818139</v>
      </c>
      <c r="H439" s="41" t="s">
        <v>3976</v>
      </c>
      <c r="I439" s="41" t="s">
        <v>3977</v>
      </c>
      <c r="J439" s="65" t="str">
        <f>TRIM(CONCATENATE(B439," ",H439," ",L439," ",M439," ",O439,P439," ",Q439))</f>
        <v>เครื่องออกกำลังกาย SIT&amp;FIT 1 เครื่อง x1 ชิ้น</v>
      </c>
      <c r="K439" s="80" t="str">
        <f>TRIM(CONCATENATE(C439," ",I439," ",L439," ",N439," ",O439,P439," ",R439))</f>
        <v>TRAINING EQUIPMENT SIT&amp;FIT 1 unit x1 pc</v>
      </c>
      <c r="L439" s="41">
        <v>1</v>
      </c>
      <c r="M439" s="41" t="s">
        <v>93</v>
      </c>
      <c r="N439" s="41" t="str">
        <f>VLOOKUP(M:M,Unit!B:C,2,0)</f>
        <v>unit</v>
      </c>
      <c r="O439" s="41" t="s">
        <v>67</v>
      </c>
      <c r="P439" s="41">
        <v>1</v>
      </c>
      <c r="Q439" s="41" t="s">
        <v>68</v>
      </c>
      <c r="R439" s="41" t="str">
        <f>VLOOKUP(Q:Q,Unit!B:D,2,0)</f>
        <v>pc</v>
      </c>
      <c r="S439" s="41" t="s">
        <v>75</v>
      </c>
      <c r="T439" s="41" t="str">
        <f>VLOOKUP(S:S,Promo!B:D,2,0)</f>
        <v>Promo EN</v>
      </c>
      <c r="W439" s="41">
        <v>1990</v>
      </c>
      <c r="X439" s="41">
        <v>1590</v>
      </c>
      <c r="AB439" s="41" t="s">
        <v>91</v>
      </c>
      <c r="AG439" s="41" t="s">
        <v>71</v>
      </c>
      <c r="AH439" s="41" t="s">
        <v>71</v>
      </c>
      <c r="AI439" s="41" t="s">
        <v>71</v>
      </c>
      <c r="AJ439" s="41" t="s">
        <v>71</v>
      </c>
      <c r="AK439" s="41" t="s">
        <v>71</v>
      </c>
      <c r="AL439" s="41" t="s">
        <v>71</v>
      </c>
      <c r="BS439" s="41" t="s">
        <v>2058</v>
      </c>
      <c r="BT439" s="41" t="s">
        <v>72</v>
      </c>
      <c r="BW439" s="41" t="s">
        <v>72</v>
      </c>
      <c r="BY439" s="41">
        <f>VLOOKUP(M:M,Unit!B:D,3,0)</f>
        <v>6</v>
      </c>
      <c r="BZ439" s="41">
        <f>VLOOKUP(S:S,Promo!B:D,3,0)</f>
        <v>0</v>
      </c>
    </row>
    <row r="440" spans="1:78" s="41" customFormat="1" ht="15.75" customHeight="1">
      <c r="A440" s="41">
        <v>25870</v>
      </c>
      <c r="B440" s="41" t="s">
        <v>97</v>
      </c>
      <c r="C440" s="65" t="str">
        <f>VLOOKUP(B:B,Brand!B:C,2,0)</f>
        <v>aro</v>
      </c>
      <c r="H440" s="41" t="s">
        <v>3986</v>
      </c>
      <c r="I440" s="41" t="s">
        <v>3987</v>
      </c>
      <c r="J440" s="41" t="s">
        <v>4877</v>
      </c>
      <c r="K440" s="41" t="s">
        <v>4878</v>
      </c>
      <c r="L440" s="41">
        <v>50</v>
      </c>
      <c r="M440" s="41" t="s">
        <v>192</v>
      </c>
      <c r="N440" s="41" t="str">
        <f>VLOOKUP(M:M,Unit!B:C,2,0)</f>
        <v>pc</v>
      </c>
      <c r="O440" s="41" t="s">
        <v>67</v>
      </c>
      <c r="P440" s="41">
        <v>1</v>
      </c>
      <c r="Q440" s="41" t="s">
        <v>104</v>
      </c>
      <c r="R440" s="41" t="str">
        <f>VLOOKUP(Q:Q,Unit!B:D,2,0)</f>
        <v>box</v>
      </c>
      <c r="S440" s="41" t="s">
        <v>75</v>
      </c>
      <c r="T440" s="41" t="str">
        <f>VLOOKUP(S:S,Promo!B:D,2,0)</f>
        <v>Promo EN</v>
      </c>
      <c r="W440" s="41">
        <v>169</v>
      </c>
      <c r="X440" s="41">
        <v>159</v>
      </c>
      <c r="AB440" s="41" t="s">
        <v>2056</v>
      </c>
      <c r="AF440" s="41" t="s">
        <v>3373</v>
      </c>
      <c r="AG440" s="41" t="s">
        <v>71</v>
      </c>
      <c r="AH440" s="41" t="s">
        <v>71</v>
      </c>
      <c r="AI440" s="41" t="s">
        <v>71</v>
      </c>
      <c r="AJ440" s="41" t="s">
        <v>71</v>
      </c>
      <c r="AK440" s="41" t="s">
        <v>71</v>
      </c>
      <c r="AL440" s="41" t="s">
        <v>71</v>
      </c>
      <c r="AQ440" s="41" t="s">
        <v>3988</v>
      </c>
      <c r="AR440" s="41" t="s">
        <v>3989</v>
      </c>
      <c r="BS440" s="41" t="s">
        <v>2058</v>
      </c>
      <c r="BT440" s="41" t="s">
        <v>72</v>
      </c>
      <c r="BW440" s="41" t="s">
        <v>72</v>
      </c>
      <c r="BX440" s="41">
        <f>VLOOKUP(B:B,Brand!B:D,3,0)</f>
        <v>692</v>
      </c>
      <c r="BY440" s="41">
        <f>VLOOKUP(M:M,Unit!B:D,3,0)</f>
        <v>33</v>
      </c>
      <c r="BZ440" s="41">
        <f>VLOOKUP(S:S,Promo!B:D,3,0)</f>
        <v>0</v>
      </c>
    </row>
    <row r="441" spans="1:78" s="41" customFormat="1" ht="15.75" customHeight="1">
      <c r="A441" s="41">
        <v>805412</v>
      </c>
      <c r="H441" s="41" t="s">
        <v>4053</v>
      </c>
      <c r="I441" s="41" t="s">
        <v>4054</v>
      </c>
      <c r="J441" s="65" t="str">
        <f>TRIM(CONCATENATE(B441," ",H441," ",L441," ",M441," ",O441,P441," ",Q441))</f>
        <v>ปูเทียมอัด แช่แข็ง 1 กก. x10 แพ็ค</v>
      </c>
      <c r="K441" s="80" t="str">
        <f>TRIM(CONCATENATE(C441," ",I441," ",L441," ",N441," ",O441,P441," ",R441))</f>
        <v>Frozen Crab Stick 1 kg x10 pack</v>
      </c>
      <c r="L441" s="41">
        <v>1</v>
      </c>
      <c r="M441" s="41" t="s">
        <v>79</v>
      </c>
      <c r="N441" s="41" t="str">
        <f>VLOOKUP(M:M,Unit!B:C,2,0)</f>
        <v>kg</v>
      </c>
      <c r="O441" s="41" t="s">
        <v>67</v>
      </c>
      <c r="P441" s="41">
        <v>10</v>
      </c>
      <c r="Q441" s="41" t="s">
        <v>179</v>
      </c>
      <c r="R441" s="41" t="str">
        <f>VLOOKUP(Q:Q,Unit!B:D,2,0)</f>
        <v>pack</v>
      </c>
      <c r="S441" s="41" t="s">
        <v>75</v>
      </c>
      <c r="T441" s="41" t="str">
        <f>VLOOKUP(S:S,Promo!B:D,2,0)</f>
        <v>Promo EN</v>
      </c>
      <c r="X441" s="41">
        <v>2500</v>
      </c>
      <c r="AB441" s="41" t="s">
        <v>2056</v>
      </c>
      <c r="AG441" s="41" t="s">
        <v>71</v>
      </c>
      <c r="AH441" s="41" t="s">
        <v>71</v>
      </c>
      <c r="AI441" s="41" t="s">
        <v>71</v>
      </c>
      <c r="AJ441" s="41" t="s">
        <v>71</v>
      </c>
      <c r="AK441" s="41" t="s">
        <v>71</v>
      </c>
      <c r="AL441" s="41" t="s">
        <v>71</v>
      </c>
      <c r="BS441" s="41" t="s">
        <v>72</v>
      </c>
      <c r="BT441" s="41" t="s">
        <v>72</v>
      </c>
      <c r="BW441" s="41" t="s">
        <v>72</v>
      </c>
      <c r="BY441" s="41">
        <f>VLOOKUP(M:M,Unit!B:D,3,0)</f>
        <v>2</v>
      </c>
      <c r="BZ441" s="41">
        <f>VLOOKUP(S:S,Promo!B:D,3,0)</f>
        <v>0</v>
      </c>
    </row>
    <row r="442" spans="1:78" s="41" customFormat="1" ht="15.75" customHeight="1">
      <c r="A442" s="41">
        <v>66378</v>
      </c>
      <c r="B442" s="41" t="s">
        <v>1287</v>
      </c>
      <c r="C442" s="65" t="str">
        <f>VLOOKUP(B:B,Brand!B:C,2,0)</f>
        <v>Anchor</v>
      </c>
      <c r="H442" s="41" t="s">
        <v>4059</v>
      </c>
      <c r="I442" s="41" t="s">
        <v>4060</v>
      </c>
      <c r="J442" s="41" t="s">
        <v>4938</v>
      </c>
      <c r="K442" s="41" t="s">
        <v>4939</v>
      </c>
      <c r="L442" s="41">
        <v>1</v>
      </c>
      <c r="M442" s="41" t="s">
        <v>79</v>
      </c>
      <c r="N442" s="41" t="str">
        <f>VLOOKUP(M:M,Unit!B:C,2,0)</f>
        <v>kg</v>
      </c>
      <c r="O442" s="41" t="s">
        <v>67</v>
      </c>
      <c r="P442" s="41">
        <v>1</v>
      </c>
      <c r="Q442" s="41" t="s">
        <v>68</v>
      </c>
      <c r="R442" s="41" t="str">
        <f>VLOOKUP(Q:Q,Unit!B:D,2,0)</f>
        <v>pc</v>
      </c>
      <c r="S442" s="41" t="s">
        <v>75</v>
      </c>
      <c r="T442" s="41" t="str">
        <f>VLOOKUP(S:S,Promo!B:D,2,0)</f>
        <v>Promo EN</v>
      </c>
      <c r="X442" s="41">
        <v>2500</v>
      </c>
      <c r="AB442" s="41" t="s">
        <v>2056</v>
      </c>
      <c r="AG442" s="41" t="s">
        <v>71</v>
      </c>
      <c r="AH442" s="41" t="s">
        <v>71</v>
      </c>
      <c r="AI442" s="41" t="s">
        <v>71</v>
      </c>
      <c r="AJ442" s="41" t="s">
        <v>71</v>
      </c>
      <c r="AK442" s="41" t="s">
        <v>71</v>
      </c>
      <c r="AL442" s="41" t="s">
        <v>71</v>
      </c>
      <c r="BS442" s="41" t="s">
        <v>2058</v>
      </c>
      <c r="BT442" s="41" t="s">
        <v>72</v>
      </c>
      <c r="BW442" s="41" t="s">
        <v>72</v>
      </c>
      <c r="BX442" s="41">
        <f>VLOOKUP(B:B,Brand!B:D,3,0)</f>
        <v>706</v>
      </c>
      <c r="BY442" s="41">
        <f>VLOOKUP(M:M,Unit!B:D,3,0)</f>
        <v>2</v>
      </c>
      <c r="BZ442" s="41">
        <f>VLOOKUP(S:S,Promo!B:D,3,0)</f>
        <v>0</v>
      </c>
    </row>
    <row r="443" spans="1:78" s="41" customFormat="1" ht="15.75" customHeight="1">
      <c r="A443" s="41">
        <v>66534</v>
      </c>
      <c r="B443" s="41" t="s">
        <v>1287</v>
      </c>
      <c r="C443" s="65" t="str">
        <f>VLOOKUP(B:B,Brand!B:C,2,0)</f>
        <v>Anchor</v>
      </c>
      <c r="H443" s="41" t="s">
        <v>4059</v>
      </c>
      <c r="I443" s="41" t="s">
        <v>4060</v>
      </c>
      <c r="J443" s="41" t="s">
        <v>4940</v>
      </c>
      <c r="K443" s="41" t="s">
        <v>4941</v>
      </c>
      <c r="L443" s="41">
        <v>1</v>
      </c>
      <c r="M443" s="41" t="s">
        <v>79</v>
      </c>
      <c r="N443" s="41" t="str">
        <f>VLOOKUP(M:M,Unit!B:C,2,0)</f>
        <v>kg</v>
      </c>
      <c r="O443" s="41" t="s">
        <v>67</v>
      </c>
      <c r="P443" s="41">
        <v>24</v>
      </c>
      <c r="Q443" s="41" t="s">
        <v>68</v>
      </c>
      <c r="R443" s="41" t="str">
        <f>VLOOKUP(Q:Q,Unit!B:D,2,0)</f>
        <v>pc</v>
      </c>
      <c r="S443" s="41" t="s">
        <v>75</v>
      </c>
      <c r="T443" s="41" t="str">
        <f>VLOOKUP(S:S,Promo!B:D,2,0)</f>
        <v>Promo EN</v>
      </c>
      <c r="W443" s="41">
        <v>108</v>
      </c>
      <c r="X443" s="41">
        <v>105</v>
      </c>
      <c r="AB443" s="41" t="s">
        <v>2056</v>
      </c>
      <c r="AG443" s="41" t="s">
        <v>71</v>
      </c>
      <c r="AH443" s="41" t="s">
        <v>71</v>
      </c>
      <c r="AI443" s="41" t="s">
        <v>71</v>
      </c>
      <c r="AJ443" s="41" t="s">
        <v>71</v>
      </c>
      <c r="AK443" s="41" t="s">
        <v>71</v>
      </c>
      <c r="AL443" s="41" t="s">
        <v>71</v>
      </c>
      <c r="BS443" s="41" t="s">
        <v>2058</v>
      </c>
      <c r="BT443" s="41" t="s">
        <v>72</v>
      </c>
      <c r="BW443" s="41" t="s">
        <v>72</v>
      </c>
      <c r="BX443" s="41">
        <f>VLOOKUP(B:B,Brand!B:D,3,0)</f>
        <v>706</v>
      </c>
      <c r="BY443" s="41">
        <f>VLOOKUP(M:M,Unit!B:D,3,0)</f>
        <v>2</v>
      </c>
      <c r="BZ443" s="41">
        <f>VLOOKUP(S:S,Promo!B:D,3,0)</f>
        <v>0</v>
      </c>
    </row>
    <row r="444" spans="1:78" s="41" customFormat="1" ht="15.75" customHeight="1">
      <c r="A444" s="41">
        <v>15093</v>
      </c>
      <c r="B444" s="41" t="s">
        <v>276</v>
      </c>
      <c r="C444" s="65" t="str">
        <f>VLOOKUP(B:B,Brand!B:C,2,0)</f>
        <v>Kraft</v>
      </c>
      <c r="H444" s="41" t="s">
        <v>4061</v>
      </c>
      <c r="I444" s="41" t="s">
        <v>4062</v>
      </c>
      <c r="J444" s="41" t="s">
        <v>4942</v>
      </c>
      <c r="K444" s="41" t="s">
        <v>4943</v>
      </c>
      <c r="L444" s="41">
        <v>2</v>
      </c>
      <c r="M444" s="41" t="s">
        <v>79</v>
      </c>
      <c r="N444" s="41" t="str">
        <f>VLOOKUP(M:M,Unit!B:C,2,0)</f>
        <v>kg</v>
      </c>
      <c r="O444" s="41" t="s">
        <v>67</v>
      </c>
      <c r="P444" s="41">
        <v>1</v>
      </c>
      <c r="Q444" s="41" t="s">
        <v>68</v>
      </c>
      <c r="R444" s="41" t="str">
        <f>VLOOKUP(Q:Q,Unit!B:D,2,0)</f>
        <v>pc</v>
      </c>
      <c r="S444" s="41" t="s">
        <v>75</v>
      </c>
      <c r="T444" s="41" t="str">
        <f>VLOOKUP(S:S,Promo!B:D,2,0)</f>
        <v>Promo EN</v>
      </c>
      <c r="W444" s="41">
        <v>780</v>
      </c>
      <c r="X444" s="41">
        <v>665</v>
      </c>
      <c r="AB444" s="41" t="s">
        <v>2056</v>
      </c>
      <c r="AG444" s="41" t="s">
        <v>71</v>
      </c>
      <c r="AH444" s="41" t="s">
        <v>71</v>
      </c>
      <c r="AI444" s="41" t="s">
        <v>71</v>
      </c>
      <c r="AJ444" s="41" t="s">
        <v>71</v>
      </c>
      <c r="AK444" s="41" t="s">
        <v>71</v>
      </c>
      <c r="AL444" s="41" t="s">
        <v>71</v>
      </c>
      <c r="BS444" s="41" t="s">
        <v>2058</v>
      </c>
      <c r="BT444" s="41" t="s">
        <v>72</v>
      </c>
      <c r="BW444" s="41" t="s">
        <v>72</v>
      </c>
      <c r="BX444" s="41">
        <f>VLOOKUP(B:B,Brand!B:D,3,0)</f>
        <v>47</v>
      </c>
      <c r="BY444" s="41">
        <f>VLOOKUP(M:M,Unit!B:D,3,0)</f>
        <v>2</v>
      </c>
      <c r="BZ444" s="41">
        <f>VLOOKUP(S:S,Promo!B:D,3,0)</f>
        <v>0</v>
      </c>
    </row>
    <row r="445" spans="1:78" s="41" customFormat="1" ht="15.75" customHeight="1">
      <c r="A445" s="41">
        <v>142131</v>
      </c>
      <c r="B445" s="41" t="s">
        <v>468</v>
      </c>
      <c r="C445" s="65" t="str">
        <f>VLOOKUP(B:B,Brand!B:C,2,0)</f>
        <v>CP</v>
      </c>
      <c r="H445" s="41" t="s">
        <v>4068</v>
      </c>
      <c r="I445" s="41" t="s">
        <v>4069</v>
      </c>
      <c r="J445" s="41" t="s">
        <v>4948</v>
      </c>
      <c r="K445" s="41" t="s">
        <v>4949</v>
      </c>
      <c r="L445" s="41">
        <v>1</v>
      </c>
      <c r="M445" s="41" t="s">
        <v>79</v>
      </c>
      <c r="N445" s="41" t="str">
        <f>VLOOKUP(M:M,Unit!B:C,2,0)</f>
        <v>kg</v>
      </c>
      <c r="O445" s="41" t="s">
        <v>67</v>
      </c>
      <c r="P445" s="41">
        <v>1</v>
      </c>
      <c r="Q445" s="41" t="s">
        <v>179</v>
      </c>
      <c r="R445" s="41" t="str">
        <f>VLOOKUP(Q:Q,Unit!B:D,2,0)</f>
        <v>pack</v>
      </c>
      <c r="S445" s="41" t="s">
        <v>75</v>
      </c>
      <c r="T445" s="41" t="str">
        <f>VLOOKUP(S:S,Promo!B:D,2,0)</f>
        <v>Promo EN</v>
      </c>
      <c r="W445" s="41">
        <v>179</v>
      </c>
      <c r="X445" s="41">
        <v>159</v>
      </c>
      <c r="AB445" s="41" t="s">
        <v>2056</v>
      </c>
      <c r="AG445" s="41" t="s">
        <v>71</v>
      </c>
      <c r="AH445" s="41" t="s">
        <v>71</v>
      </c>
      <c r="AI445" s="41" t="s">
        <v>71</v>
      </c>
      <c r="AJ445" s="41" t="s">
        <v>71</v>
      </c>
      <c r="AK445" s="41" t="s">
        <v>71</v>
      </c>
      <c r="AL445" s="41" t="s">
        <v>71</v>
      </c>
      <c r="BS445" s="41" t="s">
        <v>72</v>
      </c>
      <c r="BT445" s="41" t="s">
        <v>72</v>
      </c>
      <c r="BW445" s="41" t="s">
        <v>72</v>
      </c>
      <c r="BX445" s="41">
        <f>VLOOKUP(B:B,Brand!B:D,3,0)</f>
        <v>174</v>
      </c>
      <c r="BY445" s="41">
        <f>VLOOKUP(M:M,Unit!B:D,3,0)</f>
        <v>2</v>
      </c>
      <c r="BZ445" s="41">
        <f>VLOOKUP(S:S,Promo!B:D,3,0)</f>
        <v>0</v>
      </c>
    </row>
    <row r="446" spans="1:78" s="41" customFormat="1" ht="15.75" customHeight="1">
      <c r="A446" s="41">
        <v>543205</v>
      </c>
      <c r="B446" s="41" t="s">
        <v>729</v>
      </c>
      <c r="C446" s="65" t="str">
        <f>VLOOKUP(B:B,Brand!B:C,2,0)</f>
        <v>Ban Pai</v>
      </c>
      <c r="H446" s="41" t="s">
        <v>2255</v>
      </c>
      <c r="I446" s="41" t="s">
        <v>4070</v>
      </c>
      <c r="J446" s="41" t="s">
        <v>4950</v>
      </c>
      <c r="K446" s="41" t="s">
        <v>4951</v>
      </c>
      <c r="L446" s="41">
        <v>170</v>
      </c>
      <c r="M446" s="41" t="s">
        <v>83</v>
      </c>
      <c r="N446" s="41" t="str">
        <f>VLOOKUP(M:M,Unit!B:C,2,0)</f>
        <v>g</v>
      </c>
      <c r="O446" s="41" t="s">
        <v>67</v>
      </c>
      <c r="P446" s="41">
        <v>1</v>
      </c>
      <c r="Q446" s="41" t="s">
        <v>68</v>
      </c>
      <c r="R446" s="41" t="str">
        <f>VLOOKUP(Q:Q,Unit!B:D,2,0)</f>
        <v>pc</v>
      </c>
      <c r="S446" s="41" t="s">
        <v>74</v>
      </c>
      <c r="T446" s="41" t="str">
        <f>VLOOKUP(S:S,Promo!B:D,2,0)</f>
        <v>buy 1 get 1</v>
      </c>
      <c r="W446" s="41">
        <v>89</v>
      </c>
      <c r="X446" s="41">
        <v>85</v>
      </c>
      <c r="AB446" s="41" t="s">
        <v>2056</v>
      </c>
      <c r="AG446" s="41" t="s">
        <v>71</v>
      </c>
      <c r="AH446" s="41" t="s">
        <v>71</v>
      </c>
      <c r="AI446" s="41" t="s">
        <v>71</v>
      </c>
      <c r="AJ446" s="41" t="s">
        <v>71</v>
      </c>
      <c r="AK446" s="41" t="s">
        <v>71</v>
      </c>
      <c r="AL446" s="41" t="s">
        <v>71</v>
      </c>
      <c r="BS446" s="41" t="s">
        <v>2058</v>
      </c>
      <c r="BT446" s="41" t="s">
        <v>72</v>
      </c>
      <c r="BW446" s="41" t="s">
        <v>72</v>
      </c>
      <c r="BX446" s="41">
        <f>VLOOKUP(B:B,Brand!B:D,3,0)</f>
        <v>347</v>
      </c>
      <c r="BY446" s="41">
        <f>VLOOKUP(M:M,Unit!B:D,3,0)</f>
        <v>1</v>
      </c>
      <c r="BZ446" s="41">
        <f>VLOOKUP(S:S,Promo!B:D,3,0)</f>
        <v>1</v>
      </c>
    </row>
    <row r="447" spans="1:78" s="41" customFormat="1" ht="15.75" customHeight="1">
      <c r="A447" s="41">
        <v>143703</v>
      </c>
      <c r="B447" s="41" t="s">
        <v>97</v>
      </c>
      <c r="C447" s="65" t="str">
        <f>VLOOKUP(B:B,Brand!B:C,2,0)</f>
        <v>aro</v>
      </c>
      <c r="H447" s="41" t="s">
        <v>3571</v>
      </c>
      <c r="I447" s="41" t="s">
        <v>3572</v>
      </c>
      <c r="J447" s="41" t="s">
        <v>4962</v>
      </c>
      <c r="K447" s="41" t="s">
        <v>4963</v>
      </c>
      <c r="L447" s="41">
        <v>1</v>
      </c>
      <c r="M447" s="41" t="s">
        <v>79</v>
      </c>
      <c r="N447" s="41" t="str">
        <f>VLOOKUP(M:M,Unit!B:C,2,0)</f>
        <v>kg</v>
      </c>
      <c r="O447" s="41" t="s">
        <v>67</v>
      </c>
      <c r="P447" s="41">
        <v>1</v>
      </c>
      <c r="Q447" s="41" t="s">
        <v>179</v>
      </c>
      <c r="R447" s="41" t="str">
        <f>VLOOKUP(Q:Q,Unit!B:D,2,0)</f>
        <v>pack</v>
      </c>
      <c r="S447" s="41" t="s">
        <v>75</v>
      </c>
      <c r="T447" s="41" t="str">
        <f>VLOOKUP(S:S,Promo!B:D,2,0)</f>
        <v>Promo EN</v>
      </c>
      <c r="W447" s="41">
        <v>79</v>
      </c>
      <c r="X447" s="41">
        <v>69</v>
      </c>
      <c r="AB447" s="41" t="s">
        <v>2054</v>
      </c>
      <c r="AG447" s="41" t="s">
        <v>71</v>
      </c>
      <c r="AH447" s="41" t="s">
        <v>71</v>
      </c>
      <c r="AI447" s="41" t="s">
        <v>71</v>
      </c>
      <c r="AJ447" s="41" t="s">
        <v>71</v>
      </c>
      <c r="AK447" s="41" t="s">
        <v>71</v>
      </c>
      <c r="AL447" s="41" t="s">
        <v>71</v>
      </c>
      <c r="BS447" s="41" t="s">
        <v>72</v>
      </c>
      <c r="BT447" s="41" t="s">
        <v>72</v>
      </c>
      <c r="BW447" s="41" t="s">
        <v>72</v>
      </c>
      <c r="BX447" s="41">
        <f>VLOOKUP(B:B,Brand!B:D,3,0)</f>
        <v>692</v>
      </c>
      <c r="BY447" s="41">
        <f>VLOOKUP(M:M,Unit!B:D,3,0)</f>
        <v>2</v>
      </c>
      <c r="BZ447" s="41">
        <f>VLOOKUP(S:S,Promo!B:D,3,0)</f>
        <v>0</v>
      </c>
    </row>
    <row r="448" spans="1:78" s="41" customFormat="1" ht="15.75" customHeight="1">
      <c r="A448" s="41">
        <v>151099</v>
      </c>
      <c r="B448" s="41" t="s">
        <v>865</v>
      </c>
      <c r="C448" s="65" t="str">
        <f>VLOOKUP(B:B,Brand!B:C,2,0)</f>
        <v>PFP</v>
      </c>
      <c r="H448" s="41" t="s">
        <v>4078</v>
      </c>
      <c r="I448" s="41" t="s">
        <v>4079</v>
      </c>
      <c r="J448" s="41" t="s">
        <v>4966</v>
      </c>
      <c r="K448" s="41" t="s">
        <v>4967</v>
      </c>
      <c r="L448" s="41">
        <v>1</v>
      </c>
      <c r="M448" s="41" t="s">
        <v>79</v>
      </c>
      <c r="N448" s="41" t="str">
        <f>VLOOKUP(M:M,Unit!B:C,2,0)</f>
        <v>kg</v>
      </c>
      <c r="O448" s="41" t="s">
        <v>67</v>
      </c>
      <c r="P448" s="41">
        <v>1</v>
      </c>
      <c r="Q448" s="41" t="s">
        <v>179</v>
      </c>
      <c r="R448" s="41" t="str">
        <f>VLOOKUP(Q:Q,Unit!B:D,2,0)</f>
        <v>pack</v>
      </c>
      <c r="S448" s="41" t="s">
        <v>75</v>
      </c>
      <c r="T448" s="41" t="str">
        <f>VLOOKUP(S:S,Promo!B:D,2,0)</f>
        <v>Promo EN</v>
      </c>
      <c r="W448" s="41">
        <v>320</v>
      </c>
      <c r="X448" s="41">
        <v>275</v>
      </c>
      <c r="AB448" s="41" t="s">
        <v>2054</v>
      </c>
      <c r="AF448" s="41" t="s">
        <v>3373</v>
      </c>
      <c r="AG448" s="41" t="s">
        <v>71</v>
      </c>
      <c r="AH448" s="41" t="s">
        <v>71</v>
      </c>
      <c r="AI448" s="41" t="s">
        <v>71</v>
      </c>
      <c r="AJ448" s="41" t="s">
        <v>71</v>
      </c>
      <c r="AK448" s="41" t="s">
        <v>71</v>
      </c>
      <c r="AL448" s="41" t="s">
        <v>71</v>
      </c>
      <c r="BS448" s="41" t="s">
        <v>72</v>
      </c>
      <c r="BT448" s="41" t="s">
        <v>72</v>
      </c>
      <c r="BW448" s="41" t="s">
        <v>72</v>
      </c>
      <c r="BX448" s="41">
        <f>VLOOKUP(B:B,Brand!B:D,3,0)</f>
        <v>434</v>
      </c>
      <c r="BY448" s="41">
        <f>VLOOKUP(M:M,Unit!B:D,3,0)</f>
        <v>2</v>
      </c>
      <c r="BZ448" s="41">
        <f>VLOOKUP(S:S,Promo!B:D,3,0)</f>
        <v>0</v>
      </c>
    </row>
    <row r="449" spans="1:78" s="41" customFormat="1" ht="15.75" customHeight="1">
      <c r="A449" s="41">
        <v>805839</v>
      </c>
      <c r="B449" s="41" t="s">
        <v>2427</v>
      </c>
      <c r="C449" s="65" t="str">
        <f>VLOOKUP(B:B,Brand!B:C,2,0)</f>
        <v>Five Stars</v>
      </c>
      <c r="H449" s="41" t="s">
        <v>4080</v>
      </c>
      <c r="I449" s="41" t="s">
        <v>4081</v>
      </c>
      <c r="J449" s="65" t="str">
        <f>TRIM(CONCATENATE(B449," ",H449," ",L449," ",M449," ",O449,P449," ",Q449))</f>
        <v>ห้าดาว ไก่จ๊อ 1000 กรัม x1 ถุง</v>
      </c>
      <c r="K449" s="80" t="str">
        <f>TRIM(CONCATENATE(C449," ",I449," ",L449," ",N449," ",O449,P449," ",R449))</f>
        <v>Five Stars Chicken Jock 1000 g x1 unit</v>
      </c>
      <c r="L449" s="41">
        <v>1000</v>
      </c>
      <c r="M449" s="41" t="s">
        <v>83</v>
      </c>
      <c r="N449" s="41" t="str">
        <f>VLOOKUP(M:M,Unit!B:C,2,0)</f>
        <v>g</v>
      </c>
      <c r="O449" s="41" t="s">
        <v>67</v>
      </c>
      <c r="P449" s="41">
        <v>1</v>
      </c>
      <c r="Q449" s="41" t="s">
        <v>2153</v>
      </c>
      <c r="R449" s="41" t="str">
        <f>VLOOKUP(Q:Q,Unit!B:D,2,0)</f>
        <v>unit</v>
      </c>
      <c r="S449" s="41" t="s">
        <v>75</v>
      </c>
      <c r="T449" s="41" t="str">
        <f>VLOOKUP(S:S,Promo!B:D,2,0)</f>
        <v>Promo EN</v>
      </c>
      <c r="W449" s="41">
        <v>130</v>
      </c>
      <c r="X449" s="41">
        <v>129</v>
      </c>
      <c r="Z449" s="41" t="s">
        <v>3711</v>
      </c>
      <c r="AA449" s="41">
        <v>42983</v>
      </c>
      <c r="AB449" s="41" t="s">
        <v>2056</v>
      </c>
      <c r="AF449" s="41" t="s">
        <v>3373</v>
      </c>
      <c r="AG449" s="41" t="s">
        <v>71</v>
      </c>
      <c r="AH449" s="41" t="s">
        <v>71</v>
      </c>
      <c r="AI449" s="41" t="s">
        <v>71</v>
      </c>
      <c r="AJ449" s="41" t="s">
        <v>71</v>
      </c>
      <c r="AK449" s="41" t="s">
        <v>71</v>
      </c>
      <c r="AL449" s="41" t="s">
        <v>71</v>
      </c>
      <c r="BS449" s="41" t="s">
        <v>72</v>
      </c>
      <c r="BT449" s="41" t="s">
        <v>72</v>
      </c>
      <c r="BW449" s="41" t="s">
        <v>72</v>
      </c>
      <c r="BX449" s="41">
        <f>VLOOKUP(B:B,Brand!B:D,3,0)</f>
        <v>979</v>
      </c>
      <c r="BY449" s="41">
        <f>VLOOKUP(M:M,Unit!B:D,3,0)</f>
        <v>1</v>
      </c>
      <c r="BZ449" s="41">
        <f>VLOOKUP(S:S,Promo!B:D,3,0)</f>
        <v>0</v>
      </c>
    </row>
    <row r="450" spans="1:78" s="41" customFormat="1" ht="15.75" customHeight="1">
      <c r="A450" s="41">
        <v>805840</v>
      </c>
      <c r="B450" s="41" t="s">
        <v>2427</v>
      </c>
      <c r="C450" s="65" t="str">
        <f>VLOOKUP(B:B,Brand!B:C,2,0)</f>
        <v>Five Stars</v>
      </c>
      <c r="H450" s="41" t="s">
        <v>4082</v>
      </c>
      <c r="I450" s="41" t="s">
        <v>4081</v>
      </c>
      <c r="J450" s="65" t="str">
        <f>TRIM(CONCATENATE(B450," ",H450," ",L450," ",M450," ",O450,P450," ",Q450))</f>
        <v>ห้าดาว ไก่จ๊อ (ยกลัง) 1 กล่อง x1 ชิ้น</v>
      </c>
      <c r="K450" s="80" t="str">
        <f>TRIM(CONCATENATE(C450," ",I450," ",L450," ",N450," ",O450,P450," ",R450))</f>
        <v>Five Stars Chicken Jock 1 box x1 pc</v>
      </c>
      <c r="L450" s="41">
        <v>1</v>
      </c>
      <c r="M450" s="41" t="s">
        <v>104</v>
      </c>
      <c r="N450" s="41" t="str">
        <f>VLOOKUP(M:M,Unit!B:C,2,0)</f>
        <v>box</v>
      </c>
      <c r="O450" s="41" t="s">
        <v>67</v>
      </c>
      <c r="P450" s="41">
        <v>1</v>
      </c>
      <c r="Q450" s="41" t="s">
        <v>68</v>
      </c>
      <c r="R450" s="41" t="str">
        <f>VLOOKUP(Q:Q,Unit!B:D,2,0)</f>
        <v>pc</v>
      </c>
      <c r="S450" s="41" t="s">
        <v>75</v>
      </c>
      <c r="T450" s="41" t="str">
        <f>VLOOKUP(S:S,Promo!B:D,2,0)</f>
        <v>Promo EN</v>
      </c>
      <c r="X450" s="41">
        <v>1200</v>
      </c>
      <c r="Z450" s="41" t="s">
        <v>3711</v>
      </c>
      <c r="AA450" s="41">
        <v>42983</v>
      </c>
      <c r="AB450" s="41" t="s">
        <v>2056</v>
      </c>
      <c r="AF450" s="41" t="s">
        <v>3373</v>
      </c>
      <c r="AG450" s="41" t="s">
        <v>71</v>
      </c>
      <c r="AH450" s="41" t="s">
        <v>71</v>
      </c>
      <c r="AI450" s="41" t="s">
        <v>71</v>
      </c>
      <c r="AJ450" s="41" t="s">
        <v>71</v>
      </c>
      <c r="AK450" s="41" t="s">
        <v>71</v>
      </c>
      <c r="AL450" s="41" t="s">
        <v>71</v>
      </c>
      <c r="BS450" s="41" t="s">
        <v>72</v>
      </c>
      <c r="BT450" s="41" t="s">
        <v>72</v>
      </c>
      <c r="BW450" s="41" t="s">
        <v>72</v>
      </c>
      <c r="BX450" s="41">
        <f>VLOOKUP(B:B,Brand!B:D,3,0)</f>
        <v>979</v>
      </c>
      <c r="BY450" s="41">
        <f>VLOOKUP(M:M,Unit!B:D,3,0)</f>
        <v>36</v>
      </c>
      <c r="BZ450" s="41">
        <f>VLOOKUP(S:S,Promo!B:D,3,0)</f>
        <v>0</v>
      </c>
    </row>
    <row r="451" spans="1:78" s="41" customFormat="1" ht="15.75" customHeight="1">
      <c r="A451" s="41">
        <v>805841</v>
      </c>
      <c r="B451" s="41" t="s">
        <v>2427</v>
      </c>
      <c r="C451" s="65" t="str">
        <f>VLOOKUP(B:B,Brand!B:C,2,0)</f>
        <v>Five Stars</v>
      </c>
      <c r="H451" s="41" t="s">
        <v>4080</v>
      </c>
      <c r="I451" s="41" t="s">
        <v>4081</v>
      </c>
      <c r="J451" s="65" t="str">
        <f>TRIM(CONCATENATE(B451," ",H451," ",L451," ",M451," ",O451,P451," ",Q451))</f>
        <v>ห้าดาว ไก่จ๊อ 1 กก. x1 แพ็ค</v>
      </c>
      <c r="K451" s="80" t="str">
        <f>TRIM(CONCATENATE(C451," ",I451," ",L451," ",N451," ",O451,P451," ",R451))</f>
        <v>Five Stars Chicken Jock 1 kg x1 pack</v>
      </c>
      <c r="L451" s="41">
        <v>1</v>
      </c>
      <c r="M451" s="41" t="s">
        <v>79</v>
      </c>
      <c r="N451" s="41" t="str">
        <f>VLOOKUP(M:M,Unit!B:C,2,0)</f>
        <v>kg</v>
      </c>
      <c r="O451" s="41" t="s">
        <v>67</v>
      </c>
      <c r="P451" s="41">
        <v>1</v>
      </c>
      <c r="Q451" s="41" t="s">
        <v>179</v>
      </c>
      <c r="R451" s="41" t="str">
        <f>VLOOKUP(Q:Q,Unit!B:D,2,0)</f>
        <v>pack</v>
      </c>
      <c r="S451" s="41" t="s">
        <v>75</v>
      </c>
      <c r="T451" s="41" t="str">
        <f>VLOOKUP(S:S,Promo!B:D,2,0)</f>
        <v>Promo EN</v>
      </c>
      <c r="W451" s="41">
        <v>130</v>
      </c>
      <c r="X451" s="41">
        <v>129</v>
      </c>
      <c r="Z451" s="41" t="s">
        <v>3711</v>
      </c>
      <c r="AA451" s="41">
        <v>42983</v>
      </c>
      <c r="AB451" s="41" t="s">
        <v>2056</v>
      </c>
      <c r="AF451" s="41" t="s">
        <v>3373</v>
      </c>
      <c r="AG451" s="41" t="s">
        <v>71</v>
      </c>
      <c r="AH451" s="41" t="s">
        <v>71</v>
      </c>
      <c r="AI451" s="41" t="s">
        <v>71</v>
      </c>
      <c r="AJ451" s="41" t="s">
        <v>71</v>
      </c>
      <c r="AK451" s="41" t="s">
        <v>71</v>
      </c>
      <c r="AL451" s="41" t="s">
        <v>71</v>
      </c>
      <c r="AU451" s="41" t="s">
        <v>4083</v>
      </c>
      <c r="AV451" s="41" t="s">
        <v>4084</v>
      </c>
      <c r="BS451" s="41" t="s">
        <v>72</v>
      </c>
      <c r="BT451" s="41" t="s">
        <v>72</v>
      </c>
      <c r="BW451" s="41" t="s">
        <v>72</v>
      </c>
      <c r="BX451" s="41">
        <f>VLOOKUP(B:B,Brand!B:D,3,0)</f>
        <v>979</v>
      </c>
      <c r="BY451" s="41">
        <f>VLOOKUP(M:M,Unit!B:D,3,0)</f>
        <v>2</v>
      </c>
      <c r="BZ451" s="41">
        <f>VLOOKUP(S:S,Promo!B:D,3,0)</f>
        <v>0</v>
      </c>
    </row>
    <row r="452" spans="1:78" s="41" customFormat="1" ht="15.75" customHeight="1">
      <c r="A452" s="41">
        <v>160301</v>
      </c>
      <c r="B452" s="41" t="s">
        <v>97</v>
      </c>
      <c r="C452" s="65" t="str">
        <f>VLOOKUP(B:B,Brand!B:C,2,0)</f>
        <v>aro</v>
      </c>
      <c r="H452" s="41" t="s">
        <v>4089</v>
      </c>
      <c r="I452" s="41" t="s">
        <v>4090</v>
      </c>
      <c r="J452" s="41" t="s">
        <v>4971</v>
      </c>
      <c r="K452" s="41" t="s">
        <v>4972</v>
      </c>
      <c r="L452" s="41">
        <v>1</v>
      </c>
      <c r="M452" s="41" t="s">
        <v>79</v>
      </c>
      <c r="N452" s="41" t="str">
        <f>VLOOKUP(M:M,Unit!B:C,2,0)</f>
        <v>kg</v>
      </c>
      <c r="O452" s="41" t="s">
        <v>67</v>
      </c>
      <c r="P452" s="41">
        <v>1</v>
      </c>
      <c r="Q452" s="41" t="s">
        <v>2153</v>
      </c>
      <c r="R452" s="41" t="str">
        <f>VLOOKUP(Q:Q,Unit!B:D,2,0)</f>
        <v>unit</v>
      </c>
      <c r="S452" s="41" t="s">
        <v>75</v>
      </c>
      <c r="T452" s="41" t="str">
        <f>VLOOKUP(S:S,Promo!B:D,2,0)</f>
        <v>Promo EN</v>
      </c>
      <c r="W452" s="41">
        <v>229</v>
      </c>
      <c r="X452" s="41">
        <v>195</v>
      </c>
      <c r="AB452" s="41" t="s">
        <v>2054</v>
      </c>
      <c r="AG452" s="41" t="s">
        <v>71</v>
      </c>
      <c r="AH452" s="41" t="s">
        <v>71</v>
      </c>
      <c r="AI452" s="41" t="s">
        <v>71</v>
      </c>
      <c r="AJ452" s="41" t="s">
        <v>71</v>
      </c>
      <c r="AK452" s="41" t="s">
        <v>71</v>
      </c>
      <c r="AL452" s="41" t="s">
        <v>71</v>
      </c>
      <c r="BS452" s="41" t="s">
        <v>72</v>
      </c>
      <c r="BT452" s="41" t="s">
        <v>72</v>
      </c>
      <c r="BW452" s="41" t="s">
        <v>72</v>
      </c>
      <c r="BX452" s="41">
        <f>VLOOKUP(B:B,Brand!B:D,3,0)</f>
        <v>692</v>
      </c>
      <c r="BY452" s="41">
        <f>VLOOKUP(M:M,Unit!B:D,3,0)</f>
        <v>2</v>
      </c>
      <c r="BZ452" s="41">
        <f>VLOOKUP(S:S,Promo!B:D,3,0)</f>
        <v>0</v>
      </c>
    </row>
    <row r="453" spans="1:78" s="41" customFormat="1" ht="15.75" customHeight="1">
      <c r="A453" s="41">
        <v>160296</v>
      </c>
      <c r="B453" s="41" t="s">
        <v>97</v>
      </c>
      <c r="C453" s="65" t="str">
        <f>VLOOKUP(B:B,Brand!B:C,2,0)</f>
        <v>aro</v>
      </c>
      <c r="H453" s="41" t="s">
        <v>4089</v>
      </c>
      <c r="I453" s="41" t="s">
        <v>4090</v>
      </c>
      <c r="J453" s="41" t="s">
        <v>4973</v>
      </c>
      <c r="K453" s="41" t="s">
        <v>4974</v>
      </c>
      <c r="L453" s="41">
        <v>1</v>
      </c>
      <c r="M453" s="41" t="s">
        <v>79</v>
      </c>
      <c r="N453" s="41" t="str">
        <f>VLOOKUP(M:M,Unit!B:C,2,0)</f>
        <v>kg</v>
      </c>
      <c r="O453" s="41" t="s">
        <v>67</v>
      </c>
      <c r="P453" s="41">
        <v>10</v>
      </c>
      <c r="Q453" s="41" t="s">
        <v>2153</v>
      </c>
      <c r="R453" s="41" t="str">
        <f>VLOOKUP(Q:Q,Unit!B:D,2,0)</f>
        <v>unit</v>
      </c>
      <c r="S453" s="41" t="s">
        <v>75</v>
      </c>
      <c r="T453" s="41" t="str">
        <f>VLOOKUP(S:S,Promo!B:D,2,0)</f>
        <v>Promo EN</v>
      </c>
      <c r="X453" s="41">
        <v>1900</v>
      </c>
      <c r="AB453" s="41" t="s">
        <v>2054</v>
      </c>
      <c r="AG453" s="41" t="s">
        <v>71</v>
      </c>
      <c r="AH453" s="41" t="s">
        <v>71</v>
      </c>
      <c r="AI453" s="41" t="s">
        <v>71</v>
      </c>
      <c r="AJ453" s="41" t="s">
        <v>71</v>
      </c>
      <c r="AK453" s="41" t="s">
        <v>71</v>
      </c>
      <c r="AL453" s="41" t="s">
        <v>71</v>
      </c>
      <c r="BS453" s="41" t="s">
        <v>2058</v>
      </c>
      <c r="BT453" s="41" t="s">
        <v>72</v>
      </c>
      <c r="BW453" s="41" t="s">
        <v>72</v>
      </c>
      <c r="BX453" s="41">
        <f>VLOOKUP(B:B,Brand!B:D,3,0)</f>
        <v>692</v>
      </c>
      <c r="BY453" s="41">
        <f>VLOOKUP(M:M,Unit!B:D,3,0)</f>
        <v>2</v>
      </c>
      <c r="BZ453" s="41">
        <f>VLOOKUP(S:S,Promo!B:D,3,0)</f>
        <v>0</v>
      </c>
    </row>
    <row r="454" spans="1:78" s="41" customFormat="1" ht="15.75" customHeight="1">
      <c r="A454" s="41">
        <v>160288</v>
      </c>
      <c r="B454" s="41" t="s">
        <v>97</v>
      </c>
      <c r="C454" s="65" t="str">
        <f>VLOOKUP(B:B,Brand!B:C,2,0)</f>
        <v>aro</v>
      </c>
      <c r="H454" s="41" t="s">
        <v>4091</v>
      </c>
      <c r="I454" s="41" t="s">
        <v>4092</v>
      </c>
      <c r="J454" s="41" t="s">
        <v>4975</v>
      </c>
      <c r="K454" s="41" t="s">
        <v>4976</v>
      </c>
      <c r="L454" s="41">
        <v>1</v>
      </c>
      <c r="M454" s="41" t="s">
        <v>79</v>
      </c>
      <c r="N454" s="41" t="str">
        <f>VLOOKUP(M:M,Unit!B:C,2,0)</f>
        <v>kg</v>
      </c>
      <c r="O454" s="41" t="s">
        <v>67</v>
      </c>
      <c r="P454" s="41">
        <v>10</v>
      </c>
      <c r="Q454" s="41" t="s">
        <v>2153</v>
      </c>
      <c r="R454" s="41" t="str">
        <f>VLOOKUP(Q:Q,Unit!B:D,2,0)</f>
        <v>unit</v>
      </c>
      <c r="S454" s="41" t="s">
        <v>75</v>
      </c>
      <c r="T454" s="41" t="str">
        <f>VLOOKUP(S:S,Promo!B:D,2,0)</f>
        <v>Promo EN</v>
      </c>
      <c r="X454" s="41">
        <v>1400</v>
      </c>
      <c r="AB454" s="41" t="s">
        <v>2054</v>
      </c>
      <c r="AG454" s="41" t="s">
        <v>71</v>
      </c>
      <c r="AH454" s="41" t="s">
        <v>71</v>
      </c>
      <c r="AI454" s="41" t="s">
        <v>71</v>
      </c>
      <c r="AJ454" s="41" t="s">
        <v>71</v>
      </c>
      <c r="AK454" s="41" t="s">
        <v>71</v>
      </c>
      <c r="AL454" s="41" t="s">
        <v>71</v>
      </c>
      <c r="BS454" s="41" t="s">
        <v>2058</v>
      </c>
      <c r="BT454" s="41" t="s">
        <v>72</v>
      </c>
      <c r="BW454" s="41" t="s">
        <v>72</v>
      </c>
      <c r="BX454" s="41">
        <f>VLOOKUP(B:B,Brand!B:D,3,0)</f>
        <v>692</v>
      </c>
      <c r="BY454" s="41">
        <f>VLOOKUP(M:M,Unit!B:D,3,0)</f>
        <v>2</v>
      </c>
      <c r="BZ454" s="41">
        <f>VLOOKUP(S:S,Promo!B:D,3,0)</f>
        <v>0</v>
      </c>
    </row>
    <row r="455" spans="1:78" s="41" customFormat="1" ht="15.75" customHeight="1">
      <c r="A455" s="41">
        <v>160294</v>
      </c>
      <c r="B455" s="41" t="s">
        <v>97</v>
      </c>
      <c r="C455" s="65" t="str">
        <f>VLOOKUP(B:B,Brand!B:C,2,0)</f>
        <v>aro</v>
      </c>
      <c r="H455" s="41" t="s">
        <v>4091</v>
      </c>
      <c r="I455" s="41" t="s">
        <v>4092</v>
      </c>
      <c r="J455" s="41" t="s">
        <v>4977</v>
      </c>
      <c r="K455" s="41" t="s">
        <v>4978</v>
      </c>
      <c r="L455" s="41">
        <v>1</v>
      </c>
      <c r="M455" s="41" t="s">
        <v>79</v>
      </c>
      <c r="N455" s="41" t="str">
        <f>VLOOKUP(M:M,Unit!B:C,2,0)</f>
        <v>kg</v>
      </c>
      <c r="O455" s="41" t="s">
        <v>67</v>
      </c>
      <c r="P455" s="41">
        <v>1</v>
      </c>
      <c r="Q455" s="41" t="s">
        <v>2153</v>
      </c>
      <c r="R455" s="41" t="str">
        <f>VLOOKUP(Q:Q,Unit!B:D,2,0)</f>
        <v>unit</v>
      </c>
      <c r="S455" s="41" t="s">
        <v>75</v>
      </c>
      <c r="T455" s="41" t="str">
        <f>VLOOKUP(S:S,Promo!B:D,2,0)</f>
        <v>Promo EN</v>
      </c>
      <c r="W455" s="41">
        <v>159</v>
      </c>
      <c r="X455" s="41">
        <v>149</v>
      </c>
      <c r="AB455" s="41" t="s">
        <v>2054</v>
      </c>
      <c r="AG455" s="41" t="s">
        <v>71</v>
      </c>
      <c r="AH455" s="41" t="s">
        <v>71</v>
      </c>
      <c r="AI455" s="41" t="s">
        <v>71</v>
      </c>
      <c r="AJ455" s="41" t="s">
        <v>71</v>
      </c>
      <c r="AK455" s="41" t="s">
        <v>71</v>
      </c>
      <c r="AL455" s="41" t="s">
        <v>71</v>
      </c>
      <c r="BS455" s="41" t="s">
        <v>2058</v>
      </c>
      <c r="BT455" s="41" t="s">
        <v>72</v>
      </c>
      <c r="BW455" s="41" t="s">
        <v>72</v>
      </c>
      <c r="BX455" s="41">
        <f>VLOOKUP(B:B,Brand!B:D,3,0)</f>
        <v>692</v>
      </c>
      <c r="BY455" s="41">
        <f>VLOOKUP(M:M,Unit!B:D,3,0)</f>
        <v>2</v>
      </c>
      <c r="BZ455" s="41">
        <f>VLOOKUP(S:S,Promo!B:D,3,0)</f>
        <v>0</v>
      </c>
    </row>
    <row r="456" spans="1:78" s="41" customFormat="1" ht="15.75" customHeight="1">
      <c r="A456" s="41">
        <v>807878</v>
      </c>
      <c r="B456" s="41" t="s">
        <v>2818</v>
      </c>
      <c r="C456" s="65" t="str">
        <f>VLOOKUP(B:B,Brand!B:C,2,0)</f>
        <v>Horeca</v>
      </c>
      <c r="H456" s="41" t="s">
        <v>4095</v>
      </c>
      <c r="I456" s="41" t="s">
        <v>4096</v>
      </c>
      <c r="J456" s="41" t="s">
        <v>4981</v>
      </c>
      <c r="K456" s="41" t="s">
        <v>4982</v>
      </c>
      <c r="L456" s="41">
        <v>980</v>
      </c>
      <c r="M456" s="41" t="s">
        <v>83</v>
      </c>
      <c r="N456" s="41" t="str">
        <f>VLOOKUP(M:M,Unit!B:C,2,0)</f>
        <v>g</v>
      </c>
      <c r="O456" s="41" t="s">
        <v>67</v>
      </c>
      <c r="P456" s="41">
        <v>12</v>
      </c>
      <c r="Q456" s="41" t="s">
        <v>2153</v>
      </c>
      <c r="R456" s="41" t="str">
        <f>VLOOKUP(Q:Q,Unit!B:D,2,0)</f>
        <v>unit</v>
      </c>
      <c r="S456" s="41" t="s">
        <v>75</v>
      </c>
      <c r="T456" s="41" t="str">
        <f>VLOOKUP(S:S,Promo!B:D,2,0)</f>
        <v>Promo EN</v>
      </c>
      <c r="X456" s="41">
        <v>3390</v>
      </c>
      <c r="AB456" s="41" t="s">
        <v>2062</v>
      </c>
      <c r="AG456" s="41" t="s">
        <v>71</v>
      </c>
      <c r="AH456" s="41" t="s">
        <v>71</v>
      </c>
      <c r="AI456" s="41" t="s">
        <v>71</v>
      </c>
      <c r="AJ456" s="41" t="s">
        <v>71</v>
      </c>
      <c r="AK456" s="41" t="s">
        <v>71</v>
      </c>
      <c r="AL456" s="41" t="s">
        <v>71</v>
      </c>
      <c r="BS456" s="41" t="s">
        <v>2058</v>
      </c>
      <c r="BT456" s="41" t="s">
        <v>72</v>
      </c>
      <c r="BW456" s="41" t="s">
        <v>72</v>
      </c>
      <c r="BX456" s="41">
        <f>VLOOKUP(B:B,Brand!B:D,3,0)</f>
        <v>1179</v>
      </c>
      <c r="BY456" s="41">
        <f>VLOOKUP(M:M,Unit!B:D,3,0)</f>
        <v>1</v>
      </c>
      <c r="BZ456" s="41">
        <f>VLOOKUP(S:S,Promo!B:D,3,0)</f>
        <v>0</v>
      </c>
    </row>
    <row r="457" spans="1:78" s="41" customFormat="1" ht="15.75" customHeight="1">
      <c r="A457" s="41">
        <v>807876</v>
      </c>
      <c r="B457" s="41" t="s">
        <v>2818</v>
      </c>
      <c r="C457" s="65" t="str">
        <f>VLOOKUP(B:B,Brand!B:C,2,0)</f>
        <v>Horeca</v>
      </c>
      <c r="H457" s="41" t="s">
        <v>4095</v>
      </c>
      <c r="I457" s="41" t="s">
        <v>4096</v>
      </c>
      <c r="J457" s="41" t="s">
        <v>4983</v>
      </c>
      <c r="K457" s="41" t="s">
        <v>4984</v>
      </c>
      <c r="L457" s="41">
        <v>980</v>
      </c>
      <c r="M457" s="41" t="s">
        <v>83</v>
      </c>
      <c r="N457" s="41" t="str">
        <f>VLOOKUP(M:M,Unit!B:C,2,0)</f>
        <v>g</v>
      </c>
      <c r="O457" s="41" t="s">
        <v>67</v>
      </c>
      <c r="P457" s="41">
        <v>1</v>
      </c>
      <c r="Q457" s="41" t="s">
        <v>2153</v>
      </c>
      <c r="R457" s="41" t="str">
        <f>VLOOKUP(Q:Q,Unit!B:D,2,0)</f>
        <v>unit</v>
      </c>
      <c r="S457" s="41" t="s">
        <v>75</v>
      </c>
      <c r="T457" s="41" t="str">
        <f>VLOOKUP(S:S,Promo!B:D,2,0)</f>
        <v>Promo EN</v>
      </c>
      <c r="W457" s="41">
        <v>299</v>
      </c>
      <c r="X457" s="41">
        <v>285</v>
      </c>
      <c r="AB457" s="41" t="s">
        <v>2062</v>
      </c>
      <c r="AG457" s="41" t="s">
        <v>71</v>
      </c>
      <c r="AH457" s="41" t="s">
        <v>71</v>
      </c>
      <c r="AI457" s="41" t="s">
        <v>71</v>
      </c>
      <c r="AJ457" s="41" t="s">
        <v>71</v>
      </c>
      <c r="AK457" s="41" t="s">
        <v>71</v>
      </c>
      <c r="AL457" s="41" t="s">
        <v>71</v>
      </c>
      <c r="BS457" s="41" t="s">
        <v>2058</v>
      </c>
      <c r="BT457" s="41" t="s">
        <v>72</v>
      </c>
      <c r="BW457" s="41" t="s">
        <v>72</v>
      </c>
      <c r="BX457" s="41">
        <f>VLOOKUP(B:B,Brand!B:D,3,0)</f>
        <v>1179</v>
      </c>
      <c r="BY457" s="41">
        <f>VLOOKUP(M:M,Unit!B:D,3,0)</f>
        <v>1</v>
      </c>
      <c r="BZ457" s="41">
        <f>VLOOKUP(S:S,Promo!B:D,3,0)</f>
        <v>0</v>
      </c>
    </row>
    <row r="458" spans="1:78" s="41" customFormat="1" ht="15.75" customHeight="1">
      <c r="A458" s="41">
        <v>231291</v>
      </c>
      <c r="H458" s="41" t="s">
        <v>4097</v>
      </c>
      <c r="I458" s="41" t="s">
        <v>4098</v>
      </c>
      <c r="J458" s="65" t="str">
        <f>TRIM(CONCATENATE(B458," ",H458," ",L458," ",M458," ",O458,P458," ",Q458))</f>
        <v>ปลาดุกหั่น 1 กก. x1 ชิ้น</v>
      </c>
      <c r="K458" s="80" t="str">
        <f>TRIM(CONCATENATE(C458," ",I458," ",L458," ",N458," ",O458,P458," ",R458))</f>
        <v>Cat Fish Portion Cut 1 kg x1 pc</v>
      </c>
      <c r="L458" s="41">
        <v>1</v>
      </c>
      <c r="M458" s="41" t="s">
        <v>79</v>
      </c>
      <c r="N458" s="41" t="str">
        <f>VLOOKUP(M:M,Unit!B:C,2,0)</f>
        <v>kg</v>
      </c>
      <c r="O458" s="41" t="s">
        <v>67</v>
      </c>
      <c r="P458" s="41">
        <v>1</v>
      </c>
      <c r="Q458" s="41" t="s">
        <v>68</v>
      </c>
      <c r="R458" s="41" t="str">
        <f>VLOOKUP(Q:Q,Unit!B:D,2,0)</f>
        <v>pc</v>
      </c>
      <c r="S458" s="41" t="s">
        <v>75</v>
      </c>
      <c r="T458" s="41" t="str">
        <f>VLOOKUP(S:S,Promo!B:D,2,0)</f>
        <v>Promo EN</v>
      </c>
      <c r="W458" s="41">
        <v>69</v>
      </c>
      <c r="X458" s="41">
        <v>65</v>
      </c>
      <c r="AB458" s="41" t="s">
        <v>2056</v>
      </c>
      <c r="AG458" s="41" t="s">
        <v>71</v>
      </c>
      <c r="AH458" s="41" t="s">
        <v>71</v>
      </c>
      <c r="AI458" s="41" t="s">
        <v>71</v>
      </c>
      <c r="AJ458" s="41" t="s">
        <v>71</v>
      </c>
      <c r="AK458" s="41" t="s">
        <v>71</v>
      </c>
      <c r="AL458" s="41" t="s">
        <v>71</v>
      </c>
      <c r="BS458" s="41" t="s">
        <v>2058</v>
      </c>
      <c r="BT458" s="41" t="s">
        <v>72</v>
      </c>
      <c r="BW458" s="41" t="s">
        <v>72</v>
      </c>
      <c r="BY458" s="41">
        <f>VLOOKUP(M:M,Unit!B:D,3,0)</f>
        <v>2</v>
      </c>
      <c r="BZ458" s="41">
        <f>VLOOKUP(S:S,Promo!B:D,3,0)</f>
        <v>0</v>
      </c>
    </row>
    <row r="459" spans="1:78" s="41" customFormat="1" ht="15.75" customHeight="1">
      <c r="A459" s="41">
        <v>226277</v>
      </c>
      <c r="B459" s="41" t="s">
        <v>97</v>
      </c>
      <c r="C459" s="65" t="str">
        <f>VLOOKUP(B:B,Brand!B:C,2,0)</f>
        <v>aro</v>
      </c>
      <c r="H459" s="41" t="s">
        <v>4099</v>
      </c>
      <c r="I459" s="41" t="s">
        <v>4100</v>
      </c>
      <c r="J459" s="41" t="s">
        <v>4985</v>
      </c>
      <c r="K459" s="41" t="s">
        <v>4986</v>
      </c>
      <c r="L459" s="41">
        <v>1</v>
      </c>
      <c r="M459" s="41" t="s">
        <v>79</v>
      </c>
      <c r="N459" s="41" t="str">
        <f>VLOOKUP(M:M,Unit!B:C,2,0)</f>
        <v>kg</v>
      </c>
      <c r="O459" s="41" t="s">
        <v>67</v>
      </c>
      <c r="P459" s="41">
        <v>1</v>
      </c>
      <c r="Q459" s="41" t="s">
        <v>68</v>
      </c>
      <c r="R459" s="41" t="str">
        <f>VLOOKUP(Q:Q,Unit!B:D,2,0)</f>
        <v>pc</v>
      </c>
      <c r="S459" s="41" t="s">
        <v>75</v>
      </c>
      <c r="T459" s="41" t="str">
        <f>VLOOKUP(S:S,Promo!B:D,2,0)</f>
        <v>Promo EN</v>
      </c>
      <c r="W459" s="41">
        <v>62</v>
      </c>
      <c r="X459" s="41">
        <v>57</v>
      </c>
      <c r="AB459" s="41" t="s">
        <v>2056</v>
      </c>
      <c r="AG459" s="41" t="s">
        <v>71</v>
      </c>
      <c r="AH459" s="41" t="s">
        <v>71</v>
      </c>
      <c r="AI459" s="41" t="s">
        <v>71</v>
      </c>
      <c r="AJ459" s="41" t="s">
        <v>71</v>
      </c>
      <c r="AK459" s="41" t="s">
        <v>71</v>
      </c>
      <c r="AL459" s="41" t="s">
        <v>71</v>
      </c>
      <c r="BS459" s="41" t="s">
        <v>72</v>
      </c>
      <c r="BT459" s="41" t="s">
        <v>72</v>
      </c>
      <c r="BW459" s="41" t="s">
        <v>72</v>
      </c>
      <c r="BX459" s="41">
        <f>VLOOKUP(B:B,Brand!B:D,3,0)</f>
        <v>692</v>
      </c>
      <c r="BY459" s="41">
        <f>VLOOKUP(M:M,Unit!B:D,3,0)</f>
        <v>2</v>
      </c>
      <c r="BZ459" s="41">
        <f>VLOOKUP(S:S,Promo!B:D,3,0)</f>
        <v>0</v>
      </c>
    </row>
    <row r="460" spans="1:78" s="41" customFormat="1" ht="15.75" customHeight="1">
      <c r="A460" s="41">
        <v>226278</v>
      </c>
      <c r="B460" s="41" t="s">
        <v>97</v>
      </c>
      <c r="C460" s="65" t="str">
        <f>VLOOKUP(B:B,Brand!B:C,2,0)</f>
        <v>aro</v>
      </c>
      <c r="H460" s="41" t="s">
        <v>4101</v>
      </c>
      <c r="I460" s="41" t="s">
        <v>4102</v>
      </c>
      <c r="J460" s="41" t="s">
        <v>4987</v>
      </c>
      <c r="K460" s="41" t="s">
        <v>4988</v>
      </c>
      <c r="L460" s="41">
        <v>1</v>
      </c>
      <c r="M460" s="41" t="s">
        <v>79</v>
      </c>
      <c r="N460" s="41" t="str">
        <f>VLOOKUP(M:M,Unit!B:C,2,0)</f>
        <v>kg</v>
      </c>
      <c r="O460" s="41" t="s">
        <v>67</v>
      </c>
      <c r="P460" s="41">
        <v>12</v>
      </c>
      <c r="Q460" s="41" t="s">
        <v>68</v>
      </c>
      <c r="R460" s="41" t="str">
        <f>VLOOKUP(Q:Q,Unit!B:D,2,0)</f>
        <v>pc</v>
      </c>
      <c r="S460" s="41" t="s">
        <v>75</v>
      </c>
      <c r="T460" s="41" t="str">
        <f>VLOOKUP(S:S,Promo!B:D,2,0)</f>
        <v>Promo EN</v>
      </c>
      <c r="X460" s="41">
        <v>672</v>
      </c>
      <c r="AB460" s="41" t="s">
        <v>2056</v>
      </c>
      <c r="AG460" s="41" t="s">
        <v>71</v>
      </c>
      <c r="AH460" s="41" t="s">
        <v>71</v>
      </c>
      <c r="AI460" s="41" t="s">
        <v>71</v>
      </c>
      <c r="AJ460" s="41" t="s">
        <v>71</v>
      </c>
      <c r="AK460" s="41" t="s">
        <v>71</v>
      </c>
      <c r="AL460" s="41" t="s">
        <v>71</v>
      </c>
      <c r="BS460" s="41" t="s">
        <v>72</v>
      </c>
      <c r="BT460" s="41" t="s">
        <v>72</v>
      </c>
      <c r="BW460" s="41" t="s">
        <v>72</v>
      </c>
      <c r="BX460" s="41">
        <f>VLOOKUP(B:B,Brand!B:D,3,0)</f>
        <v>692</v>
      </c>
      <c r="BY460" s="41">
        <f>VLOOKUP(M:M,Unit!B:D,3,0)</f>
        <v>2</v>
      </c>
      <c r="BZ460" s="41">
        <f>VLOOKUP(S:S,Promo!B:D,3,0)</f>
        <v>0</v>
      </c>
    </row>
    <row r="461" spans="1:78" s="41" customFormat="1" ht="15.75" customHeight="1">
      <c r="A461" s="41">
        <v>153958</v>
      </c>
      <c r="H461" s="41" t="s">
        <v>4103</v>
      </c>
      <c r="I461" s="41" t="s">
        <v>4104</v>
      </c>
      <c r="J461" s="65" t="str">
        <f>TRIM(CONCATENATE(B461," ",H461," ",L461," ",M461," ",O461,P461," ",Q461))</f>
        <v>ขนมปัง 220 กรัม x1 ชิ้น</v>
      </c>
      <c r="K461" s="80" t="str">
        <f>TRIM(CONCATENATE(C461," ",I461," ",L461," ",N461," ",O461,P461," ",R461))</f>
        <v>bread 220 g x1 pc</v>
      </c>
      <c r="L461" s="41">
        <v>220</v>
      </c>
      <c r="M461" s="41" t="s">
        <v>83</v>
      </c>
      <c r="N461" s="41" t="str">
        <f>VLOOKUP(M:M,Unit!B:C,2,0)</f>
        <v>g</v>
      </c>
      <c r="O461" s="41" t="s">
        <v>67</v>
      </c>
      <c r="P461" s="41">
        <v>1</v>
      </c>
      <c r="Q461" s="41" t="s">
        <v>68</v>
      </c>
      <c r="R461" s="41" t="str">
        <f>VLOOKUP(Q:Q,Unit!B:D,2,0)</f>
        <v>pc</v>
      </c>
      <c r="S461" s="41" t="s">
        <v>75</v>
      </c>
      <c r="T461" s="41" t="str">
        <f>VLOOKUP(S:S,Promo!B:D,2,0)</f>
        <v>Promo EN</v>
      </c>
      <c r="W461" s="41">
        <v>31</v>
      </c>
      <c r="X461" s="41">
        <v>27</v>
      </c>
      <c r="AB461" s="41" t="s">
        <v>2056</v>
      </c>
      <c r="AF461" s="41" t="s">
        <v>3373</v>
      </c>
      <c r="AG461" s="41" t="s">
        <v>71</v>
      </c>
      <c r="AH461" s="41" t="s">
        <v>71</v>
      </c>
      <c r="AI461" s="41" t="s">
        <v>71</v>
      </c>
      <c r="AJ461" s="41" t="s">
        <v>71</v>
      </c>
      <c r="AK461" s="41" t="s">
        <v>71</v>
      </c>
      <c r="AL461" s="41" t="s">
        <v>71</v>
      </c>
      <c r="BS461" s="41" t="s">
        <v>2058</v>
      </c>
      <c r="BT461" s="41" t="s">
        <v>72</v>
      </c>
      <c r="BW461" s="41" t="s">
        <v>72</v>
      </c>
      <c r="BY461" s="41">
        <f>VLOOKUP(M:M,Unit!B:D,3,0)</f>
        <v>1</v>
      </c>
      <c r="BZ461" s="41">
        <f>VLOOKUP(S:S,Promo!B:D,3,0)</f>
        <v>0</v>
      </c>
    </row>
    <row r="462" spans="1:78" s="41" customFormat="1" ht="15.75" customHeight="1">
      <c r="A462" s="41">
        <v>117819</v>
      </c>
      <c r="B462" s="41" t="s">
        <v>97</v>
      </c>
      <c r="C462" s="65" t="str">
        <f>VLOOKUP(B:B,Brand!B:C,2,0)</f>
        <v>aro</v>
      </c>
      <c r="H462" s="41" t="s">
        <v>2235</v>
      </c>
      <c r="I462" s="41" t="s">
        <v>2236</v>
      </c>
      <c r="J462" s="41" t="s">
        <v>4989</v>
      </c>
      <c r="K462" s="41" t="s">
        <v>4990</v>
      </c>
      <c r="L462" s="41">
        <v>15</v>
      </c>
      <c r="M462" s="41" t="s">
        <v>83</v>
      </c>
      <c r="N462" s="41" t="str">
        <f>VLOOKUP(M:M,Unit!B:C,2,0)</f>
        <v>g</v>
      </c>
      <c r="O462" s="41" t="s">
        <v>67</v>
      </c>
      <c r="P462" s="41">
        <v>10</v>
      </c>
      <c r="Q462" s="41" t="s">
        <v>179</v>
      </c>
      <c r="R462" s="41" t="str">
        <f>VLOOKUP(Q:Q,Unit!B:D,2,0)</f>
        <v>pack</v>
      </c>
      <c r="S462" s="41" t="s">
        <v>75</v>
      </c>
      <c r="T462" s="41" t="str">
        <f>VLOOKUP(S:S,Promo!B:D,2,0)</f>
        <v>Promo EN</v>
      </c>
      <c r="W462" s="41">
        <v>60</v>
      </c>
      <c r="X462" s="41">
        <v>55</v>
      </c>
      <c r="AB462" s="41" t="s">
        <v>2056</v>
      </c>
      <c r="AG462" s="41" t="s">
        <v>71</v>
      </c>
      <c r="AH462" s="41" t="s">
        <v>71</v>
      </c>
      <c r="AI462" s="41" t="s">
        <v>71</v>
      </c>
      <c r="AJ462" s="41" t="s">
        <v>71</v>
      </c>
      <c r="AK462" s="41" t="s">
        <v>71</v>
      </c>
      <c r="AL462" s="41" t="s">
        <v>71</v>
      </c>
      <c r="BS462" s="41" t="s">
        <v>2058</v>
      </c>
      <c r="BT462" s="41" t="s">
        <v>72</v>
      </c>
      <c r="BW462" s="41" t="s">
        <v>72</v>
      </c>
      <c r="BX462" s="41">
        <f>VLOOKUP(B:B,Brand!B:D,3,0)</f>
        <v>692</v>
      </c>
      <c r="BY462" s="41">
        <f>VLOOKUP(M:M,Unit!B:D,3,0)</f>
        <v>1</v>
      </c>
      <c r="BZ462" s="41">
        <f>VLOOKUP(S:S,Promo!B:D,3,0)</f>
        <v>0</v>
      </c>
    </row>
    <row r="463" spans="1:78" s="41" customFormat="1" ht="15.75" customHeight="1">
      <c r="A463" s="41">
        <v>158284</v>
      </c>
      <c r="B463" s="41" t="s">
        <v>867</v>
      </c>
      <c r="C463" s="65" t="str">
        <f>VLOOKUP(B:B,Brand!B:C,2,0)</f>
        <v>P&amp;P</v>
      </c>
      <c r="H463" s="41" t="s">
        <v>2196</v>
      </c>
      <c r="I463" s="41" t="s">
        <v>2234</v>
      </c>
      <c r="J463" s="41" t="s">
        <v>4991</v>
      </c>
      <c r="K463" s="41" t="s">
        <v>4992</v>
      </c>
      <c r="L463" s="41">
        <v>1</v>
      </c>
      <c r="M463" s="41" t="s">
        <v>79</v>
      </c>
      <c r="N463" s="41" t="str">
        <f>VLOOKUP(M:M,Unit!B:C,2,0)</f>
        <v>kg</v>
      </c>
      <c r="O463" s="41" t="s">
        <v>67</v>
      </c>
      <c r="P463" s="41">
        <v>1</v>
      </c>
      <c r="Q463" s="41" t="s">
        <v>68</v>
      </c>
      <c r="R463" s="41" t="str">
        <f>VLOOKUP(Q:Q,Unit!B:D,2,0)</f>
        <v>pc</v>
      </c>
      <c r="S463" s="41" t="s">
        <v>75</v>
      </c>
      <c r="T463" s="41" t="str">
        <f>VLOOKUP(S:S,Promo!B:D,2,0)</f>
        <v>Promo EN</v>
      </c>
      <c r="W463" s="41">
        <v>189</v>
      </c>
      <c r="X463" s="41">
        <v>179</v>
      </c>
      <c r="AB463" s="41" t="s">
        <v>2056</v>
      </c>
      <c r="AG463" s="41" t="s">
        <v>71</v>
      </c>
      <c r="AH463" s="41" t="s">
        <v>71</v>
      </c>
      <c r="AI463" s="41" t="s">
        <v>71</v>
      </c>
      <c r="AJ463" s="41" t="s">
        <v>71</v>
      </c>
      <c r="AK463" s="41" t="s">
        <v>71</v>
      </c>
      <c r="AL463" s="41" t="s">
        <v>71</v>
      </c>
      <c r="BS463" s="41" t="s">
        <v>2058</v>
      </c>
      <c r="BT463" s="41" t="s">
        <v>72</v>
      </c>
      <c r="BW463" s="41" t="s">
        <v>72</v>
      </c>
      <c r="BX463" s="41">
        <f>VLOOKUP(B:B,Brand!B:D,3,0)</f>
        <v>435</v>
      </c>
      <c r="BY463" s="41">
        <f>VLOOKUP(M:M,Unit!B:D,3,0)</f>
        <v>2</v>
      </c>
      <c r="BZ463" s="41">
        <f>VLOOKUP(S:S,Promo!B:D,3,0)</f>
        <v>0</v>
      </c>
    </row>
    <row r="464" spans="1:78" s="41" customFormat="1" ht="15.75" customHeight="1">
      <c r="A464" s="41">
        <v>158283</v>
      </c>
      <c r="B464" s="41" t="s">
        <v>867</v>
      </c>
      <c r="C464" s="65" t="str">
        <f>VLOOKUP(B:B,Brand!B:C,2,0)</f>
        <v>P&amp;P</v>
      </c>
      <c r="H464" s="41" t="s">
        <v>2196</v>
      </c>
      <c r="I464" s="41" t="s">
        <v>2234</v>
      </c>
      <c r="J464" s="41" t="s">
        <v>4993</v>
      </c>
      <c r="K464" s="41" t="s">
        <v>4994</v>
      </c>
      <c r="L464" s="41">
        <v>1</v>
      </c>
      <c r="M464" s="41" t="s">
        <v>79</v>
      </c>
      <c r="N464" s="41" t="str">
        <f>VLOOKUP(M:M,Unit!B:C,2,0)</f>
        <v>kg</v>
      </c>
      <c r="O464" s="41" t="s">
        <v>67</v>
      </c>
      <c r="P464" s="41">
        <v>10</v>
      </c>
      <c r="Q464" s="41" t="s">
        <v>179</v>
      </c>
      <c r="R464" s="41" t="str">
        <f>VLOOKUP(Q:Q,Unit!B:D,2,0)</f>
        <v>pack</v>
      </c>
      <c r="S464" s="41" t="s">
        <v>75</v>
      </c>
      <c r="T464" s="41" t="str">
        <f>VLOOKUP(S:S,Promo!B:D,2,0)</f>
        <v>Promo EN</v>
      </c>
      <c r="X464" s="41">
        <v>1700</v>
      </c>
      <c r="AB464" s="41" t="s">
        <v>2056</v>
      </c>
      <c r="AG464" s="41" t="s">
        <v>71</v>
      </c>
      <c r="AH464" s="41" t="s">
        <v>71</v>
      </c>
      <c r="AI464" s="41" t="s">
        <v>71</v>
      </c>
      <c r="AJ464" s="41" t="s">
        <v>71</v>
      </c>
      <c r="AK464" s="41" t="s">
        <v>71</v>
      </c>
      <c r="AL464" s="41" t="s">
        <v>71</v>
      </c>
      <c r="BS464" s="41" t="s">
        <v>2058</v>
      </c>
      <c r="BT464" s="41" t="s">
        <v>72</v>
      </c>
      <c r="BW464" s="41" t="s">
        <v>72</v>
      </c>
      <c r="BX464" s="41">
        <f>VLOOKUP(B:B,Brand!B:D,3,0)</f>
        <v>435</v>
      </c>
      <c r="BY464" s="41">
        <f>VLOOKUP(M:M,Unit!B:D,3,0)</f>
        <v>2</v>
      </c>
      <c r="BZ464" s="41">
        <f>VLOOKUP(S:S,Promo!B:D,3,0)</f>
        <v>0</v>
      </c>
    </row>
    <row r="465" spans="1:78" s="41" customFormat="1" ht="15.75" customHeight="1">
      <c r="A465" s="41">
        <v>135025</v>
      </c>
      <c r="H465" s="41" t="s">
        <v>2257</v>
      </c>
      <c r="I465" s="41" t="s">
        <v>2258</v>
      </c>
      <c r="J465" s="65" t="str">
        <f t="shared" ref="J465:J470" si="4">TRIM(CONCATENATE(B465," ",H465," ",L465," ",M465," ",O465,P465," ",Q465))</f>
        <v>เนื้อปลาหมึกยักษ์ลอกหนัง แช่แข็ง 1 กก. x1 ชิ้น</v>
      </c>
      <c r="K465" s="80" t="str">
        <f t="shared" ref="K465:K470" si="5">TRIM(CONCATENATE(C465," ",I465," ",L465," ",N465," ",O465,P465," ",R465))</f>
        <v>Frozen Giant Squid fillet Skin Off 1 kg x1 pc</v>
      </c>
      <c r="L465" s="41">
        <v>1</v>
      </c>
      <c r="M465" s="41" t="s">
        <v>79</v>
      </c>
      <c r="N465" s="41" t="str">
        <f>VLOOKUP(M:M,Unit!B:C,2,0)</f>
        <v>kg</v>
      </c>
      <c r="O465" s="41" t="s">
        <v>67</v>
      </c>
      <c r="P465" s="41">
        <v>1</v>
      </c>
      <c r="Q465" s="41" t="s">
        <v>68</v>
      </c>
      <c r="R465" s="41" t="str">
        <f>VLOOKUP(Q:Q,Unit!B:D,2,0)</f>
        <v>pc</v>
      </c>
      <c r="S465" s="41" t="s">
        <v>75</v>
      </c>
      <c r="T465" s="41" t="str">
        <f>VLOOKUP(S:S,Promo!B:D,2,0)</f>
        <v>Promo EN</v>
      </c>
      <c r="X465" s="41">
        <v>73</v>
      </c>
      <c r="AB465" s="41" t="s">
        <v>2056</v>
      </c>
      <c r="AG465" s="41" t="s">
        <v>71</v>
      </c>
      <c r="AH465" s="41" t="s">
        <v>71</v>
      </c>
      <c r="AI465" s="41" t="s">
        <v>71</v>
      </c>
      <c r="AJ465" s="41" t="s">
        <v>71</v>
      </c>
      <c r="AK465" s="41" t="s">
        <v>71</v>
      </c>
      <c r="AL465" s="41" t="s">
        <v>71</v>
      </c>
      <c r="BS465" s="41" t="s">
        <v>72</v>
      </c>
      <c r="BT465" s="41" t="s">
        <v>72</v>
      </c>
      <c r="BW465" s="41" t="s">
        <v>72</v>
      </c>
      <c r="BY465" s="41">
        <f>VLOOKUP(M:M,Unit!B:D,3,0)</f>
        <v>2</v>
      </c>
      <c r="BZ465" s="41">
        <f>VLOOKUP(S:S,Promo!B:D,3,0)</f>
        <v>0</v>
      </c>
    </row>
    <row r="466" spans="1:78" s="41" customFormat="1" ht="15.75" customHeight="1">
      <c r="A466" s="41">
        <v>135026</v>
      </c>
      <c r="H466" s="41" t="s">
        <v>2304</v>
      </c>
      <c r="I466" s="41" t="s">
        <v>2305</v>
      </c>
      <c r="J466" s="65" t="str">
        <f t="shared" si="4"/>
        <v>เนื้อปลาหมึกยักษ์ลอกแช่แข็งยกลัง 1 กก. x1 ชิ้น</v>
      </c>
      <c r="K466" s="80" t="str">
        <f t="shared" si="5"/>
        <v>Squid meat 1 kg x1 pc</v>
      </c>
      <c r="L466" s="41">
        <v>1</v>
      </c>
      <c r="M466" s="41" t="s">
        <v>79</v>
      </c>
      <c r="N466" s="41" t="str">
        <f>VLOOKUP(M:M,Unit!B:C,2,0)</f>
        <v>kg</v>
      </c>
      <c r="O466" s="41" t="s">
        <v>67</v>
      </c>
      <c r="P466" s="41">
        <v>1</v>
      </c>
      <c r="Q466" s="41" t="s">
        <v>68</v>
      </c>
      <c r="R466" s="41" t="str">
        <f>VLOOKUP(Q:Q,Unit!B:D,2,0)</f>
        <v>pc</v>
      </c>
      <c r="S466" s="41" t="s">
        <v>75</v>
      </c>
      <c r="T466" s="41" t="str">
        <f>VLOOKUP(S:S,Promo!B:D,2,0)</f>
        <v>Promo EN</v>
      </c>
      <c r="X466" s="41">
        <v>72</v>
      </c>
      <c r="AB466" s="41" t="s">
        <v>2054</v>
      </c>
      <c r="AG466" s="41" t="s">
        <v>71</v>
      </c>
      <c r="AH466" s="41" t="s">
        <v>71</v>
      </c>
      <c r="AI466" s="41" t="s">
        <v>71</v>
      </c>
      <c r="AJ466" s="41" t="s">
        <v>71</v>
      </c>
      <c r="AK466" s="41" t="s">
        <v>71</v>
      </c>
      <c r="AL466" s="41" t="s">
        <v>71</v>
      </c>
      <c r="BS466" s="41" t="s">
        <v>72</v>
      </c>
      <c r="BT466" s="41" t="s">
        <v>72</v>
      </c>
      <c r="BW466" s="41" t="s">
        <v>72</v>
      </c>
      <c r="BY466" s="41">
        <f>VLOOKUP(M:M,Unit!B:D,3,0)</f>
        <v>2</v>
      </c>
      <c r="BZ466" s="41">
        <f>VLOOKUP(S:S,Promo!B:D,3,0)</f>
        <v>0</v>
      </c>
    </row>
    <row r="467" spans="1:78" s="41" customFormat="1" ht="15.75" customHeight="1">
      <c r="A467" s="41">
        <v>800378</v>
      </c>
      <c r="H467" s="41" t="s">
        <v>4114</v>
      </c>
      <c r="I467" s="41" t="s">
        <v>4113</v>
      </c>
      <c r="J467" s="65" t="str">
        <f t="shared" si="4"/>
        <v>แป้งนมหมู แช่แข็ง 1 กก. x1 ชิ้น</v>
      </c>
      <c r="K467" s="80" t="str">
        <f t="shared" si="5"/>
        <v>FROZEN SOW UDDERS 1 kg x1 pc</v>
      </c>
      <c r="L467" s="41">
        <v>1</v>
      </c>
      <c r="M467" s="41" t="s">
        <v>79</v>
      </c>
      <c r="N467" s="41" t="str">
        <f>VLOOKUP(M:M,Unit!B:C,2,0)</f>
        <v>kg</v>
      </c>
      <c r="O467" s="41" t="s">
        <v>67</v>
      </c>
      <c r="P467" s="41">
        <v>1</v>
      </c>
      <c r="Q467" s="41" t="s">
        <v>68</v>
      </c>
      <c r="R467" s="41" t="str">
        <f>VLOOKUP(Q:Q,Unit!B:D,2,0)</f>
        <v>pc</v>
      </c>
      <c r="S467" s="41" t="s">
        <v>75</v>
      </c>
      <c r="T467" s="41" t="str">
        <f>VLOOKUP(S:S,Promo!B:D,2,0)</f>
        <v>Promo EN</v>
      </c>
      <c r="X467" s="41">
        <v>155</v>
      </c>
      <c r="AB467" s="41" t="s">
        <v>2062</v>
      </c>
      <c r="AG467" s="41" t="s">
        <v>71</v>
      </c>
      <c r="AH467" s="41" t="s">
        <v>71</v>
      </c>
      <c r="AI467" s="41" t="s">
        <v>71</v>
      </c>
      <c r="AJ467" s="41" t="s">
        <v>71</v>
      </c>
      <c r="AK467" s="41" t="s">
        <v>71</v>
      </c>
      <c r="AL467" s="41" t="s">
        <v>71</v>
      </c>
      <c r="BS467" s="41" t="s">
        <v>72</v>
      </c>
      <c r="BT467" s="41" t="s">
        <v>72</v>
      </c>
      <c r="BW467" s="41" t="s">
        <v>72</v>
      </c>
      <c r="BY467" s="41">
        <f>VLOOKUP(M:M,Unit!B:D,3,0)</f>
        <v>2</v>
      </c>
      <c r="BZ467" s="41">
        <f>VLOOKUP(S:S,Promo!B:D,3,0)</f>
        <v>0</v>
      </c>
    </row>
    <row r="468" spans="1:78" s="41" customFormat="1" ht="15.75" customHeight="1">
      <c r="A468" s="41">
        <v>237450</v>
      </c>
      <c r="H468" s="41" t="s">
        <v>4115</v>
      </c>
      <c r="I468" s="41" t="s">
        <v>4116</v>
      </c>
      <c r="J468" s="65" t="str">
        <f t="shared" si="4"/>
        <v>แมงกะพรุน (จืด) 1 กก. x1 ถุง</v>
      </c>
      <c r="K468" s="80" t="str">
        <f t="shared" si="5"/>
        <v>JELLY FISH 1 kg x1 unit</v>
      </c>
      <c r="L468" s="41">
        <v>1</v>
      </c>
      <c r="M468" s="41" t="s">
        <v>79</v>
      </c>
      <c r="N468" s="41" t="str">
        <f>VLOOKUP(M:M,Unit!B:C,2,0)</f>
        <v>kg</v>
      </c>
      <c r="O468" s="41" t="s">
        <v>67</v>
      </c>
      <c r="P468" s="41">
        <v>1</v>
      </c>
      <c r="Q468" s="41" t="s">
        <v>2153</v>
      </c>
      <c r="R468" s="41" t="str">
        <f>VLOOKUP(Q:Q,Unit!B:D,2,0)</f>
        <v>unit</v>
      </c>
      <c r="S468" s="41" t="s">
        <v>75</v>
      </c>
      <c r="T468" s="41" t="str">
        <f>VLOOKUP(S:S,Promo!B:D,2,0)</f>
        <v>Promo EN</v>
      </c>
      <c r="X468" s="41">
        <v>89</v>
      </c>
      <c r="AB468" s="41" t="s">
        <v>2062</v>
      </c>
      <c r="AG468" s="41" t="s">
        <v>71</v>
      </c>
      <c r="AH468" s="41" t="s">
        <v>71</v>
      </c>
      <c r="AI468" s="41" t="s">
        <v>71</v>
      </c>
      <c r="AJ468" s="41" t="s">
        <v>71</v>
      </c>
      <c r="AK468" s="41" t="s">
        <v>71</v>
      </c>
      <c r="AL468" s="41" t="s">
        <v>71</v>
      </c>
      <c r="AU468" s="41" t="s">
        <v>4117</v>
      </c>
      <c r="AV468" s="41" t="s">
        <v>2156</v>
      </c>
      <c r="BS468" s="41" t="s">
        <v>2058</v>
      </c>
      <c r="BT468" s="41" t="s">
        <v>72</v>
      </c>
      <c r="BW468" s="41" t="s">
        <v>72</v>
      </c>
      <c r="BY468" s="41">
        <f>VLOOKUP(M:M,Unit!B:D,3,0)</f>
        <v>2</v>
      </c>
      <c r="BZ468" s="41">
        <f>VLOOKUP(S:S,Promo!B:D,3,0)</f>
        <v>0</v>
      </c>
    </row>
    <row r="469" spans="1:78" s="41" customFormat="1" ht="15.75" customHeight="1">
      <c r="A469" s="41">
        <v>770276</v>
      </c>
      <c r="H469" s="41" t="s">
        <v>4118</v>
      </c>
      <c r="I469" s="41" t="s">
        <v>4119</v>
      </c>
      <c r="J469" s="65" t="str">
        <f t="shared" si="4"/>
        <v>ปลาแซลมอน แอตแลนติก (ชิลี) แช่แข็ง 4,5 กก. x1 ตัว</v>
      </c>
      <c r="K469" s="80" t="str">
        <f t="shared" si="5"/>
        <v>ATLANTIC SALMON CHILE 4,5 kg x1 pc</v>
      </c>
      <c r="L469" s="41" t="s">
        <v>4120</v>
      </c>
      <c r="M469" s="41" t="s">
        <v>79</v>
      </c>
      <c r="N469" s="41" t="str">
        <f>VLOOKUP(M:M,Unit!B:C,2,0)</f>
        <v>kg</v>
      </c>
      <c r="O469" s="41" t="s">
        <v>67</v>
      </c>
      <c r="P469" s="41">
        <v>1</v>
      </c>
      <c r="Q469" s="41" t="s">
        <v>198</v>
      </c>
      <c r="R469" s="41" t="str">
        <f>VLOOKUP(Q:Q,Unit!B:D,2,0)</f>
        <v>pc</v>
      </c>
      <c r="S469" s="41" t="s">
        <v>75</v>
      </c>
      <c r="T469" s="41" t="str">
        <f>VLOOKUP(S:S,Promo!B:D,2,0)</f>
        <v>Promo EN</v>
      </c>
      <c r="X469" s="41">
        <v>310</v>
      </c>
      <c r="AB469" s="41" t="s">
        <v>2062</v>
      </c>
      <c r="AG469" s="41" t="s">
        <v>71</v>
      </c>
      <c r="AH469" s="41" t="s">
        <v>71</v>
      </c>
      <c r="AI469" s="41" t="s">
        <v>71</v>
      </c>
      <c r="AJ469" s="41" t="s">
        <v>71</v>
      </c>
      <c r="AK469" s="41" t="s">
        <v>71</v>
      </c>
      <c r="AL469" s="41" t="s">
        <v>71</v>
      </c>
      <c r="BS469" s="41" t="s">
        <v>72</v>
      </c>
      <c r="BT469" s="41" t="s">
        <v>72</v>
      </c>
      <c r="BW469" s="41" t="s">
        <v>72</v>
      </c>
      <c r="BY469" s="41">
        <f>VLOOKUP(M:M,Unit!B:D,3,0)</f>
        <v>2</v>
      </c>
      <c r="BZ469" s="41">
        <f>VLOOKUP(S:S,Promo!B:D,3,0)</f>
        <v>0</v>
      </c>
    </row>
    <row r="470" spans="1:78" s="41" customFormat="1" ht="15.75" customHeight="1">
      <c r="A470" s="41">
        <v>628537</v>
      </c>
      <c r="H470" s="41" t="s">
        <v>4122</v>
      </c>
      <c r="I470" s="41" t="s">
        <v>4121</v>
      </c>
      <c r="J470" s="65" t="str">
        <f t="shared" si="4"/>
        <v>ปลาแซลมอน แอตแลนติก (ชิลี) แช่แข็ง (ยกลัง) 4,5 กก. x1 ตัว</v>
      </c>
      <c r="K470" s="80" t="str">
        <f t="shared" si="5"/>
        <v>ATLANTIC SALMON CHILE 4-5 CTN 4,5 kg x1 pc</v>
      </c>
      <c r="L470" s="41" t="s">
        <v>4120</v>
      </c>
      <c r="M470" s="41" t="s">
        <v>79</v>
      </c>
      <c r="N470" s="41" t="str">
        <f>VLOOKUP(M:M,Unit!B:C,2,0)</f>
        <v>kg</v>
      </c>
      <c r="O470" s="41" t="s">
        <v>67</v>
      </c>
      <c r="P470" s="41">
        <v>1</v>
      </c>
      <c r="Q470" s="41" t="s">
        <v>198</v>
      </c>
      <c r="R470" s="41" t="str">
        <f>VLOOKUP(Q:Q,Unit!B:D,2,0)</f>
        <v>pc</v>
      </c>
      <c r="S470" s="41" t="s">
        <v>75</v>
      </c>
      <c r="T470" s="41" t="str">
        <f>VLOOKUP(S:S,Promo!B:D,2,0)</f>
        <v>Promo EN</v>
      </c>
      <c r="X470" s="41">
        <v>305</v>
      </c>
      <c r="AB470" s="41" t="s">
        <v>2062</v>
      </c>
      <c r="AG470" s="41" t="s">
        <v>71</v>
      </c>
      <c r="AH470" s="41" t="s">
        <v>71</v>
      </c>
      <c r="AI470" s="41" t="s">
        <v>71</v>
      </c>
      <c r="AJ470" s="41" t="s">
        <v>71</v>
      </c>
      <c r="AK470" s="41" t="s">
        <v>71</v>
      </c>
      <c r="AL470" s="41" t="s">
        <v>71</v>
      </c>
      <c r="BS470" s="41" t="s">
        <v>72</v>
      </c>
      <c r="BT470" s="41" t="s">
        <v>72</v>
      </c>
      <c r="BW470" s="41" t="s">
        <v>72</v>
      </c>
      <c r="BY470" s="41">
        <f>VLOOKUP(M:M,Unit!B:D,3,0)</f>
        <v>2</v>
      </c>
      <c r="BZ470" s="41">
        <f>VLOOKUP(S:S,Promo!B:D,3,0)</f>
        <v>0</v>
      </c>
    </row>
    <row r="471" spans="1:78" s="41" customFormat="1" ht="15.75" customHeight="1">
      <c r="A471" s="41">
        <v>130754</v>
      </c>
      <c r="B471" s="41" t="s">
        <v>97</v>
      </c>
      <c r="C471" s="65" t="str">
        <f>VLOOKUP(B:B,Brand!B:C,2,0)</f>
        <v>aro</v>
      </c>
      <c r="H471" s="41" t="s">
        <v>4180</v>
      </c>
      <c r="I471" s="41" t="s">
        <v>4181</v>
      </c>
      <c r="J471" s="41" t="s">
        <v>5007</v>
      </c>
      <c r="K471" s="41" t="s">
        <v>5008</v>
      </c>
      <c r="L471" s="41">
        <v>1</v>
      </c>
      <c r="M471" s="41" t="s">
        <v>79</v>
      </c>
      <c r="N471" s="41" t="str">
        <f>VLOOKUP(M:M,Unit!B:C,2,0)</f>
        <v>kg</v>
      </c>
      <c r="O471" s="41" t="s">
        <v>67</v>
      </c>
      <c r="P471" s="41">
        <v>10</v>
      </c>
      <c r="Q471" s="41" t="s">
        <v>179</v>
      </c>
      <c r="R471" s="41" t="str">
        <f>VLOOKUP(Q:Q,Unit!B:D,2,0)</f>
        <v>pack</v>
      </c>
      <c r="S471" s="41" t="s">
        <v>75</v>
      </c>
      <c r="T471" s="41" t="str">
        <f>VLOOKUP(S:S,Promo!B:D,2,0)</f>
        <v>Promo EN</v>
      </c>
      <c r="X471" s="41">
        <v>550</v>
      </c>
      <c r="AB471" s="41" t="s">
        <v>2054</v>
      </c>
      <c r="AG471" s="41" t="s">
        <v>71</v>
      </c>
      <c r="AH471" s="41" t="s">
        <v>71</v>
      </c>
      <c r="AI471" s="41" t="s">
        <v>71</v>
      </c>
      <c r="AJ471" s="41" t="s">
        <v>71</v>
      </c>
      <c r="AK471" s="41" t="s">
        <v>71</v>
      </c>
      <c r="AL471" s="41" t="s">
        <v>71</v>
      </c>
      <c r="BS471" s="41" t="s">
        <v>72</v>
      </c>
      <c r="BT471" s="41" t="s">
        <v>72</v>
      </c>
      <c r="BW471" s="41" t="s">
        <v>72</v>
      </c>
      <c r="BX471" s="41">
        <f>VLOOKUP(B:B,Brand!B:D,3,0)</f>
        <v>692</v>
      </c>
      <c r="BY471" s="41">
        <f>VLOOKUP(M:M,Unit!B:D,3,0)</f>
        <v>2</v>
      </c>
      <c r="BZ471" s="41">
        <f>VLOOKUP(S:S,Promo!B:D,3,0)</f>
        <v>0</v>
      </c>
    </row>
    <row r="472" spans="1:78" s="41" customFormat="1" ht="15.75" customHeight="1">
      <c r="A472" s="41">
        <v>130760</v>
      </c>
      <c r="B472" s="41" t="s">
        <v>97</v>
      </c>
      <c r="C472" s="65" t="str">
        <f>VLOOKUP(B:B,Brand!B:C,2,0)</f>
        <v>aro</v>
      </c>
      <c r="H472" s="41" t="s">
        <v>4180</v>
      </c>
      <c r="I472" s="41" t="s">
        <v>4181</v>
      </c>
      <c r="J472" s="41" t="s">
        <v>5009</v>
      </c>
      <c r="K472" s="41" t="s">
        <v>5010</v>
      </c>
      <c r="L472" s="41">
        <v>1</v>
      </c>
      <c r="M472" s="41" t="s">
        <v>79</v>
      </c>
      <c r="N472" s="41" t="str">
        <f>VLOOKUP(M:M,Unit!B:C,2,0)</f>
        <v>kg</v>
      </c>
      <c r="O472" s="41" t="s">
        <v>67</v>
      </c>
      <c r="P472" s="41">
        <v>1</v>
      </c>
      <c r="Q472" s="41" t="s">
        <v>179</v>
      </c>
      <c r="R472" s="41" t="str">
        <f>VLOOKUP(Q:Q,Unit!B:D,2,0)</f>
        <v>pack</v>
      </c>
      <c r="S472" s="41" t="s">
        <v>75</v>
      </c>
      <c r="T472" s="41" t="str">
        <f>VLOOKUP(S:S,Promo!B:D,2,0)</f>
        <v>Promo EN</v>
      </c>
      <c r="W472" s="41">
        <v>85</v>
      </c>
      <c r="X472" s="41">
        <v>59</v>
      </c>
      <c r="AB472" s="41" t="s">
        <v>2054</v>
      </c>
      <c r="AG472" s="41" t="s">
        <v>71</v>
      </c>
      <c r="AH472" s="41" t="s">
        <v>71</v>
      </c>
      <c r="AI472" s="41" t="s">
        <v>71</v>
      </c>
      <c r="AJ472" s="41" t="s">
        <v>71</v>
      </c>
      <c r="AK472" s="41" t="s">
        <v>71</v>
      </c>
      <c r="AL472" s="41" t="s">
        <v>71</v>
      </c>
      <c r="BS472" s="41" t="s">
        <v>72</v>
      </c>
      <c r="BT472" s="41" t="s">
        <v>72</v>
      </c>
      <c r="BW472" s="41" t="s">
        <v>72</v>
      </c>
      <c r="BX472" s="41">
        <f>VLOOKUP(B:B,Brand!B:D,3,0)</f>
        <v>692</v>
      </c>
      <c r="BY472" s="41">
        <f>VLOOKUP(M:M,Unit!B:D,3,0)</f>
        <v>2</v>
      </c>
      <c r="BZ472" s="41">
        <f>VLOOKUP(S:S,Promo!B:D,3,0)</f>
        <v>0</v>
      </c>
    </row>
    <row r="473" spans="1:78" s="41" customFormat="1" ht="15.75" customHeight="1">
      <c r="A473" s="41">
        <v>187441</v>
      </c>
      <c r="B473" s="40" t="s">
        <v>1057</v>
      </c>
      <c r="C473" s="65" t="str">
        <f>VLOOKUP(B:B,Brand!B:C,2,0)</f>
        <v>Laurier Soft &amp; Safe Slim</v>
      </c>
      <c r="H473" s="41" t="s">
        <v>2228</v>
      </c>
      <c r="I473" s="41" t="s">
        <v>2229</v>
      </c>
      <c r="J473" s="65" t="str">
        <f>TRIM(CONCATENATE(B473," ",H473," ",L473," ",M473," ",O473,P473," ",Q473))</f>
        <v>ลอรีเอะซอฟท์แอนด์เซฟสลิม ผ้าอนามัย ซอฟท์&amp;เซฟ สลิมมีปีก 4 ชิ้น x12 แพ็ค</v>
      </c>
      <c r="K473" s="80" t="str">
        <f>TRIM(CONCATENATE(C473," ",I473," ",L473," ",N473," ",O473,P473," ",R473))</f>
        <v>Laurier Soft &amp; Safe Slim Sanitary Napkin Soft&amp;Safe Slim 4 pc x12 pack</v>
      </c>
      <c r="L473" s="41">
        <v>4</v>
      </c>
      <c r="M473" s="41" t="s">
        <v>68</v>
      </c>
      <c r="N473" s="41" t="str">
        <f>VLOOKUP(M:M,Unit!B:C,2,0)</f>
        <v>pc</v>
      </c>
      <c r="O473" s="41" t="s">
        <v>67</v>
      </c>
      <c r="P473" s="41">
        <v>12</v>
      </c>
      <c r="Q473" s="41" t="s">
        <v>179</v>
      </c>
      <c r="R473" s="41" t="str">
        <f>VLOOKUP(Q:Q,Unit!B:D,2,0)</f>
        <v>pack</v>
      </c>
      <c r="S473" s="41" t="s">
        <v>75</v>
      </c>
      <c r="T473" s="41" t="str">
        <f>VLOOKUP(S:S,Promo!B:D,2,0)</f>
        <v>Promo EN</v>
      </c>
      <c r="W473" s="41">
        <v>110</v>
      </c>
      <c r="X473" s="41">
        <v>99</v>
      </c>
      <c r="AB473" s="41" t="s">
        <v>2056</v>
      </c>
      <c r="AG473" s="41" t="s">
        <v>71</v>
      </c>
      <c r="AH473" s="41" t="s">
        <v>71</v>
      </c>
      <c r="AI473" s="41" t="s">
        <v>71</v>
      </c>
      <c r="AJ473" s="41" t="s">
        <v>71</v>
      </c>
      <c r="AK473" s="41" t="s">
        <v>71</v>
      </c>
      <c r="AL473" s="41" t="s">
        <v>71</v>
      </c>
      <c r="AP473" s="41" t="s">
        <v>2230</v>
      </c>
      <c r="AS473" s="41" t="s">
        <v>2103</v>
      </c>
      <c r="AT473" s="41" t="s">
        <v>2165</v>
      </c>
      <c r="BS473" s="41" t="s">
        <v>2058</v>
      </c>
      <c r="BT473" s="41" t="s">
        <v>72</v>
      </c>
      <c r="BW473" s="41" t="s">
        <v>72</v>
      </c>
      <c r="BX473" s="41">
        <f>VLOOKUP(B:B,Brand!B:D,3,0)</f>
        <v>565</v>
      </c>
      <c r="BY473" s="41">
        <f>VLOOKUP(M:M,Unit!B:D,3,0)</f>
        <v>3</v>
      </c>
      <c r="BZ473" s="41">
        <f>VLOOKUP(S:S,Promo!B:D,3,0)</f>
        <v>0</v>
      </c>
    </row>
    <row r="474" spans="1:78" s="41" customFormat="1" ht="15.75" customHeight="1">
      <c r="A474" s="41">
        <v>161846</v>
      </c>
      <c r="H474" s="41" t="s">
        <v>4248</v>
      </c>
      <c r="I474" s="41" t="s">
        <v>4249</v>
      </c>
      <c r="J474" s="65" t="str">
        <f>TRIM(CONCATENATE(B474," ",H474," ",L474," ",M474," ",O474,P474," ",Q474))</f>
        <v>ตับหมูแช่แข็ง 1 กก. x1 ชิ้น</v>
      </c>
      <c r="K474" s="80" t="str">
        <f>TRIM(CONCATENATE(C474," ",I474," ",L474," ",N474," ",O474,P474," ",R474))</f>
        <v>PORK LIVER 1 kg x1 pc</v>
      </c>
      <c r="L474" s="41">
        <v>1</v>
      </c>
      <c r="M474" s="41" t="s">
        <v>79</v>
      </c>
      <c r="N474" s="41" t="str">
        <f>VLOOKUP(M:M,Unit!B:C,2,0)</f>
        <v>kg</v>
      </c>
      <c r="O474" s="41" t="s">
        <v>67</v>
      </c>
      <c r="P474" s="41">
        <v>1</v>
      </c>
      <c r="Q474" s="41" t="s">
        <v>68</v>
      </c>
      <c r="R474" s="41" t="str">
        <f>VLOOKUP(Q:Q,Unit!B:D,2,0)</f>
        <v>pc</v>
      </c>
      <c r="S474" s="41" t="s">
        <v>75</v>
      </c>
      <c r="T474" s="41" t="str">
        <f>VLOOKUP(S:S,Promo!B:D,2,0)</f>
        <v>Promo EN</v>
      </c>
      <c r="W474" s="41">
        <v>49</v>
      </c>
      <c r="X474" s="41">
        <v>45</v>
      </c>
      <c r="AB474" s="41" t="s">
        <v>2062</v>
      </c>
      <c r="AG474" s="41" t="s">
        <v>71</v>
      </c>
      <c r="AH474" s="41" t="s">
        <v>71</v>
      </c>
      <c r="AI474" s="41" t="s">
        <v>71</v>
      </c>
      <c r="AJ474" s="41" t="s">
        <v>71</v>
      </c>
      <c r="AK474" s="41" t="s">
        <v>71</v>
      </c>
      <c r="AL474" s="41" t="s">
        <v>71</v>
      </c>
      <c r="BR474" s="41" t="s">
        <v>72</v>
      </c>
      <c r="BS474" s="41" t="s">
        <v>2058</v>
      </c>
      <c r="BT474" s="41" t="s">
        <v>72</v>
      </c>
      <c r="BW474" s="41" t="s">
        <v>72</v>
      </c>
      <c r="BY474" s="41">
        <f>VLOOKUP(M:M,Unit!B:D,3,0)</f>
        <v>2</v>
      </c>
      <c r="BZ474" s="41">
        <f>VLOOKUP(S:S,Promo!B:D,3,0)</f>
        <v>0</v>
      </c>
    </row>
    <row r="475" spans="1:78" s="41" customFormat="1" ht="15.75" customHeight="1">
      <c r="A475" s="41">
        <v>118362</v>
      </c>
      <c r="H475" s="41" t="s">
        <v>4284</v>
      </c>
      <c r="I475" s="41" t="s">
        <v>4285</v>
      </c>
      <c r="J475" s="65" t="str">
        <f>TRIM(CONCATENATE(B475," ",H475," ",L475," ",M475," ",O475,P475," ",Q475))</f>
        <v>กล่องโฟมขาว 20 กก. 1 ใบ x1 ชิ้น</v>
      </c>
      <c r="K475" s="80" t="str">
        <f>TRIM(CONCATENATE(C475," ",I475," ",L475," ",N475," ",O475,P475," ",R475))</f>
        <v>FOAM BOX 20 KG. 1 pc x1 pc</v>
      </c>
      <c r="L475" s="41">
        <v>1</v>
      </c>
      <c r="M475" s="41" t="s">
        <v>100</v>
      </c>
      <c r="N475" s="41" t="str">
        <f>VLOOKUP(M:M,Unit!B:C,2,0)</f>
        <v>pc</v>
      </c>
      <c r="O475" s="41" t="s">
        <v>67</v>
      </c>
      <c r="P475" s="41">
        <v>1</v>
      </c>
      <c r="Q475" s="41" t="s">
        <v>68</v>
      </c>
      <c r="R475" s="41" t="str">
        <f>VLOOKUP(Q:Q,Unit!B:D,2,0)</f>
        <v>pc</v>
      </c>
      <c r="S475" s="41" t="s">
        <v>187</v>
      </c>
      <c r="T475" s="41" t="str">
        <f>VLOOKUP(S:S,Promo!B:D,2,0)</f>
        <v>buy 5 get 1</v>
      </c>
      <c r="X475" s="41">
        <v>215</v>
      </c>
      <c r="AB475" s="41" t="s">
        <v>91</v>
      </c>
      <c r="AG475" s="41" t="s">
        <v>71</v>
      </c>
      <c r="AH475" s="41" t="s">
        <v>71</v>
      </c>
      <c r="AI475" s="41" t="s">
        <v>71</v>
      </c>
      <c r="AJ475" s="41" t="s">
        <v>71</v>
      </c>
      <c r="AK475" s="41" t="s">
        <v>71</v>
      </c>
      <c r="AL475" s="41" t="s">
        <v>71</v>
      </c>
      <c r="AQ475" s="41" t="s">
        <v>3897</v>
      </c>
      <c r="AR475" s="41" t="s">
        <v>2164</v>
      </c>
      <c r="AS475" s="41" t="s">
        <v>4286</v>
      </c>
      <c r="AT475" s="41" t="s">
        <v>4287</v>
      </c>
      <c r="BS475" s="41" t="s">
        <v>2058</v>
      </c>
      <c r="BT475" s="41" t="s">
        <v>72</v>
      </c>
      <c r="BW475" s="41" t="s">
        <v>72</v>
      </c>
      <c r="BY475" s="41">
        <f>VLOOKUP(M:M,Unit!B:D,3,0)</f>
        <v>10</v>
      </c>
      <c r="BZ475" s="41">
        <f>VLOOKUP(S:S,Promo!B:D,3,0)</f>
        <v>5</v>
      </c>
    </row>
    <row r="476" spans="1:78" s="41" customFormat="1" ht="15.75" customHeight="1">
      <c r="A476" s="41">
        <v>149447</v>
      </c>
      <c r="B476" s="41" t="s">
        <v>936</v>
      </c>
      <c r="C476" s="65" t="str">
        <f>VLOOKUP(B:B,Brand!B:C,2,0)</f>
        <v>Mahamongkol</v>
      </c>
      <c r="H476" s="41" t="s">
        <v>4294</v>
      </c>
      <c r="I476" s="41" t="s">
        <v>4295</v>
      </c>
      <c r="J476" s="41" t="s">
        <v>5109</v>
      </c>
      <c r="K476" s="41" t="s">
        <v>5110</v>
      </c>
      <c r="L476" s="41">
        <v>1</v>
      </c>
      <c r="M476" s="41" t="s">
        <v>183</v>
      </c>
      <c r="N476" s="41" t="str">
        <f>VLOOKUP(M:M,Unit!B:C,2,0)</f>
        <v>set</v>
      </c>
      <c r="O476" s="41" t="s">
        <v>67</v>
      </c>
      <c r="P476" s="41">
        <v>1</v>
      </c>
      <c r="Q476" s="41" t="s">
        <v>68</v>
      </c>
      <c r="R476" s="41" t="str">
        <f>VLOOKUP(Q:Q,Unit!B:D,2,0)</f>
        <v>pc</v>
      </c>
      <c r="S476" s="41" t="s">
        <v>75</v>
      </c>
      <c r="T476" s="41" t="str">
        <f>VLOOKUP(S:S,Promo!B:D,2,0)</f>
        <v>Promo EN</v>
      </c>
      <c r="W476" s="41">
        <v>399</v>
      </c>
      <c r="X476" s="41">
        <v>389</v>
      </c>
      <c r="AB476" s="41" t="s">
        <v>91</v>
      </c>
      <c r="AF476" s="41" t="s">
        <v>3373</v>
      </c>
      <c r="AG476" s="41" t="s">
        <v>71</v>
      </c>
      <c r="AH476" s="41" t="s">
        <v>71</v>
      </c>
      <c r="AI476" s="41" t="s">
        <v>71</v>
      </c>
      <c r="AJ476" s="41" t="s">
        <v>71</v>
      </c>
      <c r="AK476" s="41" t="s">
        <v>71</v>
      </c>
      <c r="AL476" s="41" t="s">
        <v>71</v>
      </c>
      <c r="BS476" s="41" t="s">
        <v>2058</v>
      </c>
      <c r="BT476" s="41" t="s">
        <v>72</v>
      </c>
      <c r="BW476" s="41" t="s">
        <v>72</v>
      </c>
      <c r="BX476" s="41">
        <f>VLOOKUP(B:B,Brand!B:D,3,0)</f>
        <v>483</v>
      </c>
      <c r="BY476" s="41">
        <f>VLOOKUP(M:M,Unit!B:D,3,0)</f>
        <v>20</v>
      </c>
      <c r="BZ476" s="41">
        <f>VLOOKUP(S:S,Promo!B:D,3,0)</f>
        <v>0</v>
      </c>
    </row>
    <row r="477" spans="1:78" s="41" customFormat="1" ht="15.75" customHeight="1">
      <c r="A477" s="41">
        <v>227090</v>
      </c>
      <c r="B477" s="41" t="s">
        <v>936</v>
      </c>
      <c r="C477" s="65" t="str">
        <f>VLOOKUP(B:B,Brand!B:C,2,0)</f>
        <v>Mahamongkol</v>
      </c>
      <c r="H477" s="41" t="s">
        <v>4297</v>
      </c>
      <c r="I477" s="41" t="s">
        <v>4296</v>
      </c>
      <c r="J477" s="41" t="s">
        <v>5111</v>
      </c>
      <c r="K477" s="41" t="s">
        <v>5112</v>
      </c>
      <c r="L477" s="41">
        <v>3</v>
      </c>
      <c r="M477" s="41" t="s">
        <v>104</v>
      </c>
      <c r="N477" s="41" t="str">
        <f>VLOOKUP(M:M,Unit!B:C,2,0)</f>
        <v>box</v>
      </c>
      <c r="O477" s="41" t="s">
        <v>67</v>
      </c>
      <c r="P477" s="41">
        <v>1</v>
      </c>
      <c r="Q477" s="41" t="s">
        <v>179</v>
      </c>
      <c r="R477" s="41" t="str">
        <f>VLOOKUP(Q:Q,Unit!B:D,2,0)</f>
        <v>pack</v>
      </c>
      <c r="S477" s="41" t="s">
        <v>75</v>
      </c>
      <c r="T477" s="41" t="str">
        <f>VLOOKUP(S:S,Promo!B:D,2,0)</f>
        <v>Promo EN</v>
      </c>
      <c r="W477" s="41">
        <v>145</v>
      </c>
      <c r="X477" s="41">
        <v>139</v>
      </c>
      <c r="AB477" s="41" t="s">
        <v>91</v>
      </c>
      <c r="AF477" s="41" t="s">
        <v>3373</v>
      </c>
      <c r="AG477" s="41" t="s">
        <v>71</v>
      </c>
      <c r="AH477" s="41" t="s">
        <v>71</v>
      </c>
      <c r="AI477" s="41" t="s">
        <v>71</v>
      </c>
      <c r="AJ477" s="41" t="s">
        <v>71</v>
      </c>
      <c r="AK477" s="41" t="s">
        <v>71</v>
      </c>
      <c r="AL477" s="41" t="s">
        <v>71</v>
      </c>
      <c r="BS477" s="41" t="s">
        <v>2058</v>
      </c>
      <c r="BT477" s="41" t="s">
        <v>72</v>
      </c>
      <c r="BW477" s="41" t="s">
        <v>72</v>
      </c>
      <c r="BX477" s="41">
        <f>VLOOKUP(B:B,Brand!B:D,3,0)</f>
        <v>483</v>
      </c>
      <c r="BY477" s="41">
        <f>VLOOKUP(M:M,Unit!B:D,3,0)</f>
        <v>36</v>
      </c>
      <c r="BZ477" s="41">
        <f>VLOOKUP(S:S,Promo!B:D,3,0)</f>
        <v>0</v>
      </c>
    </row>
    <row r="478" spans="1:78" s="41" customFormat="1" ht="15.75" customHeight="1">
      <c r="A478" s="41">
        <v>118707</v>
      </c>
      <c r="H478" s="41" t="s">
        <v>4322</v>
      </c>
      <c r="I478" s="41" t="s">
        <v>4323</v>
      </c>
      <c r="J478" s="65" t="str">
        <f>TRIM(CONCATENATE(B478," ",H478," ",L478," ",M478," ",O478,P478," ",Q478))</f>
        <v>กล่องโฟมใหญ่ 25 กก. 45x60x30 ซม. 1 ใบ x1 ชิ้น</v>
      </c>
      <c r="K478" s="80" t="str">
        <f>TRIM(CONCATENATE(C478," ",I478," ",L478," ",N478," ",O478,P478," ",R478))</f>
        <v>FOAM BOX 25 KG. 45X60X30 CM. 1 pc x1 pc</v>
      </c>
      <c r="L478" s="41">
        <v>1</v>
      </c>
      <c r="M478" s="41" t="s">
        <v>100</v>
      </c>
      <c r="N478" s="41" t="str">
        <f>VLOOKUP(M:M,Unit!B:C,2,0)</f>
        <v>pc</v>
      </c>
      <c r="O478" s="41" t="s">
        <v>67</v>
      </c>
      <c r="P478" s="41">
        <v>1</v>
      </c>
      <c r="Q478" s="41" t="s">
        <v>68</v>
      </c>
      <c r="R478" s="41" t="str">
        <f>VLOOKUP(Q:Q,Unit!B:D,2,0)</f>
        <v>pc</v>
      </c>
      <c r="S478" s="41" t="s">
        <v>187</v>
      </c>
      <c r="T478" s="41" t="str">
        <f>VLOOKUP(S:S,Promo!B:D,2,0)</f>
        <v>buy 5 get 1</v>
      </c>
      <c r="X478" s="41">
        <v>235</v>
      </c>
      <c r="AB478" s="41" t="s">
        <v>2056</v>
      </c>
      <c r="AG478" s="41" t="s">
        <v>71</v>
      </c>
      <c r="AH478" s="41" t="s">
        <v>71</v>
      </c>
      <c r="AI478" s="41" t="s">
        <v>71</v>
      </c>
      <c r="AJ478" s="41" t="s">
        <v>71</v>
      </c>
      <c r="AK478" s="41" t="s">
        <v>71</v>
      </c>
      <c r="AL478" s="41" t="s">
        <v>71</v>
      </c>
      <c r="AS478" s="41" t="s">
        <v>4324</v>
      </c>
      <c r="AT478" s="41" t="s">
        <v>4325</v>
      </c>
      <c r="BS478" s="41" t="s">
        <v>2058</v>
      </c>
      <c r="BT478" s="41" t="s">
        <v>72</v>
      </c>
      <c r="BW478" s="41" t="s">
        <v>72</v>
      </c>
      <c r="BY478" s="41">
        <f>VLOOKUP(M:M,Unit!B:D,3,0)</f>
        <v>10</v>
      </c>
      <c r="BZ478" s="41">
        <f>VLOOKUP(S:S,Promo!B:D,3,0)</f>
        <v>5</v>
      </c>
    </row>
    <row r="479" spans="1:78" s="41" customFormat="1" ht="15.75" customHeight="1">
      <c r="A479" s="41">
        <v>129000</v>
      </c>
      <c r="B479" s="41" t="s">
        <v>97</v>
      </c>
      <c r="C479" s="65" t="str">
        <f>VLOOKUP(B:B,Brand!B:C,2,0)</f>
        <v>aro</v>
      </c>
      <c r="H479" s="41" t="s">
        <v>4370</v>
      </c>
      <c r="I479" s="41" t="s">
        <v>4371</v>
      </c>
      <c r="J479" s="41" t="s">
        <v>5132</v>
      </c>
      <c r="K479" s="41" t="s">
        <v>5133</v>
      </c>
      <c r="L479" s="41">
        <v>1</v>
      </c>
      <c r="M479" s="41" t="s">
        <v>79</v>
      </c>
      <c r="N479" s="41" t="str">
        <f>VLOOKUP(M:M,Unit!B:C,2,0)</f>
        <v>kg</v>
      </c>
      <c r="O479" s="41" t="s">
        <v>67</v>
      </c>
      <c r="P479" s="41">
        <v>1</v>
      </c>
      <c r="Q479" s="41" t="s">
        <v>179</v>
      </c>
      <c r="R479" s="41" t="str">
        <f>VLOOKUP(Q:Q,Unit!B:D,2,0)</f>
        <v>pack</v>
      </c>
      <c r="S479" s="41" t="s">
        <v>75</v>
      </c>
      <c r="T479" s="41" t="str">
        <f>VLOOKUP(S:S,Promo!B:D,2,0)</f>
        <v>Promo EN</v>
      </c>
      <c r="W479" s="41">
        <v>169</v>
      </c>
      <c r="X479" s="41">
        <v>149</v>
      </c>
      <c r="AB479" s="41" t="s">
        <v>2056</v>
      </c>
      <c r="AF479" s="41" t="s">
        <v>3373</v>
      </c>
      <c r="AG479" s="41" t="s">
        <v>71</v>
      </c>
      <c r="AH479" s="41" t="s">
        <v>71</v>
      </c>
      <c r="AI479" s="41" t="s">
        <v>71</v>
      </c>
      <c r="AJ479" s="41" t="s">
        <v>71</v>
      </c>
      <c r="AK479" s="41" t="s">
        <v>71</v>
      </c>
      <c r="AL479" s="41" t="s">
        <v>71</v>
      </c>
      <c r="BS479" s="41" t="s">
        <v>72</v>
      </c>
      <c r="BT479" s="41" t="s">
        <v>72</v>
      </c>
      <c r="BW479" s="41" t="s">
        <v>72</v>
      </c>
      <c r="BX479" s="41">
        <f>VLOOKUP(B:B,Brand!B:D,3,0)</f>
        <v>692</v>
      </c>
      <c r="BY479" s="41">
        <f>VLOOKUP(M:M,Unit!B:D,3,0)</f>
        <v>2</v>
      </c>
      <c r="BZ479" s="41">
        <f>VLOOKUP(S:S,Promo!B:D,3,0)</f>
        <v>0</v>
      </c>
    </row>
    <row r="480" spans="1:78" s="41" customFormat="1" ht="15.75" customHeight="1">
      <c r="A480" s="41">
        <v>129001</v>
      </c>
      <c r="B480" s="41" t="s">
        <v>97</v>
      </c>
      <c r="C480" s="65" t="str">
        <f>VLOOKUP(B:B,Brand!B:C,2,0)</f>
        <v>aro</v>
      </c>
      <c r="H480" s="41" t="s">
        <v>4372</v>
      </c>
      <c r="I480" s="41" t="s">
        <v>4371</v>
      </c>
      <c r="J480" s="41" t="s">
        <v>5134</v>
      </c>
      <c r="K480" s="41" t="s">
        <v>5135</v>
      </c>
      <c r="L480" s="41">
        <v>1</v>
      </c>
      <c r="M480" s="41" t="s">
        <v>79</v>
      </c>
      <c r="N480" s="41" t="str">
        <f>VLOOKUP(M:M,Unit!B:C,2,0)</f>
        <v>kg</v>
      </c>
      <c r="O480" s="41" t="s">
        <v>67</v>
      </c>
      <c r="P480" s="41">
        <v>10</v>
      </c>
      <c r="Q480" s="41" t="s">
        <v>179</v>
      </c>
      <c r="R480" s="41" t="str">
        <f>VLOOKUP(Q:Q,Unit!B:D,2,0)</f>
        <v>pack</v>
      </c>
      <c r="S480" s="41" t="s">
        <v>75</v>
      </c>
      <c r="T480" s="41" t="str">
        <f>VLOOKUP(S:S,Promo!B:D,2,0)</f>
        <v>Promo EN</v>
      </c>
      <c r="X480" s="41">
        <v>1450</v>
      </c>
      <c r="AB480" s="41" t="s">
        <v>2056</v>
      </c>
      <c r="AF480" s="41" t="s">
        <v>3373</v>
      </c>
      <c r="AG480" s="41" t="s">
        <v>71</v>
      </c>
      <c r="AH480" s="41" t="s">
        <v>71</v>
      </c>
      <c r="AI480" s="41" t="s">
        <v>71</v>
      </c>
      <c r="AJ480" s="41" t="s">
        <v>71</v>
      </c>
      <c r="AK480" s="41" t="s">
        <v>71</v>
      </c>
      <c r="AL480" s="41" t="s">
        <v>71</v>
      </c>
      <c r="BS480" s="41" t="s">
        <v>72</v>
      </c>
      <c r="BT480" s="41" t="s">
        <v>72</v>
      </c>
      <c r="BW480" s="41" t="s">
        <v>72</v>
      </c>
      <c r="BX480" s="41">
        <f>VLOOKUP(B:B,Brand!B:D,3,0)</f>
        <v>692</v>
      </c>
      <c r="BY480" s="41">
        <f>VLOOKUP(M:M,Unit!B:D,3,0)</f>
        <v>2</v>
      </c>
      <c r="BZ480" s="41">
        <f>VLOOKUP(S:S,Promo!B:D,3,0)</f>
        <v>0</v>
      </c>
    </row>
    <row r="481" spans="1:78" s="41" customFormat="1" ht="15.75" customHeight="1">
      <c r="A481" s="41">
        <v>47203</v>
      </c>
      <c r="B481" s="41" t="s">
        <v>97</v>
      </c>
      <c r="C481" s="65" t="str">
        <f>VLOOKUP(B:B,Brand!B:C,2,0)</f>
        <v>aro</v>
      </c>
      <c r="H481" s="41" t="s">
        <v>4377</v>
      </c>
      <c r="I481" s="41" t="s">
        <v>4378</v>
      </c>
      <c r="J481" s="41" t="s">
        <v>5142</v>
      </c>
      <c r="K481" s="41" t="s">
        <v>5143</v>
      </c>
      <c r="L481" s="41">
        <v>1000</v>
      </c>
      <c r="M481" s="41" t="s">
        <v>83</v>
      </c>
      <c r="N481" s="41" t="str">
        <f>VLOOKUP(M:M,Unit!B:C,2,0)</f>
        <v>g</v>
      </c>
      <c r="O481" s="41" t="s">
        <v>67</v>
      </c>
      <c r="P481" s="41">
        <v>1</v>
      </c>
      <c r="Q481" s="41" t="s">
        <v>179</v>
      </c>
      <c r="R481" s="41" t="str">
        <f>VLOOKUP(Q:Q,Unit!B:D,2,0)</f>
        <v>pack</v>
      </c>
      <c r="S481" s="41" t="s">
        <v>75</v>
      </c>
      <c r="T481" s="41" t="str">
        <f>VLOOKUP(S:S,Promo!B:D,2,0)</f>
        <v>Promo EN</v>
      </c>
      <c r="W481" s="41">
        <v>170</v>
      </c>
      <c r="X481" s="41">
        <v>165</v>
      </c>
      <c r="AB481" s="41" t="s">
        <v>2062</v>
      </c>
      <c r="AG481" s="41" t="s">
        <v>71</v>
      </c>
      <c r="AH481" s="41" t="s">
        <v>71</v>
      </c>
      <c r="AI481" s="41" t="s">
        <v>71</v>
      </c>
      <c r="AJ481" s="41" t="s">
        <v>71</v>
      </c>
      <c r="AK481" s="41" t="s">
        <v>71</v>
      </c>
      <c r="AL481" s="41" t="s">
        <v>71</v>
      </c>
      <c r="BS481" s="41" t="s">
        <v>2058</v>
      </c>
      <c r="BT481" s="41" t="s">
        <v>72</v>
      </c>
      <c r="BW481" s="41" t="s">
        <v>72</v>
      </c>
      <c r="BX481" s="41">
        <f>VLOOKUP(B:B,Brand!B:D,3,0)</f>
        <v>692</v>
      </c>
      <c r="BY481" s="41">
        <f>VLOOKUP(M:M,Unit!B:D,3,0)</f>
        <v>1</v>
      </c>
      <c r="BZ481" s="41">
        <f>VLOOKUP(S:S,Promo!B:D,3,0)</f>
        <v>0</v>
      </c>
    </row>
    <row r="482" spans="1:78" s="41" customFormat="1" ht="15.75" customHeight="1">
      <c r="A482" s="41">
        <v>107444</v>
      </c>
      <c r="B482" s="41" t="s">
        <v>97</v>
      </c>
      <c r="C482" s="65" t="str">
        <f>VLOOKUP(B:B,Brand!B:C,2,0)</f>
        <v>aro</v>
      </c>
      <c r="H482" s="41" t="s">
        <v>4377</v>
      </c>
      <c r="I482" s="41" t="s">
        <v>4378</v>
      </c>
      <c r="J482" s="41" t="s">
        <v>5142</v>
      </c>
      <c r="K482" s="41" t="s">
        <v>5143</v>
      </c>
      <c r="L482" s="41">
        <v>1000</v>
      </c>
      <c r="M482" s="41" t="s">
        <v>83</v>
      </c>
      <c r="N482" s="41" t="str">
        <f>VLOOKUP(M:M,Unit!B:C,2,0)</f>
        <v>g</v>
      </c>
      <c r="O482" s="41" t="s">
        <v>67</v>
      </c>
      <c r="P482" s="41">
        <v>1</v>
      </c>
      <c r="Q482" s="41" t="s">
        <v>179</v>
      </c>
      <c r="R482" s="41" t="str">
        <f>VLOOKUP(Q:Q,Unit!B:D,2,0)</f>
        <v>pack</v>
      </c>
      <c r="S482" s="41" t="s">
        <v>75</v>
      </c>
      <c r="T482" s="41" t="str">
        <f>VLOOKUP(S:S,Promo!B:D,2,0)</f>
        <v>Promo EN</v>
      </c>
      <c r="X482" s="41">
        <v>1600</v>
      </c>
      <c r="AB482" s="41" t="s">
        <v>2062</v>
      </c>
      <c r="AG482" s="41" t="s">
        <v>71</v>
      </c>
      <c r="AH482" s="41" t="s">
        <v>71</v>
      </c>
      <c r="AI482" s="41" t="s">
        <v>71</v>
      </c>
      <c r="AJ482" s="41" t="s">
        <v>71</v>
      </c>
      <c r="AK482" s="41" t="s">
        <v>71</v>
      </c>
      <c r="AL482" s="41" t="s">
        <v>71</v>
      </c>
      <c r="BS482" s="41" t="s">
        <v>2058</v>
      </c>
      <c r="BT482" s="41" t="s">
        <v>72</v>
      </c>
      <c r="BW482" s="41" t="s">
        <v>72</v>
      </c>
      <c r="BX482" s="41">
        <f>VLOOKUP(B:B,Brand!B:D,3,0)</f>
        <v>692</v>
      </c>
      <c r="BY482" s="41">
        <f>VLOOKUP(M:M,Unit!B:D,3,0)</f>
        <v>1</v>
      </c>
      <c r="BZ482" s="41">
        <f>VLOOKUP(S:S,Promo!B:D,3,0)</f>
        <v>0</v>
      </c>
    </row>
    <row r="483" spans="1:78" s="41" customFormat="1" ht="15.75" customHeight="1">
      <c r="A483" s="41">
        <v>173965</v>
      </c>
      <c r="B483" s="41" t="s">
        <v>97</v>
      </c>
      <c r="C483" s="65" t="str">
        <f>VLOOKUP(B:B,Brand!B:C,2,0)</f>
        <v>aro</v>
      </c>
      <c r="H483" s="41" t="s">
        <v>4379</v>
      </c>
      <c r="I483" s="41" t="s">
        <v>4380</v>
      </c>
      <c r="J483" s="41" t="s">
        <v>5144</v>
      </c>
      <c r="K483" s="41" t="s">
        <v>5145</v>
      </c>
      <c r="L483" s="41">
        <v>2</v>
      </c>
      <c r="M483" s="41" t="s">
        <v>79</v>
      </c>
      <c r="N483" s="41" t="str">
        <f>VLOOKUP(M:M,Unit!B:C,2,0)</f>
        <v>kg</v>
      </c>
      <c r="O483" s="41" t="s">
        <v>67</v>
      </c>
      <c r="P483" s="41">
        <v>1</v>
      </c>
      <c r="Q483" s="41" t="s">
        <v>179</v>
      </c>
      <c r="R483" s="41" t="str">
        <f>VLOOKUP(Q:Q,Unit!B:D,2,0)</f>
        <v>pack</v>
      </c>
      <c r="S483" s="41" t="s">
        <v>75</v>
      </c>
      <c r="T483" s="41" t="str">
        <f>VLOOKUP(S:S,Promo!B:D,2,0)</f>
        <v>Promo EN</v>
      </c>
      <c r="W483" s="41">
        <v>155</v>
      </c>
      <c r="X483" s="41">
        <v>149</v>
      </c>
      <c r="AB483" s="41" t="s">
        <v>2056</v>
      </c>
      <c r="AG483" s="41" t="s">
        <v>71</v>
      </c>
      <c r="AH483" s="41" t="s">
        <v>71</v>
      </c>
      <c r="AI483" s="41" t="s">
        <v>71</v>
      </c>
      <c r="AJ483" s="41" t="s">
        <v>71</v>
      </c>
      <c r="AK483" s="41" t="s">
        <v>71</v>
      </c>
      <c r="AL483" s="41" t="s">
        <v>71</v>
      </c>
      <c r="BS483" s="41" t="s">
        <v>72</v>
      </c>
      <c r="BT483" s="41" t="s">
        <v>72</v>
      </c>
      <c r="BW483" s="41" t="s">
        <v>72</v>
      </c>
      <c r="BX483" s="41">
        <f>VLOOKUP(B:B,Brand!B:D,3,0)</f>
        <v>692</v>
      </c>
      <c r="BY483" s="41">
        <f>VLOOKUP(M:M,Unit!B:D,3,0)</f>
        <v>2</v>
      </c>
      <c r="BZ483" s="41">
        <f>VLOOKUP(S:S,Promo!B:D,3,0)</f>
        <v>0</v>
      </c>
    </row>
    <row r="484" spans="1:78" s="41" customFormat="1" ht="15.75" customHeight="1">
      <c r="A484" s="41">
        <v>173967</v>
      </c>
      <c r="B484" s="41" t="s">
        <v>97</v>
      </c>
      <c r="C484" s="65" t="str">
        <f>VLOOKUP(B:B,Brand!B:C,2,0)</f>
        <v>aro</v>
      </c>
      <c r="H484" s="41" t="s">
        <v>4381</v>
      </c>
      <c r="I484" s="41" t="s">
        <v>4382</v>
      </c>
      <c r="J484" s="41" t="s">
        <v>5146</v>
      </c>
      <c r="K484" s="41" t="s">
        <v>5147</v>
      </c>
      <c r="L484" s="41">
        <v>1</v>
      </c>
      <c r="M484" s="41" t="s">
        <v>179</v>
      </c>
      <c r="N484" s="41" t="str">
        <f>VLOOKUP(M:M,Unit!B:C,2,0)</f>
        <v>pack</v>
      </c>
      <c r="O484" s="41" t="s">
        <v>67</v>
      </c>
      <c r="P484" s="41">
        <v>1</v>
      </c>
      <c r="Q484" s="41" t="s">
        <v>68</v>
      </c>
      <c r="R484" s="41" t="str">
        <f>VLOOKUP(Q:Q,Unit!B:D,2,0)</f>
        <v>pc</v>
      </c>
      <c r="S484" s="41" t="s">
        <v>75</v>
      </c>
      <c r="T484" s="41" t="str">
        <f>VLOOKUP(S:S,Promo!B:D,2,0)</f>
        <v>Promo EN</v>
      </c>
      <c r="X484" s="41">
        <v>882</v>
      </c>
      <c r="AB484" s="41" t="s">
        <v>2056</v>
      </c>
      <c r="AG484" s="41" t="s">
        <v>71</v>
      </c>
      <c r="AH484" s="41" t="s">
        <v>71</v>
      </c>
      <c r="AI484" s="41" t="s">
        <v>71</v>
      </c>
      <c r="AJ484" s="41" t="s">
        <v>71</v>
      </c>
      <c r="AK484" s="41" t="s">
        <v>71</v>
      </c>
      <c r="AL484" s="41" t="s">
        <v>71</v>
      </c>
      <c r="BS484" s="41" t="s">
        <v>72</v>
      </c>
      <c r="BT484" s="41" t="s">
        <v>72</v>
      </c>
      <c r="BW484" s="41" t="s">
        <v>72</v>
      </c>
      <c r="BX484" s="41">
        <f>VLOOKUP(B:B,Brand!B:D,3,0)</f>
        <v>692</v>
      </c>
      <c r="BY484" s="41">
        <f>VLOOKUP(M:M,Unit!B:D,3,0)</f>
        <v>22</v>
      </c>
      <c r="BZ484" s="41">
        <f>VLOOKUP(S:S,Promo!B:D,3,0)</f>
        <v>0</v>
      </c>
    </row>
    <row r="485" spans="1:78" s="41" customFormat="1" ht="15.75" customHeight="1">
      <c r="A485" s="41">
        <v>101555</v>
      </c>
      <c r="B485" s="41" t="s">
        <v>97</v>
      </c>
      <c r="C485" s="65" t="str">
        <f>VLOOKUP(B:B,Brand!B:C,2,0)</f>
        <v>aro</v>
      </c>
      <c r="H485" s="41" t="s">
        <v>4389</v>
      </c>
      <c r="I485" s="41" t="s">
        <v>4390</v>
      </c>
      <c r="J485" s="41" t="s">
        <v>5154</v>
      </c>
      <c r="K485" s="41" t="s">
        <v>5155</v>
      </c>
      <c r="L485" s="41">
        <v>1000</v>
      </c>
      <c r="M485" s="41" t="s">
        <v>83</v>
      </c>
      <c r="N485" s="41" t="str">
        <f>VLOOKUP(M:M,Unit!B:C,2,0)</f>
        <v>g</v>
      </c>
      <c r="O485" s="41" t="s">
        <v>67</v>
      </c>
      <c r="P485" s="41">
        <v>1</v>
      </c>
      <c r="Q485" s="41" t="s">
        <v>179</v>
      </c>
      <c r="R485" s="41" t="str">
        <f>VLOOKUP(Q:Q,Unit!B:D,2,0)</f>
        <v>pack</v>
      </c>
      <c r="S485" s="41" t="s">
        <v>75</v>
      </c>
      <c r="T485" s="41" t="str">
        <f>VLOOKUP(S:S,Promo!B:D,2,0)</f>
        <v>Promo EN</v>
      </c>
      <c r="W485" s="41">
        <v>135</v>
      </c>
      <c r="X485" s="41">
        <v>129</v>
      </c>
      <c r="AB485" s="41" t="s">
        <v>91</v>
      </c>
      <c r="AF485" s="41" t="s">
        <v>3373</v>
      </c>
      <c r="AG485" s="41" t="s">
        <v>71</v>
      </c>
      <c r="AH485" s="41" t="s">
        <v>71</v>
      </c>
      <c r="AI485" s="41" t="s">
        <v>71</v>
      </c>
      <c r="AJ485" s="41" t="s">
        <v>71</v>
      </c>
      <c r="AK485" s="41" t="s">
        <v>71</v>
      </c>
      <c r="AL485" s="41" t="s">
        <v>71</v>
      </c>
      <c r="BS485" s="41" t="s">
        <v>2058</v>
      </c>
      <c r="BT485" s="41" t="s">
        <v>72</v>
      </c>
      <c r="BW485" s="41" t="s">
        <v>72</v>
      </c>
      <c r="BX485" s="41">
        <f>VLOOKUP(B:B,Brand!B:D,3,0)</f>
        <v>692</v>
      </c>
      <c r="BY485" s="41">
        <f>VLOOKUP(M:M,Unit!B:D,3,0)</f>
        <v>1</v>
      </c>
      <c r="BZ485" s="41">
        <f>VLOOKUP(S:S,Promo!B:D,3,0)</f>
        <v>0</v>
      </c>
    </row>
    <row r="486" spans="1:78" s="41" customFormat="1" ht="15.75" customHeight="1">
      <c r="A486" s="41">
        <v>135231</v>
      </c>
      <c r="B486" s="41" t="s">
        <v>905</v>
      </c>
      <c r="C486" s="65" t="str">
        <f>VLOOKUP(B:B,Brand!B:C,2,0)</f>
        <v>Farm Frites</v>
      </c>
      <c r="H486" s="41" t="s">
        <v>4391</v>
      </c>
      <c r="I486" s="41" t="s">
        <v>4392</v>
      </c>
      <c r="J486" s="41" t="s">
        <v>5156</v>
      </c>
      <c r="K486" s="41" t="s">
        <v>5157</v>
      </c>
      <c r="L486" s="41">
        <v>2</v>
      </c>
      <c r="M486" s="41" t="s">
        <v>79</v>
      </c>
      <c r="N486" s="41" t="str">
        <f>VLOOKUP(M:M,Unit!B:C,2,0)</f>
        <v>kg</v>
      </c>
      <c r="O486" s="41" t="s">
        <v>67</v>
      </c>
      <c r="P486" s="41">
        <v>6</v>
      </c>
      <c r="Q486" s="41" t="s">
        <v>179</v>
      </c>
      <c r="R486" s="41" t="str">
        <f>VLOOKUP(Q:Q,Unit!B:D,2,0)</f>
        <v>pack</v>
      </c>
      <c r="S486" s="41" t="s">
        <v>75</v>
      </c>
      <c r="T486" s="41" t="str">
        <f>VLOOKUP(S:S,Promo!B:D,2,0)</f>
        <v>Promo EN</v>
      </c>
      <c r="X486" s="41">
        <v>850</v>
      </c>
      <c r="AB486" s="41" t="s">
        <v>2054</v>
      </c>
      <c r="AG486" s="41" t="s">
        <v>71</v>
      </c>
      <c r="AH486" s="41" t="s">
        <v>71</v>
      </c>
      <c r="AI486" s="41" t="s">
        <v>71</v>
      </c>
      <c r="AJ486" s="41" t="s">
        <v>71</v>
      </c>
      <c r="AK486" s="41" t="s">
        <v>71</v>
      </c>
      <c r="AL486" s="41" t="s">
        <v>71</v>
      </c>
      <c r="AS486" s="41" t="s">
        <v>3461</v>
      </c>
      <c r="AT486" s="41" t="s">
        <v>2253</v>
      </c>
      <c r="BS486" s="41" t="s">
        <v>72</v>
      </c>
      <c r="BT486" s="41" t="s">
        <v>72</v>
      </c>
      <c r="BW486" s="41" t="s">
        <v>72</v>
      </c>
      <c r="BX486" s="41">
        <f>VLOOKUP(B:B,Brand!B:D,3,0)</f>
        <v>459</v>
      </c>
      <c r="BY486" s="41">
        <f>VLOOKUP(M:M,Unit!B:D,3,0)</f>
        <v>2</v>
      </c>
      <c r="BZ486" s="41">
        <f>VLOOKUP(S:S,Promo!B:D,3,0)</f>
        <v>0</v>
      </c>
    </row>
    <row r="487" spans="1:78" s="41" customFormat="1" ht="15.75" customHeight="1">
      <c r="A487" s="41">
        <v>135232</v>
      </c>
      <c r="B487" s="41" t="s">
        <v>905</v>
      </c>
      <c r="C487" s="65" t="str">
        <f>VLOOKUP(B:B,Brand!B:C,2,0)</f>
        <v>Farm Frites</v>
      </c>
      <c r="H487" s="41" t="s">
        <v>4391</v>
      </c>
      <c r="I487" s="41" t="s">
        <v>4392</v>
      </c>
      <c r="J487" s="41" t="s">
        <v>5158</v>
      </c>
      <c r="K487" s="41" t="s">
        <v>5159</v>
      </c>
      <c r="L487" s="41">
        <v>2</v>
      </c>
      <c r="M487" s="41" t="s">
        <v>79</v>
      </c>
      <c r="N487" s="41" t="str">
        <f>VLOOKUP(M:M,Unit!B:C,2,0)</f>
        <v>kg</v>
      </c>
      <c r="O487" s="41" t="s">
        <v>67</v>
      </c>
      <c r="P487" s="41">
        <v>1</v>
      </c>
      <c r="Q487" s="41" t="s">
        <v>179</v>
      </c>
      <c r="R487" s="41" t="str">
        <f>VLOOKUP(Q:Q,Unit!B:D,2,0)</f>
        <v>pack</v>
      </c>
      <c r="S487" s="41" t="s">
        <v>75</v>
      </c>
      <c r="T487" s="41" t="str">
        <f>VLOOKUP(S:S,Promo!B:D,2,0)</f>
        <v>Promo EN</v>
      </c>
      <c r="W487" s="41">
        <v>165</v>
      </c>
      <c r="X487" s="41">
        <v>159</v>
      </c>
      <c r="AB487" s="41" t="s">
        <v>2054</v>
      </c>
      <c r="AG487" s="41" t="s">
        <v>71</v>
      </c>
      <c r="AH487" s="41" t="s">
        <v>71</v>
      </c>
      <c r="AI487" s="41" t="s">
        <v>71</v>
      </c>
      <c r="AJ487" s="41" t="s">
        <v>71</v>
      </c>
      <c r="AK487" s="41" t="s">
        <v>71</v>
      </c>
      <c r="AL487" s="41" t="s">
        <v>71</v>
      </c>
      <c r="AS487" s="41" t="s">
        <v>3461</v>
      </c>
      <c r="AT487" s="41" t="s">
        <v>2253</v>
      </c>
      <c r="BS487" s="41" t="s">
        <v>72</v>
      </c>
      <c r="BT487" s="41" t="s">
        <v>72</v>
      </c>
      <c r="BW487" s="41" t="s">
        <v>72</v>
      </c>
      <c r="BX487" s="41">
        <f>VLOOKUP(B:B,Brand!B:D,3,0)</f>
        <v>459</v>
      </c>
      <c r="BY487" s="41">
        <f>VLOOKUP(M:M,Unit!B:D,3,0)</f>
        <v>2</v>
      </c>
      <c r="BZ487" s="41">
        <f>VLOOKUP(S:S,Promo!B:D,3,0)</f>
        <v>0</v>
      </c>
    </row>
    <row r="488" spans="1:78" s="41" customFormat="1" ht="15.75" customHeight="1">
      <c r="A488" s="41">
        <v>135228</v>
      </c>
      <c r="B488" s="41" t="s">
        <v>905</v>
      </c>
      <c r="C488" s="65" t="str">
        <f>VLOOKUP(B:B,Brand!B:C,2,0)</f>
        <v>Farm Frites</v>
      </c>
      <c r="H488" s="41" t="s">
        <v>4393</v>
      </c>
      <c r="I488" s="41" t="s">
        <v>4394</v>
      </c>
      <c r="J488" s="41" t="s">
        <v>5160</v>
      </c>
      <c r="K488" s="41" t="s">
        <v>5161</v>
      </c>
      <c r="L488" s="41">
        <v>2</v>
      </c>
      <c r="M488" s="41" t="s">
        <v>79</v>
      </c>
      <c r="N488" s="41" t="str">
        <f>VLOOKUP(M:M,Unit!B:C,2,0)</f>
        <v>kg</v>
      </c>
      <c r="O488" s="41" t="s">
        <v>67</v>
      </c>
      <c r="P488" s="41">
        <v>6</v>
      </c>
      <c r="Q488" s="41" t="s">
        <v>179</v>
      </c>
      <c r="R488" s="41" t="str">
        <f>VLOOKUP(Q:Q,Unit!B:D,2,0)</f>
        <v>pack</v>
      </c>
      <c r="S488" s="41" t="s">
        <v>75</v>
      </c>
      <c r="T488" s="41" t="str">
        <f>VLOOKUP(S:S,Promo!B:D,2,0)</f>
        <v>Promo EN</v>
      </c>
      <c r="X488" s="41">
        <v>850</v>
      </c>
      <c r="AB488" s="41" t="s">
        <v>2054</v>
      </c>
      <c r="AG488" s="41" t="s">
        <v>71</v>
      </c>
      <c r="AH488" s="41" t="s">
        <v>71</v>
      </c>
      <c r="AI488" s="41" t="s">
        <v>71</v>
      </c>
      <c r="AJ488" s="41" t="s">
        <v>71</v>
      </c>
      <c r="AK488" s="41" t="s">
        <v>71</v>
      </c>
      <c r="AL488" s="41" t="s">
        <v>71</v>
      </c>
      <c r="AS488" s="41" t="s">
        <v>4395</v>
      </c>
      <c r="AT488" s="41" t="s">
        <v>2252</v>
      </c>
      <c r="BS488" s="41" t="s">
        <v>72</v>
      </c>
      <c r="BT488" s="41" t="s">
        <v>72</v>
      </c>
      <c r="BW488" s="41" t="s">
        <v>72</v>
      </c>
      <c r="BX488" s="41">
        <f>VLOOKUP(B:B,Brand!B:D,3,0)</f>
        <v>459</v>
      </c>
      <c r="BY488" s="41">
        <f>VLOOKUP(M:M,Unit!B:D,3,0)</f>
        <v>2</v>
      </c>
      <c r="BZ488" s="41">
        <f>VLOOKUP(S:S,Promo!B:D,3,0)</f>
        <v>0</v>
      </c>
    </row>
    <row r="489" spans="1:78" s="41" customFormat="1" ht="15.75" customHeight="1">
      <c r="A489" s="41">
        <v>135229</v>
      </c>
      <c r="B489" s="41" t="s">
        <v>905</v>
      </c>
      <c r="C489" s="65" t="str">
        <f>VLOOKUP(B:B,Brand!B:C,2,0)</f>
        <v>Farm Frites</v>
      </c>
      <c r="H489" s="41" t="s">
        <v>4393</v>
      </c>
      <c r="I489" s="41" t="s">
        <v>4394</v>
      </c>
      <c r="J489" s="41" t="s">
        <v>5162</v>
      </c>
      <c r="K489" s="41" t="s">
        <v>5163</v>
      </c>
      <c r="L489" s="41">
        <v>2</v>
      </c>
      <c r="M489" s="41" t="s">
        <v>79</v>
      </c>
      <c r="N489" s="41" t="str">
        <f>VLOOKUP(M:M,Unit!B:C,2,0)</f>
        <v>kg</v>
      </c>
      <c r="O489" s="41" t="s">
        <v>67</v>
      </c>
      <c r="P489" s="41">
        <v>1</v>
      </c>
      <c r="Q489" s="41" t="s">
        <v>179</v>
      </c>
      <c r="R489" s="41" t="str">
        <f>VLOOKUP(Q:Q,Unit!B:D,2,0)</f>
        <v>pack</v>
      </c>
      <c r="S489" s="41" t="s">
        <v>75</v>
      </c>
      <c r="T489" s="41" t="str">
        <f>VLOOKUP(S:S,Promo!B:D,2,0)</f>
        <v>Promo EN</v>
      </c>
      <c r="W489" s="41">
        <v>165</v>
      </c>
      <c r="X489" s="41">
        <v>159</v>
      </c>
      <c r="AB489" s="41" t="s">
        <v>2054</v>
      </c>
      <c r="AG489" s="41" t="s">
        <v>71</v>
      </c>
      <c r="AH489" s="41" t="s">
        <v>71</v>
      </c>
      <c r="AI489" s="41" t="s">
        <v>71</v>
      </c>
      <c r="AJ489" s="41" t="s">
        <v>71</v>
      </c>
      <c r="AK489" s="41" t="s">
        <v>71</v>
      </c>
      <c r="AL489" s="41" t="s">
        <v>71</v>
      </c>
      <c r="AS489" s="41" t="s">
        <v>4395</v>
      </c>
      <c r="AT489" s="41" t="s">
        <v>2252</v>
      </c>
      <c r="BS489" s="41" t="s">
        <v>72</v>
      </c>
      <c r="BT489" s="41" t="s">
        <v>72</v>
      </c>
      <c r="BW489" s="41" t="s">
        <v>72</v>
      </c>
      <c r="BX489" s="41">
        <f>VLOOKUP(B:B,Brand!B:D,3,0)</f>
        <v>459</v>
      </c>
      <c r="BY489" s="41">
        <f>VLOOKUP(M:M,Unit!B:D,3,0)</f>
        <v>2</v>
      </c>
      <c r="BZ489" s="41">
        <f>VLOOKUP(S:S,Promo!B:D,3,0)</f>
        <v>0</v>
      </c>
    </row>
    <row r="490" spans="1:78" s="41" customFormat="1" ht="15.75" customHeight="1">
      <c r="A490" s="41">
        <v>133737</v>
      </c>
      <c r="H490" s="41" t="s">
        <v>2310</v>
      </c>
      <c r="I490" s="41" t="s">
        <v>4396</v>
      </c>
      <c r="J490" s="65" t="str">
        <f>TRIM(CONCATENATE(B490," ",H490," ",L490," ",M490," ",O490,P490," ",Q490))</f>
        <v>หมูบดแช่แข็ง 1 กก. x1 แพ็ค</v>
      </c>
      <c r="K490" s="80" t="str">
        <f>TRIM(CONCATENATE(C490," ",I490," ",L490," ",N490," ",O490,P490," ",R490))</f>
        <v>FROZEN PORK MINCED 1 kg x1 pack</v>
      </c>
      <c r="L490" s="41">
        <v>1</v>
      </c>
      <c r="M490" s="41" t="s">
        <v>79</v>
      </c>
      <c r="N490" s="41" t="str">
        <f>VLOOKUP(M:M,Unit!B:C,2,0)</f>
        <v>kg</v>
      </c>
      <c r="O490" s="41" t="s">
        <v>67</v>
      </c>
      <c r="P490" s="41">
        <v>1</v>
      </c>
      <c r="Q490" s="41" t="s">
        <v>179</v>
      </c>
      <c r="R490" s="41" t="str">
        <f>VLOOKUP(Q:Q,Unit!B:D,2,0)</f>
        <v>pack</v>
      </c>
      <c r="S490" s="41" t="s">
        <v>75</v>
      </c>
      <c r="T490" s="41" t="str">
        <f>VLOOKUP(S:S,Promo!B:D,2,0)</f>
        <v>Promo EN</v>
      </c>
      <c r="W490" s="41">
        <v>105</v>
      </c>
      <c r="X490" s="41">
        <v>99</v>
      </c>
      <c r="AB490" s="41" t="s">
        <v>2054</v>
      </c>
      <c r="AG490" s="41" t="s">
        <v>71</v>
      </c>
      <c r="AH490" s="41" t="s">
        <v>71</v>
      </c>
      <c r="AI490" s="41" t="s">
        <v>71</v>
      </c>
      <c r="AJ490" s="41" t="s">
        <v>71</v>
      </c>
      <c r="AK490" s="41" t="s">
        <v>71</v>
      </c>
      <c r="AL490" s="41" t="s">
        <v>71</v>
      </c>
      <c r="BS490" s="41" t="s">
        <v>72</v>
      </c>
      <c r="BT490" s="41" t="s">
        <v>72</v>
      </c>
      <c r="BW490" s="41" t="s">
        <v>72</v>
      </c>
      <c r="BY490" s="41">
        <f>VLOOKUP(M:M,Unit!B:D,3,0)</f>
        <v>2</v>
      </c>
      <c r="BZ490" s="41">
        <f>VLOOKUP(S:S,Promo!B:D,3,0)</f>
        <v>0</v>
      </c>
    </row>
    <row r="491" spans="1:78" s="41" customFormat="1" ht="15.75" customHeight="1">
      <c r="A491" s="41">
        <v>188485</v>
      </c>
      <c r="B491" s="41" t="s">
        <v>2558</v>
      </c>
      <c r="C491" s="65" t="str">
        <f>VLOOKUP(B:B,Brand!B:C,2,0)</f>
        <v>KCF</v>
      </c>
      <c r="H491" s="41" t="s">
        <v>4397</v>
      </c>
      <c r="I491" s="41" t="s">
        <v>4398</v>
      </c>
      <c r="J491" s="41" t="s">
        <v>5164</v>
      </c>
      <c r="K491" s="41" t="s">
        <v>5165</v>
      </c>
      <c r="L491" s="41">
        <v>25</v>
      </c>
      <c r="M491" s="41" t="s">
        <v>1801</v>
      </c>
      <c r="N491" s="41" t="str">
        <f>VLOOKUP(M:M,Unit!B:C,2,0)</f>
        <v>pc</v>
      </c>
      <c r="O491" s="41" t="s">
        <v>67</v>
      </c>
      <c r="P491" s="41">
        <v>1</v>
      </c>
      <c r="Q491" s="41" t="s">
        <v>179</v>
      </c>
      <c r="R491" s="41" t="str">
        <f>VLOOKUP(Q:Q,Unit!B:D,2,0)</f>
        <v>pack</v>
      </c>
      <c r="S491" s="41" t="s">
        <v>75</v>
      </c>
      <c r="T491" s="41" t="str">
        <f>VLOOKUP(S:S,Promo!B:D,2,0)</f>
        <v>Promo EN</v>
      </c>
      <c r="W491" s="41">
        <v>165</v>
      </c>
      <c r="X491" s="41">
        <v>140</v>
      </c>
      <c r="AB491" s="41" t="s">
        <v>2056</v>
      </c>
      <c r="AG491" s="41" t="s">
        <v>71</v>
      </c>
      <c r="AH491" s="41" t="s">
        <v>71</v>
      </c>
      <c r="AI491" s="41" t="s">
        <v>71</v>
      </c>
      <c r="AJ491" s="41" t="s">
        <v>71</v>
      </c>
      <c r="AK491" s="41" t="s">
        <v>71</v>
      </c>
      <c r="AL491" s="41" t="s">
        <v>71</v>
      </c>
      <c r="BS491" s="41" t="s">
        <v>2058</v>
      </c>
      <c r="BT491" s="41" t="s">
        <v>72</v>
      </c>
      <c r="BW491" s="41" t="s">
        <v>72</v>
      </c>
      <c r="BX491" s="41">
        <f>VLOOKUP(B:B,Brand!B:D,3,0)</f>
        <v>1039</v>
      </c>
      <c r="BY491" s="41">
        <f>VLOOKUP(M:M,Unit!B:D,3,0)</f>
        <v>18</v>
      </c>
      <c r="BZ491" s="41">
        <f>VLOOKUP(S:S,Promo!B:D,3,0)</f>
        <v>0</v>
      </c>
    </row>
    <row r="492" spans="1:78" s="41" customFormat="1" ht="15.75" customHeight="1">
      <c r="A492" s="41">
        <v>147380</v>
      </c>
      <c r="B492" s="41" t="s">
        <v>97</v>
      </c>
      <c r="C492" s="65" t="str">
        <f>VLOOKUP(B:B,Brand!B:C,2,0)</f>
        <v>aro</v>
      </c>
      <c r="H492" s="41" t="s">
        <v>4399</v>
      </c>
      <c r="I492" s="41" t="s">
        <v>4400</v>
      </c>
      <c r="J492" s="41" t="s">
        <v>5166</v>
      </c>
      <c r="K492" s="41" t="s">
        <v>5167</v>
      </c>
      <c r="L492" s="41">
        <v>300</v>
      </c>
      <c r="M492" s="41" t="s">
        <v>83</v>
      </c>
      <c r="N492" s="41" t="str">
        <f>VLOOKUP(M:M,Unit!B:C,2,0)</f>
        <v>g</v>
      </c>
      <c r="O492" s="41" t="s">
        <v>67</v>
      </c>
      <c r="P492" s="41">
        <v>1</v>
      </c>
      <c r="Q492" s="41" t="s">
        <v>68</v>
      </c>
      <c r="R492" s="41" t="str">
        <f>VLOOKUP(Q:Q,Unit!B:D,2,0)</f>
        <v>pc</v>
      </c>
      <c r="S492" s="41" t="s">
        <v>74</v>
      </c>
      <c r="T492" s="41" t="str">
        <f>VLOOKUP(S:S,Promo!B:D,2,0)</f>
        <v>buy 1 get 1</v>
      </c>
      <c r="W492" s="41">
        <v>95</v>
      </c>
      <c r="X492" s="41">
        <v>89</v>
      </c>
      <c r="AB492" s="41" t="s">
        <v>2056</v>
      </c>
      <c r="AG492" s="41" t="s">
        <v>71</v>
      </c>
      <c r="AH492" s="41" t="s">
        <v>71</v>
      </c>
      <c r="AI492" s="41" t="s">
        <v>71</v>
      </c>
      <c r="AJ492" s="41" t="s">
        <v>71</v>
      </c>
      <c r="AK492" s="41" t="s">
        <v>71</v>
      </c>
      <c r="AL492" s="41" t="s">
        <v>71</v>
      </c>
      <c r="BS492" s="41" t="s">
        <v>2058</v>
      </c>
      <c r="BT492" s="41" t="s">
        <v>72</v>
      </c>
      <c r="BW492" s="41" t="s">
        <v>72</v>
      </c>
      <c r="BX492" s="41">
        <f>VLOOKUP(B:B,Brand!B:D,3,0)</f>
        <v>692</v>
      </c>
      <c r="BY492" s="41">
        <f>VLOOKUP(M:M,Unit!B:D,3,0)</f>
        <v>1</v>
      </c>
      <c r="BZ492" s="41">
        <f>VLOOKUP(S:S,Promo!B:D,3,0)</f>
        <v>1</v>
      </c>
    </row>
    <row r="493" spans="1:78" s="41" customFormat="1" ht="15.75" customHeight="1">
      <c r="A493" s="41">
        <v>808580</v>
      </c>
      <c r="B493" s="41" t="s">
        <v>97</v>
      </c>
      <c r="C493" s="65" t="str">
        <f>VLOOKUP(B:B,Brand!B:C,2,0)</f>
        <v>aro</v>
      </c>
      <c r="H493" s="41" t="s">
        <v>4431</v>
      </c>
      <c r="I493" s="41" t="s">
        <v>4432</v>
      </c>
      <c r="J493" s="41" t="s">
        <v>5212</v>
      </c>
      <c r="K493" s="41" t="s">
        <v>5213</v>
      </c>
      <c r="L493" s="41">
        <v>450</v>
      </c>
      <c r="M493" s="41" t="s">
        <v>83</v>
      </c>
      <c r="N493" s="41" t="str">
        <f>VLOOKUP(M:M,Unit!B:C,2,0)</f>
        <v>g</v>
      </c>
      <c r="O493" s="41" t="s">
        <v>67</v>
      </c>
      <c r="P493" s="41">
        <v>1</v>
      </c>
      <c r="Q493" s="41" t="s">
        <v>68</v>
      </c>
      <c r="R493" s="41" t="str">
        <f>VLOOKUP(Q:Q,Unit!B:D,2,0)</f>
        <v>pc</v>
      </c>
      <c r="S493" s="41" t="s">
        <v>75</v>
      </c>
      <c r="T493" s="41" t="str">
        <f>VLOOKUP(S:S,Promo!B:D,2,0)</f>
        <v>Promo EN</v>
      </c>
      <c r="X493" s="41">
        <v>89</v>
      </c>
      <c r="AB493" s="41" t="s">
        <v>91</v>
      </c>
      <c r="AG493" s="41" t="s">
        <v>71</v>
      </c>
      <c r="AH493" s="41" t="s">
        <v>71</v>
      </c>
      <c r="AI493" s="41" t="s">
        <v>71</v>
      </c>
      <c r="AJ493" s="41" t="s">
        <v>71</v>
      </c>
      <c r="AK493" s="41" t="s">
        <v>71</v>
      </c>
      <c r="AL493" s="41" t="s">
        <v>71</v>
      </c>
      <c r="BS493" s="41" t="s">
        <v>2058</v>
      </c>
      <c r="BT493" s="41" t="s">
        <v>72</v>
      </c>
      <c r="BW493" s="41" t="s">
        <v>72</v>
      </c>
      <c r="BX493" s="41">
        <f>VLOOKUP(B:B,Brand!B:D,3,0)</f>
        <v>692</v>
      </c>
      <c r="BY493" s="41">
        <f>VLOOKUP(M:M,Unit!B:D,3,0)</f>
        <v>1</v>
      </c>
      <c r="BZ493" s="41">
        <f>VLOOKUP(S:S,Promo!B:D,3,0)</f>
        <v>0</v>
      </c>
    </row>
    <row r="494" spans="1:78" s="41" customFormat="1" ht="15.75" customHeight="1">
      <c r="A494" s="41">
        <v>138968</v>
      </c>
      <c r="B494" s="41" t="s">
        <v>97</v>
      </c>
      <c r="C494" s="65" t="str">
        <f>VLOOKUP(B:B,Brand!B:C,2,0)</f>
        <v>aro</v>
      </c>
      <c r="H494" s="41" t="s">
        <v>4433</v>
      </c>
      <c r="I494" s="41" t="s">
        <v>4434</v>
      </c>
      <c r="J494" s="41" t="s">
        <v>5214</v>
      </c>
      <c r="K494" s="41" t="s">
        <v>5215</v>
      </c>
      <c r="L494" s="41">
        <v>1000</v>
      </c>
      <c r="M494" s="41" t="s">
        <v>83</v>
      </c>
      <c r="N494" s="41" t="str">
        <f>VLOOKUP(M:M,Unit!B:C,2,0)</f>
        <v>g</v>
      </c>
      <c r="O494" s="41" t="s">
        <v>67</v>
      </c>
      <c r="P494" s="41">
        <v>1</v>
      </c>
      <c r="Q494" s="41" t="s">
        <v>179</v>
      </c>
      <c r="R494" s="41" t="str">
        <f>VLOOKUP(Q:Q,Unit!B:D,2,0)</f>
        <v>pack</v>
      </c>
      <c r="S494" s="41" t="s">
        <v>75</v>
      </c>
      <c r="T494" s="41" t="str">
        <f>VLOOKUP(S:S,Promo!B:D,2,0)</f>
        <v>Promo EN</v>
      </c>
      <c r="W494" s="41">
        <v>130</v>
      </c>
      <c r="X494" s="41">
        <v>119</v>
      </c>
      <c r="AB494" s="41" t="s">
        <v>91</v>
      </c>
      <c r="AG494" s="41" t="s">
        <v>71</v>
      </c>
      <c r="AH494" s="41" t="s">
        <v>71</v>
      </c>
      <c r="AI494" s="41" t="s">
        <v>71</v>
      </c>
      <c r="AJ494" s="41" t="s">
        <v>71</v>
      </c>
      <c r="AK494" s="41" t="s">
        <v>71</v>
      </c>
      <c r="AL494" s="41" t="s">
        <v>71</v>
      </c>
      <c r="BS494" s="41" t="s">
        <v>72</v>
      </c>
      <c r="BT494" s="41" t="s">
        <v>72</v>
      </c>
      <c r="BW494" s="41" t="s">
        <v>72</v>
      </c>
      <c r="BX494" s="41">
        <f>VLOOKUP(B:B,Brand!B:D,3,0)</f>
        <v>692</v>
      </c>
      <c r="BY494" s="41">
        <f>VLOOKUP(M:M,Unit!B:D,3,0)</f>
        <v>1</v>
      </c>
      <c r="BZ494" s="41">
        <f>VLOOKUP(S:S,Promo!B:D,3,0)</f>
        <v>0</v>
      </c>
    </row>
    <row r="495" spans="1:78" s="41" customFormat="1" ht="15.75" customHeight="1">
      <c r="A495" s="41">
        <v>138930</v>
      </c>
      <c r="B495" s="41" t="s">
        <v>97</v>
      </c>
      <c r="C495" s="65" t="str">
        <f>VLOOKUP(B:B,Brand!B:C,2,0)</f>
        <v>aro</v>
      </c>
      <c r="H495" s="41" t="s">
        <v>4433</v>
      </c>
      <c r="I495" s="41" t="s">
        <v>4434</v>
      </c>
      <c r="J495" s="41" t="s">
        <v>5216</v>
      </c>
      <c r="K495" s="41" t="s">
        <v>5217</v>
      </c>
      <c r="L495" s="41">
        <v>1000</v>
      </c>
      <c r="M495" s="41" t="s">
        <v>83</v>
      </c>
      <c r="N495" s="41" t="str">
        <f>VLOOKUP(M:M,Unit!B:C,2,0)</f>
        <v>g</v>
      </c>
      <c r="O495" s="41" t="s">
        <v>67</v>
      </c>
      <c r="P495" s="41">
        <v>10</v>
      </c>
      <c r="Q495" s="41" t="s">
        <v>179</v>
      </c>
      <c r="R495" s="41" t="str">
        <f>VLOOKUP(Q:Q,Unit!B:D,2,0)</f>
        <v>pack</v>
      </c>
      <c r="S495" s="41" t="s">
        <v>75</v>
      </c>
      <c r="T495" s="41" t="str">
        <f>VLOOKUP(S:S,Promo!B:D,2,0)</f>
        <v>Promo EN</v>
      </c>
      <c r="X495" s="41">
        <v>1100</v>
      </c>
      <c r="AB495" s="41" t="s">
        <v>91</v>
      </c>
      <c r="AG495" s="41" t="s">
        <v>71</v>
      </c>
      <c r="AH495" s="41" t="s">
        <v>71</v>
      </c>
      <c r="AI495" s="41" t="s">
        <v>71</v>
      </c>
      <c r="AJ495" s="41" t="s">
        <v>71</v>
      </c>
      <c r="AK495" s="41" t="s">
        <v>71</v>
      </c>
      <c r="AL495" s="41" t="s">
        <v>71</v>
      </c>
      <c r="BS495" s="41" t="s">
        <v>72</v>
      </c>
      <c r="BT495" s="41" t="s">
        <v>72</v>
      </c>
      <c r="BW495" s="41" t="s">
        <v>72</v>
      </c>
      <c r="BX495" s="41">
        <f>VLOOKUP(B:B,Brand!B:D,3,0)</f>
        <v>692</v>
      </c>
      <c r="BY495" s="41">
        <f>VLOOKUP(M:M,Unit!B:D,3,0)</f>
        <v>1</v>
      </c>
      <c r="BZ495" s="41">
        <f>VLOOKUP(S:S,Promo!B:D,3,0)</f>
        <v>0</v>
      </c>
    </row>
    <row r="496" spans="1:78" s="41" customFormat="1" ht="15.75" customHeight="1">
      <c r="A496" s="41">
        <v>101553</v>
      </c>
      <c r="B496" s="41" t="s">
        <v>97</v>
      </c>
      <c r="C496" s="65" t="str">
        <f>VLOOKUP(B:B,Brand!B:C,2,0)</f>
        <v>aro</v>
      </c>
      <c r="H496" s="41" t="s">
        <v>4435</v>
      </c>
      <c r="I496" s="41" t="s">
        <v>4436</v>
      </c>
      <c r="J496" s="41" t="s">
        <v>5218</v>
      </c>
      <c r="K496" s="41" t="s">
        <v>5219</v>
      </c>
      <c r="L496" s="41">
        <v>1000</v>
      </c>
      <c r="M496" s="41" t="s">
        <v>83</v>
      </c>
      <c r="N496" s="41" t="str">
        <f>VLOOKUP(M:M,Unit!B:C,2,0)</f>
        <v>g</v>
      </c>
      <c r="O496" s="41" t="s">
        <v>67</v>
      </c>
      <c r="P496" s="41">
        <v>1</v>
      </c>
      <c r="Q496" s="41" t="s">
        <v>179</v>
      </c>
      <c r="R496" s="41" t="str">
        <f>VLOOKUP(Q:Q,Unit!B:D,2,0)</f>
        <v>pack</v>
      </c>
      <c r="S496" s="41" t="s">
        <v>75</v>
      </c>
      <c r="T496" s="41" t="str">
        <f>VLOOKUP(S:S,Promo!B:D,2,0)</f>
        <v>Promo EN</v>
      </c>
      <c r="W496" s="41">
        <v>135</v>
      </c>
      <c r="X496" s="41">
        <v>129</v>
      </c>
      <c r="AB496" s="41" t="s">
        <v>91</v>
      </c>
      <c r="AG496" s="41" t="s">
        <v>71</v>
      </c>
      <c r="AH496" s="41" t="s">
        <v>71</v>
      </c>
      <c r="AI496" s="41" t="s">
        <v>71</v>
      </c>
      <c r="AJ496" s="41" t="s">
        <v>71</v>
      </c>
      <c r="AK496" s="41" t="s">
        <v>71</v>
      </c>
      <c r="AL496" s="41" t="s">
        <v>71</v>
      </c>
      <c r="BS496" s="41" t="s">
        <v>2058</v>
      </c>
      <c r="BT496" s="41" t="s">
        <v>72</v>
      </c>
      <c r="BW496" s="41" t="s">
        <v>72</v>
      </c>
      <c r="BX496" s="41">
        <f>VLOOKUP(B:B,Brand!B:D,3,0)</f>
        <v>692</v>
      </c>
      <c r="BY496" s="41">
        <f>VLOOKUP(M:M,Unit!B:D,3,0)</f>
        <v>1</v>
      </c>
      <c r="BZ496" s="41">
        <f>VLOOKUP(S:S,Promo!B:D,3,0)</f>
        <v>0</v>
      </c>
    </row>
    <row r="497" spans="1:78" s="41" customFormat="1" ht="15.75" customHeight="1">
      <c r="A497" s="41">
        <v>101554</v>
      </c>
      <c r="B497" s="41" t="s">
        <v>97</v>
      </c>
      <c r="C497" s="65" t="str">
        <f>VLOOKUP(B:B,Brand!B:C,2,0)</f>
        <v>aro</v>
      </c>
      <c r="H497" s="41" t="s">
        <v>4437</v>
      </c>
      <c r="I497" s="41" t="s">
        <v>4438</v>
      </c>
      <c r="J497" s="41" t="s">
        <v>5220</v>
      </c>
      <c r="K497" s="41" t="s">
        <v>5221</v>
      </c>
      <c r="L497" s="41">
        <v>1000</v>
      </c>
      <c r="M497" s="41" t="s">
        <v>83</v>
      </c>
      <c r="N497" s="41" t="str">
        <f>VLOOKUP(M:M,Unit!B:C,2,0)</f>
        <v>g</v>
      </c>
      <c r="O497" s="41" t="s">
        <v>67</v>
      </c>
      <c r="P497" s="41">
        <v>1</v>
      </c>
      <c r="Q497" s="41" t="s">
        <v>179</v>
      </c>
      <c r="R497" s="41" t="str">
        <f>VLOOKUP(Q:Q,Unit!B:D,2,0)</f>
        <v>pack</v>
      </c>
      <c r="S497" s="41" t="s">
        <v>75</v>
      </c>
      <c r="T497" s="41" t="str">
        <f>VLOOKUP(S:S,Promo!B:D,2,0)</f>
        <v>Promo EN</v>
      </c>
      <c r="W497" s="41">
        <v>135</v>
      </c>
      <c r="X497" s="41">
        <v>129</v>
      </c>
      <c r="AB497" s="41" t="s">
        <v>91</v>
      </c>
      <c r="AG497" s="41" t="s">
        <v>71</v>
      </c>
      <c r="AH497" s="41" t="s">
        <v>71</v>
      </c>
      <c r="AI497" s="41" t="s">
        <v>71</v>
      </c>
      <c r="AJ497" s="41" t="s">
        <v>71</v>
      </c>
      <c r="AK497" s="41" t="s">
        <v>71</v>
      </c>
      <c r="AL497" s="41" t="s">
        <v>71</v>
      </c>
      <c r="BS497" s="41" t="s">
        <v>2058</v>
      </c>
      <c r="BT497" s="41" t="s">
        <v>72</v>
      </c>
      <c r="BW497" s="41" t="s">
        <v>72</v>
      </c>
      <c r="BX497" s="41">
        <f>VLOOKUP(B:B,Brand!B:D,3,0)</f>
        <v>692</v>
      </c>
      <c r="BY497" s="41">
        <f>VLOOKUP(M:M,Unit!B:D,3,0)</f>
        <v>1</v>
      </c>
      <c r="BZ497" s="41">
        <f>VLOOKUP(S:S,Promo!B:D,3,0)</f>
        <v>0</v>
      </c>
    </row>
    <row r="498" spans="1:78" s="41" customFormat="1" ht="15.75" customHeight="1">
      <c r="A498" s="41">
        <v>104736</v>
      </c>
      <c r="H498" s="41" t="s">
        <v>4450</v>
      </c>
      <c r="I498" s="41" t="s">
        <v>4451</v>
      </c>
      <c r="J498" s="65" t="str">
        <f>TRIM(CONCATENATE(B498," ",H498," ",L498," ",M498," ",O498,P498," ",Q498))</f>
        <v>ร่มสนามไนล่อน ปรับเอียงได้ 1.8 ม. 36 น. 1 คัน x1 ชิ้น</v>
      </c>
      <c r="K498" s="80" t="str">
        <f>TRIM(CONCATENATE(C498," ",I498," ",L498," ",N498," ",O498,P498," ",R498))</f>
        <v>PICNIC UMBRELLAS 1.8 M. 36" 1 each x1 pc</v>
      </c>
      <c r="L498" s="41">
        <v>1</v>
      </c>
      <c r="M498" s="41" t="s">
        <v>1810</v>
      </c>
      <c r="N498" s="41" t="str">
        <f>VLOOKUP(M:M,Unit!B:C,2,0)</f>
        <v>each</v>
      </c>
      <c r="O498" s="41" t="s">
        <v>67</v>
      </c>
      <c r="P498" s="41">
        <v>1</v>
      </c>
      <c r="Q498" s="41" t="s">
        <v>68</v>
      </c>
      <c r="R498" s="41" t="str">
        <f>VLOOKUP(Q:Q,Unit!B:D,2,0)</f>
        <v>pc</v>
      </c>
      <c r="S498" s="41" t="s">
        <v>75</v>
      </c>
      <c r="T498" s="41" t="str">
        <f>VLOOKUP(S:S,Promo!B:D,2,0)</f>
        <v>Promo EN</v>
      </c>
      <c r="W498" s="41">
        <v>399</v>
      </c>
      <c r="X498" s="41">
        <v>299</v>
      </c>
      <c r="AB498" s="41" t="s">
        <v>2056</v>
      </c>
      <c r="AF498" s="41" t="s">
        <v>3373</v>
      </c>
      <c r="AG498" s="41" t="s">
        <v>71</v>
      </c>
      <c r="AH498" s="41" t="s">
        <v>71</v>
      </c>
      <c r="AI498" s="41" t="s">
        <v>71</v>
      </c>
      <c r="AJ498" s="41" t="s">
        <v>71</v>
      </c>
      <c r="AK498" s="41" t="s">
        <v>71</v>
      </c>
      <c r="AL498" s="41" t="s">
        <v>71</v>
      </c>
      <c r="AS498" s="41" t="s">
        <v>4452</v>
      </c>
      <c r="AT498" s="41" t="s">
        <v>4453</v>
      </c>
      <c r="BS498" s="41" t="s">
        <v>2058</v>
      </c>
      <c r="BT498" s="41" t="s">
        <v>72</v>
      </c>
      <c r="BW498" s="41" t="s">
        <v>72</v>
      </c>
      <c r="BY498" s="41">
        <f>VLOOKUP(M:M,Unit!B:D,3,0)</f>
        <v>32</v>
      </c>
      <c r="BZ498" s="41">
        <f>VLOOKUP(S:S,Promo!B:D,3,0)</f>
        <v>0</v>
      </c>
    </row>
    <row r="499" spans="1:78" s="41" customFormat="1" ht="15.75" customHeight="1">
      <c r="A499" s="41">
        <v>88920</v>
      </c>
      <c r="H499" s="41" t="s">
        <v>4456</v>
      </c>
      <c r="I499" s="41" t="s">
        <v>4457</v>
      </c>
      <c r="J499" s="65" t="str">
        <f>TRIM(CONCATENATE(B499," ",H499," ",L499," ",M499," ",O499,P499," ",Q499))</f>
        <v>ร่มสนามผ้า UV สีพื้น 1.8 ม. 36 น. 1 คัน x1 ชิ้น</v>
      </c>
      <c r="K499" s="80" t="str">
        <f>TRIM(CONCATENATE(C499," ",I499," ",L499," ",N499," ",O499,P499," ",R499))</f>
        <v>UV UMBRELLA 1.8 M. 36" 1 each x1 pc</v>
      </c>
      <c r="L499" s="41">
        <v>1</v>
      </c>
      <c r="M499" s="41" t="s">
        <v>1810</v>
      </c>
      <c r="N499" s="41" t="str">
        <f>VLOOKUP(M:M,Unit!B:C,2,0)</f>
        <v>each</v>
      </c>
      <c r="O499" s="41" t="s">
        <v>67</v>
      </c>
      <c r="P499" s="41">
        <v>1</v>
      </c>
      <c r="Q499" s="41" t="s">
        <v>68</v>
      </c>
      <c r="R499" s="41" t="str">
        <f>VLOOKUP(Q:Q,Unit!B:D,2,0)</f>
        <v>pc</v>
      </c>
      <c r="S499" s="41" t="s">
        <v>75</v>
      </c>
      <c r="T499" s="41" t="str">
        <f>VLOOKUP(S:S,Promo!B:D,2,0)</f>
        <v>Promo EN</v>
      </c>
      <c r="W499" s="41">
        <v>399</v>
      </c>
      <c r="X499" s="41">
        <v>299</v>
      </c>
      <c r="AB499" s="41" t="s">
        <v>2056</v>
      </c>
      <c r="AF499" s="41" t="s">
        <v>3373</v>
      </c>
      <c r="AG499" s="41" t="s">
        <v>71</v>
      </c>
      <c r="AH499" s="41" t="s">
        <v>71</v>
      </c>
      <c r="AI499" s="41" t="s">
        <v>71</v>
      </c>
      <c r="AJ499" s="41" t="s">
        <v>71</v>
      </c>
      <c r="AK499" s="41" t="s">
        <v>71</v>
      </c>
      <c r="AL499" s="41" t="s">
        <v>71</v>
      </c>
      <c r="AS499" s="41" t="s">
        <v>4452</v>
      </c>
      <c r="AT499" s="41" t="s">
        <v>4453</v>
      </c>
      <c r="BS499" s="41" t="s">
        <v>2058</v>
      </c>
      <c r="BT499" s="41" t="s">
        <v>72</v>
      </c>
      <c r="BW499" s="41" t="s">
        <v>72</v>
      </c>
      <c r="BY499" s="41">
        <f>VLOOKUP(M:M,Unit!B:D,3,0)</f>
        <v>32</v>
      </c>
      <c r="BZ499" s="41">
        <f>VLOOKUP(S:S,Promo!B:D,3,0)</f>
        <v>0</v>
      </c>
    </row>
    <row r="500" spans="1:78" s="41" customFormat="1" ht="15.75" customHeight="1">
      <c r="A500" s="41">
        <v>802947</v>
      </c>
      <c r="B500" s="41" t="s">
        <v>438</v>
      </c>
      <c r="C500" s="65" t="str">
        <f>VLOOKUP(B:B,Brand!B:C,2,0)</f>
        <v>Sunsilk</v>
      </c>
      <c r="H500" s="41" t="s">
        <v>4496</v>
      </c>
      <c r="I500" s="41" t="s">
        <v>4497</v>
      </c>
      <c r="J500" s="41" t="s">
        <v>5240</v>
      </c>
      <c r="K500" s="41" t="s">
        <v>5241</v>
      </c>
      <c r="L500" s="41">
        <v>60</v>
      </c>
      <c r="M500" s="41" t="s">
        <v>66</v>
      </c>
      <c r="N500" s="41" t="str">
        <f>VLOOKUP(M:M,Unit!B:C,2,0)</f>
        <v>ml</v>
      </c>
      <c r="O500" s="41" t="s">
        <v>67</v>
      </c>
      <c r="P500" s="41">
        <v>6</v>
      </c>
      <c r="Q500" s="41" t="s">
        <v>95</v>
      </c>
      <c r="R500" s="41" t="str">
        <f>VLOOKUP(Q:Q,Unit!B:D,2,0)</f>
        <v>bottle</v>
      </c>
      <c r="S500" s="41" t="s">
        <v>75</v>
      </c>
      <c r="T500" s="41" t="str">
        <f>VLOOKUP(S:S,Promo!B:D,2,0)</f>
        <v>Promo EN</v>
      </c>
      <c r="X500" s="41">
        <v>95</v>
      </c>
      <c r="AB500" s="41" t="s">
        <v>91</v>
      </c>
      <c r="AF500" s="41" t="s">
        <v>3373</v>
      </c>
      <c r="AG500" s="41" t="s">
        <v>71</v>
      </c>
      <c r="AH500" s="41" t="s">
        <v>71</v>
      </c>
      <c r="AI500" s="41" t="s">
        <v>71</v>
      </c>
      <c r="AJ500" s="41" t="s">
        <v>71</v>
      </c>
      <c r="AK500" s="41" t="s">
        <v>71</v>
      </c>
      <c r="AL500" s="41" t="s">
        <v>71</v>
      </c>
      <c r="AP500" s="41" t="s">
        <v>4498</v>
      </c>
      <c r="AQ500" s="41" t="s">
        <v>2104</v>
      </c>
      <c r="AR500" s="41" t="s">
        <v>2162</v>
      </c>
      <c r="BS500" s="41" t="s">
        <v>2058</v>
      </c>
      <c r="BT500" s="41" t="s">
        <v>72</v>
      </c>
      <c r="BW500" s="41" t="s">
        <v>72</v>
      </c>
      <c r="BX500" s="41">
        <f>VLOOKUP(B:B,Brand!B:D,3,0)</f>
        <v>151</v>
      </c>
      <c r="BY500" s="41">
        <f>VLOOKUP(M:M,Unit!B:D,3,0)</f>
        <v>4</v>
      </c>
      <c r="BZ500" s="41">
        <f>VLOOKUP(S:S,Promo!B:D,3,0)</f>
        <v>0</v>
      </c>
    </row>
    <row r="501" spans="1:78" s="41" customFormat="1" ht="15.75" customHeight="1">
      <c r="A501" s="41">
        <v>802952</v>
      </c>
      <c r="B501" s="41" t="s">
        <v>438</v>
      </c>
      <c r="C501" s="65" t="str">
        <f>VLOOKUP(B:B,Brand!B:C,2,0)</f>
        <v>Sunsilk</v>
      </c>
      <c r="H501" s="41" t="s">
        <v>4499</v>
      </c>
      <c r="I501" s="41" t="s">
        <v>4500</v>
      </c>
      <c r="J501" s="41" t="s">
        <v>5242</v>
      </c>
      <c r="K501" s="41" t="s">
        <v>5243</v>
      </c>
      <c r="L501" s="41">
        <v>70</v>
      </c>
      <c r="M501" s="41" t="s">
        <v>66</v>
      </c>
      <c r="N501" s="41" t="str">
        <f>VLOOKUP(M:M,Unit!B:C,2,0)</f>
        <v>ml</v>
      </c>
      <c r="O501" s="41" t="s">
        <v>67</v>
      </c>
      <c r="P501" s="41">
        <v>6</v>
      </c>
      <c r="Q501" s="41" t="s">
        <v>95</v>
      </c>
      <c r="R501" s="41" t="str">
        <f>VLOOKUP(Q:Q,Unit!B:D,2,0)</f>
        <v>bottle</v>
      </c>
      <c r="S501" s="41" t="s">
        <v>75</v>
      </c>
      <c r="T501" s="41" t="str">
        <f>VLOOKUP(S:S,Promo!B:D,2,0)</f>
        <v>Promo EN</v>
      </c>
      <c r="X501" s="41">
        <v>96</v>
      </c>
      <c r="AB501" s="41" t="s">
        <v>91</v>
      </c>
      <c r="AG501" s="41" t="s">
        <v>71</v>
      </c>
      <c r="AH501" s="41" t="s">
        <v>71</v>
      </c>
      <c r="AI501" s="41" t="s">
        <v>71</v>
      </c>
      <c r="AJ501" s="41" t="s">
        <v>71</v>
      </c>
      <c r="AK501" s="41" t="s">
        <v>71</v>
      </c>
      <c r="AL501" s="41" t="s">
        <v>71</v>
      </c>
      <c r="AP501" s="41" t="s">
        <v>4498</v>
      </c>
      <c r="AQ501" s="41" t="s">
        <v>3672</v>
      </c>
      <c r="AR501" s="41" t="s">
        <v>2167</v>
      </c>
      <c r="BS501" s="41" t="s">
        <v>2058</v>
      </c>
      <c r="BT501" s="41" t="s">
        <v>72</v>
      </c>
      <c r="BW501" s="41" t="s">
        <v>72</v>
      </c>
      <c r="BX501" s="41">
        <f>VLOOKUP(B:B,Brand!B:D,3,0)</f>
        <v>151</v>
      </c>
      <c r="BY501" s="41">
        <f>VLOOKUP(M:M,Unit!B:D,3,0)</f>
        <v>4</v>
      </c>
      <c r="BZ501" s="41">
        <f>VLOOKUP(S:S,Promo!B:D,3,0)</f>
        <v>0</v>
      </c>
    </row>
    <row r="502" spans="1:78" s="41" customFormat="1" ht="15.75" customHeight="1">
      <c r="A502" s="41">
        <v>118134</v>
      </c>
      <c r="B502" s="41" t="s">
        <v>1061</v>
      </c>
      <c r="C502" s="65" t="str">
        <f>VLOOKUP(B:B,Brand!B:C,2,0)</f>
        <v>LUX</v>
      </c>
      <c r="H502" s="41" t="s">
        <v>4501</v>
      </c>
      <c r="I502" s="41" t="s">
        <v>4502</v>
      </c>
      <c r="J502" s="65" t="str">
        <f>TRIM(CONCATENATE(B502," ",H502," ",L502," ",M502," ",O502,P502," ",Q502))</f>
        <v>ลักส์ สบู่ก้อน สีชมพู 55 กรัม x6 ชิ้น</v>
      </c>
      <c r="K502" s="80" t="str">
        <f>TRIM(CONCATENATE(C502," ",I502," ",L502," ",N502," ",O502,P502," ",R502))</f>
        <v>LUX BAR SOAP PINK 55 g x6 pc</v>
      </c>
      <c r="L502" s="41">
        <v>55</v>
      </c>
      <c r="M502" s="41" t="s">
        <v>83</v>
      </c>
      <c r="N502" s="41" t="str">
        <f>VLOOKUP(M:M,Unit!B:C,2,0)</f>
        <v>g</v>
      </c>
      <c r="O502" s="41" t="s">
        <v>67</v>
      </c>
      <c r="P502" s="41">
        <v>6</v>
      </c>
      <c r="Q502" s="41" t="s">
        <v>68</v>
      </c>
      <c r="R502" s="41" t="str">
        <f>VLOOKUP(Q:Q,Unit!B:D,2,0)</f>
        <v>pc</v>
      </c>
      <c r="S502" s="41" t="s">
        <v>75</v>
      </c>
      <c r="T502" s="41" t="str">
        <f>VLOOKUP(S:S,Promo!B:D,2,0)</f>
        <v>Promo EN</v>
      </c>
      <c r="X502" s="41">
        <v>33</v>
      </c>
      <c r="AB502" s="41" t="s">
        <v>91</v>
      </c>
      <c r="AG502" s="41" t="s">
        <v>71</v>
      </c>
      <c r="AH502" s="41" t="s">
        <v>71</v>
      </c>
      <c r="AI502" s="41" t="s">
        <v>71</v>
      </c>
      <c r="AJ502" s="41" t="s">
        <v>71</v>
      </c>
      <c r="AK502" s="41" t="s">
        <v>71</v>
      </c>
      <c r="AL502" s="41" t="s">
        <v>71</v>
      </c>
      <c r="AQ502" s="41" t="s">
        <v>2104</v>
      </c>
      <c r="AR502" s="41" t="s">
        <v>2162</v>
      </c>
      <c r="BS502" s="41" t="s">
        <v>2058</v>
      </c>
      <c r="BT502" s="41" t="s">
        <v>72</v>
      </c>
      <c r="BW502" s="41" t="s">
        <v>72</v>
      </c>
      <c r="BX502" s="41">
        <f>VLOOKUP(B:B,Brand!B:D,3,0)</f>
        <v>568</v>
      </c>
      <c r="BY502" s="41">
        <f>VLOOKUP(M:M,Unit!B:D,3,0)</f>
        <v>1</v>
      </c>
      <c r="BZ502" s="41">
        <f>VLOOKUP(S:S,Promo!B:D,3,0)</f>
        <v>0</v>
      </c>
    </row>
    <row r="503" spans="1:78" s="41" customFormat="1" ht="15.75" customHeight="1">
      <c r="A503" s="41">
        <v>117945</v>
      </c>
      <c r="B503" s="41" t="s">
        <v>1061</v>
      </c>
      <c r="C503" s="65" t="str">
        <f>VLOOKUP(B:B,Brand!B:C,2,0)</f>
        <v>LUX</v>
      </c>
      <c r="H503" s="41" t="s">
        <v>4501</v>
      </c>
      <c r="I503" s="41" t="s">
        <v>4502</v>
      </c>
      <c r="J503" s="65" t="str">
        <f>TRIM(CONCATENATE(B503," ",H503," ",L503," ",M503," ",O503,P503," ",Q503))</f>
        <v>ลักส์ สบู่ก้อน สีชมพู 75 กรัม x4 ชิ้น</v>
      </c>
      <c r="K503" s="80" t="str">
        <f>TRIM(CONCATENATE(C503," ",I503," ",L503," ",N503," ",O503,P503," ",R503))</f>
        <v>LUX BAR SOAP PINK 75 g x4 pc</v>
      </c>
      <c r="L503" s="41">
        <v>75</v>
      </c>
      <c r="M503" s="41" t="s">
        <v>83</v>
      </c>
      <c r="N503" s="41" t="str">
        <f>VLOOKUP(M:M,Unit!B:C,2,0)</f>
        <v>g</v>
      </c>
      <c r="O503" s="41" t="s">
        <v>67</v>
      </c>
      <c r="P503" s="41">
        <v>4</v>
      </c>
      <c r="Q503" s="41" t="s">
        <v>68</v>
      </c>
      <c r="R503" s="41" t="str">
        <f>VLOOKUP(Q:Q,Unit!B:D,2,0)</f>
        <v>pc</v>
      </c>
      <c r="S503" s="41" t="s">
        <v>75</v>
      </c>
      <c r="T503" s="41" t="str">
        <f>VLOOKUP(S:S,Promo!B:D,2,0)</f>
        <v>Promo EN</v>
      </c>
      <c r="X503" s="41">
        <v>39</v>
      </c>
      <c r="AB503" s="41" t="s">
        <v>91</v>
      </c>
      <c r="AG503" s="41" t="s">
        <v>71</v>
      </c>
      <c r="AH503" s="41" t="s">
        <v>71</v>
      </c>
      <c r="AI503" s="41" t="s">
        <v>71</v>
      </c>
      <c r="AJ503" s="41" t="s">
        <v>71</v>
      </c>
      <c r="AK503" s="41" t="s">
        <v>71</v>
      </c>
      <c r="AL503" s="41" t="s">
        <v>71</v>
      </c>
      <c r="BS503" s="41" t="s">
        <v>2058</v>
      </c>
      <c r="BT503" s="41" t="s">
        <v>72</v>
      </c>
      <c r="BW503" s="41" t="s">
        <v>72</v>
      </c>
      <c r="BX503" s="41">
        <f>VLOOKUP(B:B,Brand!B:D,3,0)</f>
        <v>568</v>
      </c>
      <c r="BY503" s="41">
        <f>VLOOKUP(M:M,Unit!B:D,3,0)</f>
        <v>1</v>
      </c>
      <c r="BZ503" s="41">
        <f>VLOOKUP(S:S,Promo!B:D,3,0)</f>
        <v>0</v>
      </c>
    </row>
  </sheetData>
  <dataConsolidate/>
  <mergeCells count="5">
    <mergeCell ref="BX1:BZ1"/>
    <mergeCell ref="E1:G1"/>
    <mergeCell ref="AG1:AL1"/>
    <mergeCell ref="AQ1:BS1"/>
    <mergeCell ref="BT1:BW1"/>
  </mergeCells>
  <pageMargins left="0" right="0" top="0" bottom="0" header="0" footer="0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00"/>
  <sheetViews>
    <sheetView workbookViewId="0">
      <selection activeCell="C4" sqref="C4"/>
    </sheetView>
  </sheetViews>
  <sheetFormatPr defaultRowHeight="12.75"/>
  <cols>
    <col min="1" max="1" width="7" bestFit="1" customWidth="1"/>
    <col min="2" max="2" width="24.85546875" bestFit="1" customWidth="1"/>
  </cols>
  <sheetData>
    <row r="1" spans="1:2">
      <c r="A1">
        <v>101554</v>
      </c>
      <c r="B1" t="s">
        <v>5331</v>
      </c>
    </row>
    <row r="2" spans="1:2">
      <c r="A2">
        <v>104736</v>
      </c>
      <c r="B2" t="s">
        <v>5332</v>
      </c>
    </row>
    <row r="3" spans="1:2">
      <c r="A3">
        <v>88920</v>
      </c>
      <c r="B3" t="s">
        <v>5333</v>
      </c>
    </row>
    <row r="4" spans="1:2">
      <c r="A4">
        <v>802947</v>
      </c>
      <c r="B4" t="s">
        <v>5334</v>
      </c>
    </row>
    <row r="5" spans="1:2">
      <c r="A5">
        <v>802952</v>
      </c>
      <c r="B5" t="s">
        <v>5335</v>
      </c>
    </row>
    <row r="6" spans="1:2">
      <c r="A6">
        <v>118134</v>
      </c>
      <c r="B6" t="s">
        <v>5336</v>
      </c>
    </row>
    <row r="7" spans="1:2">
      <c r="A7">
        <v>117945</v>
      </c>
      <c r="B7" t="s">
        <v>5337</v>
      </c>
    </row>
    <row r="8" spans="1:2">
      <c r="A8">
        <v>135026</v>
      </c>
      <c r="B8" t="s">
        <v>5338</v>
      </c>
    </row>
    <row r="9" spans="1:2">
      <c r="A9">
        <v>800378</v>
      </c>
      <c r="B9" t="s">
        <v>5339</v>
      </c>
    </row>
    <row r="10" spans="1:2">
      <c r="A10">
        <v>237450</v>
      </c>
      <c r="B10" t="s">
        <v>5340</v>
      </c>
    </row>
    <row r="11" spans="1:2">
      <c r="A11">
        <v>770276</v>
      </c>
      <c r="B11" t="s">
        <v>5341</v>
      </c>
    </row>
    <row r="12" spans="1:2">
      <c r="A12">
        <v>628537</v>
      </c>
      <c r="B12" t="s">
        <v>5342</v>
      </c>
    </row>
    <row r="13" spans="1:2">
      <c r="A13">
        <v>130754</v>
      </c>
      <c r="B13" t="s">
        <v>5343</v>
      </c>
    </row>
    <row r="14" spans="1:2">
      <c r="A14">
        <v>130760</v>
      </c>
      <c r="B14" t="s">
        <v>5344</v>
      </c>
    </row>
    <row r="15" spans="1:2">
      <c r="A15">
        <v>187441</v>
      </c>
      <c r="B15" t="s">
        <v>5345</v>
      </c>
    </row>
    <row r="16" spans="1:2">
      <c r="A16">
        <v>161846</v>
      </c>
      <c r="B16" t="s">
        <v>5346</v>
      </c>
    </row>
    <row r="17" spans="1:2">
      <c r="A17">
        <v>118362</v>
      </c>
      <c r="B17" t="s">
        <v>5347</v>
      </c>
    </row>
    <row r="18" spans="1:2">
      <c r="A18">
        <v>149447</v>
      </c>
      <c r="B18" t="s">
        <v>5348</v>
      </c>
    </row>
    <row r="19" spans="1:2">
      <c r="A19">
        <v>227090</v>
      </c>
      <c r="B19" t="s">
        <v>5349</v>
      </c>
    </row>
    <row r="20" spans="1:2">
      <c r="A20">
        <v>118707</v>
      </c>
      <c r="B20" t="s">
        <v>5350</v>
      </c>
    </row>
    <row r="21" spans="1:2">
      <c r="A21">
        <v>129000</v>
      </c>
      <c r="B21" t="s">
        <v>5351</v>
      </c>
    </row>
    <row r="22" spans="1:2">
      <c r="A22">
        <v>129001</v>
      </c>
      <c r="B22" t="s">
        <v>5352</v>
      </c>
    </row>
    <row r="23" spans="1:2">
      <c r="A23">
        <v>47203</v>
      </c>
      <c r="B23" t="s">
        <v>5353</v>
      </c>
    </row>
    <row r="24" spans="1:2">
      <c r="A24">
        <v>107444</v>
      </c>
      <c r="B24" t="s">
        <v>5354</v>
      </c>
    </row>
    <row r="25" spans="1:2">
      <c r="A25">
        <v>173965</v>
      </c>
      <c r="B25" t="s">
        <v>5355</v>
      </c>
    </row>
    <row r="26" spans="1:2">
      <c r="A26">
        <v>173967</v>
      </c>
      <c r="B26" t="s">
        <v>5356</v>
      </c>
    </row>
    <row r="27" spans="1:2">
      <c r="A27">
        <v>101555</v>
      </c>
      <c r="B27" t="s">
        <v>5357</v>
      </c>
    </row>
    <row r="28" spans="1:2">
      <c r="A28">
        <v>135231</v>
      </c>
      <c r="B28" t="s">
        <v>5358</v>
      </c>
    </row>
    <row r="29" spans="1:2">
      <c r="A29">
        <v>135232</v>
      </c>
      <c r="B29" t="s">
        <v>5359</v>
      </c>
    </row>
    <row r="30" spans="1:2">
      <c r="A30">
        <v>135228</v>
      </c>
      <c r="B30" t="s">
        <v>5360</v>
      </c>
    </row>
    <row r="31" spans="1:2">
      <c r="A31">
        <v>135229</v>
      </c>
      <c r="B31" t="s">
        <v>5361</v>
      </c>
    </row>
    <row r="32" spans="1:2">
      <c r="A32">
        <v>133737</v>
      </c>
      <c r="B32" t="s">
        <v>5362</v>
      </c>
    </row>
    <row r="33" spans="1:2">
      <c r="A33">
        <v>188485</v>
      </c>
      <c r="B33" t="s">
        <v>5363</v>
      </c>
    </row>
    <row r="34" spans="1:2">
      <c r="A34">
        <v>147380</v>
      </c>
      <c r="B34" t="s">
        <v>5364</v>
      </c>
    </row>
    <row r="35" spans="1:2">
      <c r="A35">
        <v>808580</v>
      </c>
      <c r="B35" t="s">
        <v>5365</v>
      </c>
    </row>
    <row r="36" spans="1:2">
      <c r="A36">
        <v>138968</v>
      </c>
      <c r="B36" t="s">
        <v>5366</v>
      </c>
    </row>
    <row r="37" spans="1:2">
      <c r="A37">
        <v>138930</v>
      </c>
      <c r="B37" t="s">
        <v>5367</v>
      </c>
    </row>
    <row r="38" spans="1:2">
      <c r="A38">
        <v>101553</v>
      </c>
      <c r="B38" t="s">
        <v>5368</v>
      </c>
    </row>
    <row r="39" spans="1:2">
      <c r="A39">
        <v>756132</v>
      </c>
      <c r="B39" t="s">
        <v>5369</v>
      </c>
    </row>
    <row r="40" spans="1:2">
      <c r="A40">
        <v>148798</v>
      </c>
      <c r="B40" t="s">
        <v>5370</v>
      </c>
    </row>
    <row r="41" spans="1:2">
      <c r="A41">
        <v>817583</v>
      </c>
      <c r="B41" t="s">
        <v>5371</v>
      </c>
    </row>
    <row r="42" spans="1:2">
      <c r="A42">
        <v>148929</v>
      </c>
      <c r="B42" t="s">
        <v>5372</v>
      </c>
    </row>
    <row r="43" spans="1:2">
      <c r="A43">
        <v>148930</v>
      </c>
      <c r="B43" t="s">
        <v>5373</v>
      </c>
    </row>
    <row r="44" spans="1:2">
      <c r="A44">
        <v>160365</v>
      </c>
      <c r="B44" t="s">
        <v>5374</v>
      </c>
    </row>
    <row r="45" spans="1:2">
      <c r="A45">
        <v>144591</v>
      </c>
      <c r="B45" t="s">
        <v>5375</v>
      </c>
    </row>
    <row r="46" spans="1:2">
      <c r="A46">
        <v>144758</v>
      </c>
      <c r="B46" t="s">
        <v>5376</v>
      </c>
    </row>
    <row r="47" spans="1:2">
      <c r="A47">
        <v>180864</v>
      </c>
      <c r="B47" t="s">
        <v>5377</v>
      </c>
    </row>
    <row r="48" spans="1:2">
      <c r="A48">
        <v>167622</v>
      </c>
      <c r="B48" t="s">
        <v>5378</v>
      </c>
    </row>
    <row r="49" spans="1:2">
      <c r="A49">
        <v>105328</v>
      </c>
      <c r="B49" t="s">
        <v>5379</v>
      </c>
    </row>
    <row r="50" spans="1:2">
      <c r="A50">
        <v>105329</v>
      </c>
      <c r="B50" t="s">
        <v>5380</v>
      </c>
    </row>
    <row r="51" spans="1:2">
      <c r="A51">
        <v>165217</v>
      </c>
      <c r="B51" t="s">
        <v>5381</v>
      </c>
    </row>
    <row r="52" spans="1:2">
      <c r="A52">
        <v>227026</v>
      </c>
      <c r="B52" t="s">
        <v>5382</v>
      </c>
    </row>
    <row r="53" spans="1:2">
      <c r="A53">
        <v>202025</v>
      </c>
      <c r="B53" t="s">
        <v>5383</v>
      </c>
    </row>
    <row r="54" spans="1:2">
      <c r="A54">
        <v>316602</v>
      </c>
      <c r="B54" t="s">
        <v>5384</v>
      </c>
    </row>
    <row r="55" spans="1:2">
      <c r="A55">
        <v>227025</v>
      </c>
      <c r="B55" t="s">
        <v>5385</v>
      </c>
    </row>
    <row r="56" spans="1:2">
      <c r="A56">
        <v>170291</v>
      </c>
      <c r="B56" t="s">
        <v>5386</v>
      </c>
    </row>
    <row r="57" spans="1:2">
      <c r="A57">
        <v>102206</v>
      </c>
      <c r="B57" t="s">
        <v>5387</v>
      </c>
    </row>
    <row r="58" spans="1:2">
      <c r="A58">
        <v>165867</v>
      </c>
      <c r="B58" t="s">
        <v>5388</v>
      </c>
    </row>
    <row r="59" spans="1:2">
      <c r="A59">
        <v>235994</v>
      </c>
      <c r="B59" t="s">
        <v>5389</v>
      </c>
    </row>
    <row r="60" spans="1:2">
      <c r="A60">
        <v>810412</v>
      </c>
      <c r="B60" t="s">
        <v>5390</v>
      </c>
    </row>
    <row r="61" spans="1:2">
      <c r="A61">
        <v>810413</v>
      </c>
      <c r="B61" t="s">
        <v>5391</v>
      </c>
    </row>
    <row r="62" spans="1:2">
      <c r="A62">
        <v>810414</v>
      </c>
      <c r="B62" t="s">
        <v>5392</v>
      </c>
    </row>
    <row r="63" spans="1:2">
      <c r="A63">
        <v>810415</v>
      </c>
      <c r="B63" t="s">
        <v>5393</v>
      </c>
    </row>
    <row r="64" spans="1:2">
      <c r="A64">
        <v>810416</v>
      </c>
      <c r="B64" t="s">
        <v>5394</v>
      </c>
    </row>
    <row r="65" spans="1:2">
      <c r="A65">
        <v>810417</v>
      </c>
      <c r="B65" t="s">
        <v>5395</v>
      </c>
    </row>
    <row r="66" spans="1:2">
      <c r="A66">
        <v>810418</v>
      </c>
      <c r="B66" t="s">
        <v>5396</v>
      </c>
    </row>
    <row r="67" spans="1:2">
      <c r="A67">
        <v>810419</v>
      </c>
      <c r="B67" t="s">
        <v>5397</v>
      </c>
    </row>
    <row r="68" spans="1:2">
      <c r="A68">
        <v>810420</v>
      </c>
      <c r="B68" t="s">
        <v>5398</v>
      </c>
    </row>
    <row r="69" spans="1:2">
      <c r="A69">
        <v>814334</v>
      </c>
      <c r="B69" t="s">
        <v>5399</v>
      </c>
    </row>
    <row r="70" spans="1:2">
      <c r="A70">
        <v>810422</v>
      </c>
      <c r="B70" t="s">
        <v>5400</v>
      </c>
    </row>
    <row r="71" spans="1:2">
      <c r="A71">
        <v>810423</v>
      </c>
      <c r="B71" t="s">
        <v>5401</v>
      </c>
    </row>
    <row r="72" spans="1:2">
      <c r="A72">
        <v>810424</v>
      </c>
      <c r="B72" t="s">
        <v>5402</v>
      </c>
    </row>
    <row r="73" spans="1:2">
      <c r="A73">
        <v>229772</v>
      </c>
      <c r="B73" t="s">
        <v>5403</v>
      </c>
    </row>
    <row r="74" spans="1:2">
      <c r="A74">
        <v>168639</v>
      </c>
      <c r="B74" t="s">
        <v>5404</v>
      </c>
    </row>
    <row r="75" spans="1:2">
      <c r="A75">
        <v>112881</v>
      </c>
      <c r="B75" t="s">
        <v>5405</v>
      </c>
    </row>
    <row r="76" spans="1:2">
      <c r="A76">
        <v>91624</v>
      </c>
      <c r="B76" t="s">
        <v>5406</v>
      </c>
    </row>
    <row r="77" spans="1:2">
      <c r="A77">
        <v>171790</v>
      </c>
      <c r="B77" t="s">
        <v>5407</v>
      </c>
    </row>
    <row r="78" spans="1:2">
      <c r="A78">
        <v>146642</v>
      </c>
      <c r="B78" t="s">
        <v>5408</v>
      </c>
    </row>
    <row r="79" spans="1:2">
      <c r="A79">
        <v>821151</v>
      </c>
      <c r="B79" t="s">
        <v>5409</v>
      </c>
    </row>
    <row r="80" spans="1:2">
      <c r="A80">
        <v>333981</v>
      </c>
      <c r="B80" t="s">
        <v>5410</v>
      </c>
    </row>
    <row r="81" spans="1:2">
      <c r="A81">
        <v>220354</v>
      </c>
      <c r="B81" t="s">
        <v>5411</v>
      </c>
    </row>
    <row r="82" spans="1:2">
      <c r="A82">
        <v>112863</v>
      </c>
      <c r="B82" t="s">
        <v>5412</v>
      </c>
    </row>
    <row r="83" spans="1:2">
      <c r="A83">
        <v>197584</v>
      </c>
      <c r="B83" t="s">
        <v>5413</v>
      </c>
    </row>
    <row r="84" spans="1:2">
      <c r="A84">
        <v>222187</v>
      </c>
      <c r="B84" t="s">
        <v>5414</v>
      </c>
    </row>
    <row r="85" spans="1:2">
      <c r="A85">
        <v>55198</v>
      </c>
      <c r="B85" t="s">
        <v>5415</v>
      </c>
    </row>
    <row r="86" spans="1:2">
      <c r="A86">
        <v>7462</v>
      </c>
      <c r="B86" t="s">
        <v>5416</v>
      </c>
    </row>
    <row r="87" spans="1:2">
      <c r="A87">
        <v>7618</v>
      </c>
      <c r="B87" t="s">
        <v>5417</v>
      </c>
    </row>
    <row r="88" spans="1:2">
      <c r="A88">
        <v>219518</v>
      </c>
      <c r="B88" t="s">
        <v>5418</v>
      </c>
    </row>
    <row r="89" spans="1:2">
      <c r="A89">
        <v>117713</v>
      </c>
      <c r="B89" t="s">
        <v>5419</v>
      </c>
    </row>
    <row r="90" spans="1:2">
      <c r="A90">
        <v>806603</v>
      </c>
      <c r="B90" t="s">
        <v>5420</v>
      </c>
    </row>
    <row r="91" spans="1:2">
      <c r="A91">
        <v>111952</v>
      </c>
      <c r="B91" t="s">
        <v>5421</v>
      </c>
    </row>
    <row r="92" spans="1:2">
      <c r="A92">
        <v>111718</v>
      </c>
      <c r="B92" t="s">
        <v>5422</v>
      </c>
    </row>
    <row r="93" spans="1:2">
      <c r="A93">
        <v>160355</v>
      </c>
      <c r="B93" t="s">
        <v>5423</v>
      </c>
    </row>
    <row r="94" spans="1:2">
      <c r="A94">
        <v>160341</v>
      </c>
      <c r="B94" t="s">
        <v>5424</v>
      </c>
    </row>
    <row r="95" spans="1:2">
      <c r="A95">
        <v>199233</v>
      </c>
      <c r="B95" t="s">
        <v>5425</v>
      </c>
    </row>
    <row r="96" spans="1:2">
      <c r="A96">
        <v>126779</v>
      </c>
      <c r="B96" t="s">
        <v>5426</v>
      </c>
    </row>
    <row r="97" spans="1:2">
      <c r="A97">
        <v>820677</v>
      </c>
      <c r="B97" t="s">
        <v>5427</v>
      </c>
    </row>
    <row r="98" spans="1:2">
      <c r="A98">
        <v>817651</v>
      </c>
      <c r="B98" t="s">
        <v>5428</v>
      </c>
    </row>
    <row r="99" spans="1:2">
      <c r="A99">
        <v>140215</v>
      </c>
      <c r="B99" t="s">
        <v>5429</v>
      </c>
    </row>
    <row r="100" spans="1:2">
      <c r="A100">
        <v>805176</v>
      </c>
      <c r="B100" t="s">
        <v>5430</v>
      </c>
    </row>
    <row r="101" spans="1:2">
      <c r="A101">
        <v>821184</v>
      </c>
      <c r="B101" t="s">
        <v>5431</v>
      </c>
    </row>
    <row r="102" spans="1:2">
      <c r="A102">
        <v>143699</v>
      </c>
      <c r="B102" t="s">
        <v>5432</v>
      </c>
    </row>
    <row r="103" spans="1:2">
      <c r="A103">
        <v>108814</v>
      </c>
      <c r="B103" t="s">
        <v>5433</v>
      </c>
    </row>
    <row r="104" spans="1:2">
      <c r="A104">
        <v>549718</v>
      </c>
      <c r="B104" t="s">
        <v>5434</v>
      </c>
    </row>
    <row r="105" spans="1:2">
      <c r="A105">
        <v>802616</v>
      </c>
      <c r="B105" t="s">
        <v>5435</v>
      </c>
    </row>
    <row r="106" spans="1:2">
      <c r="A106">
        <v>215798</v>
      </c>
      <c r="B106" t="s">
        <v>5436</v>
      </c>
    </row>
    <row r="107" spans="1:2">
      <c r="A107">
        <v>809961</v>
      </c>
      <c r="B107" t="s">
        <v>5437</v>
      </c>
    </row>
    <row r="108" spans="1:2">
      <c r="A108">
        <v>147866</v>
      </c>
      <c r="B108" t="s">
        <v>5438</v>
      </c>
    </row>
    <row r="109" spans="1:2">
      <c r="A109">
        <v>835172</v>
      </c>
      <c r="B109" t="s">
        <v>5439</v>
      </c>
    </row>
    <row r="110" spans="1:2">
      <c r="A110">
        <v>224003</v>
      </c>
      <c r="B110" t="s">
        <v>5440</v>
      </c>
    </row>
    <row r="111" spans="1:2">
      <c r="A111">
        <v>463619</v>
      </c>
      <c r="B111" t="s">
        <v>5441</v>
      </c>
    </row>
    <row r="112" spans="1:2">
      <c r="A112">
        <v>818088</v>
      </c>
      <c r="B112" t="s">
        <v>5442</v>
      </c>
    </row>
    <row r="113" spans="1:2">
      <c r="A113">
        <v>818635</v>
      </c>
      <c r="B113" t="s">
        <v>5443</v>
      </c>
    </row>
    <row r="114" spans="1:2">
      <c r="A114">
        <v>200072</v>
      </c>
      <c r="B114" t="s">
        <v>5444</v>
      </c>
    </row>
    <row r="115" spans="1:2">
      <c r="A115">
        <v>138804</v>
      </c>
      <c r="B115" t="s">
        <v>5445</v>
      </c>
    </row>
    <row r="116" spans="1:2">
      <c r="A116">
        <v>216333</v>
      </c>
      <c r="B116" t="s">
        <v>5446</v>
      </c>
    </row>
    <row r="117" spans="1:2">
      <c r="A117">
        <v>811575</v>
      </c>
      <c r="B117" t="s">
        <v>5447</v>
      </c>
    </row>
    <row r="118" spans="1:2">
      <c r="A118">
        <v>144958</v>
      </c>
      <c r="B118" t="s">
        <v>5448</v>
      </c>
    </row>
    <row r="119" spans="1:2">
      <c r="A119">
        <v>315991</v>
      </c>
      <c r="B119" t="s">
        <v>5449</v>
      </c>
    </row>
    <row r="120" spans="1:2">
      <c r="A120">
        <v>146114</v>
      </c>
      <c r="B120" t="s">
        <v>5450</v>
      </c>
    </row>
    <row r="121" spans="1:2">
      <c r="A121">
        <v>218732</v>
      </c>
      <c r="B121" t="s">
        <v>5451</v>
      </c>
    </row>
    <row r="122" spans="1:2">
      <c r="A122">
        <v>149864</v>
      </c>
      <c r="B122" t="s">
        <v>5452</v>
      </c>
    </row>
    <row r="123" spans="1:2">
      <c r="A123">
        <v>150522</v>
      </c>
      <c r="B123" t="s">
        <v>5453</v>
      </c>
    </row>
    <row r="124" spans="1:2">
      <c r="A124">
        <v>809830</v>
      </c>
      <c r="B124" t="s">
        <v>5454</v>
      </c>
    </row>
    <row r="125" spans="1:2">
      <c r="A125">
        <v>197876</v>
      </c>
      <c r="B125" t="s">
        <v>5455</v>
      </c>
    </row>
    <row r="126" spans="1:2">
      <c r="A126">
        <v>107109</v>
      </c>
      <c r="B126" t="s">
        <v>5456</v>
      </c>
    </row>
    <row r="127" spans="1:2">
      <c r="A127">
        <v>144533</v>
      </c>
      <c r="B127" t="s">
        <v>5457</v>
      </c>
    </row>
    <row r="128" spans="1:2">
      <c r="A128">
        <v>224330</v>
      </c>
      <c r="B128" t="s">
        <v>5458</v>
      </c>
    </row>
    <row r="129" spans="1:2">
      <c r="A129">
        <v>818783</v>
      </c>
      <c r="B129" t="s">
        <v>5459</v>
      </c>
    </row>
    <row r="130" spans="1:2">
      <c r="A130">
        <v>805991</v>
      </c>
      <c r="B130" t="s">
        <v>5460</v>
      </c>
    </row>
    <row r="131" spans="1:2">
      <c r="A131">
        <v>223670</v>
      </c>
      <c r="B131" t="s">
        <v>5461</v>
      </c>
    </row>
    <row r="132" spans="1:2">
      <c r="A132">
        <v>172957</v>
      </c>
      <c r="B132" t="s">
        <v>5462</v>
      </c>
    </row>
    <row r="133" spans="1:2">
      <c r="A133">
        <v>813197</v>
      </c>
      <c r="B133" t="s">
        <v>5463</v>
      </c>
    </row>
    <row r="134" spans="1:2">
      <c r="A134">
        <v>108704</v>
      </c>
      <c r="B134" t="s">
        <v>5464</v>
      </c>
    </row>
    <row r="135" spans="1:2">
      <c r="A135">
        <v>146503</v>
      </c>
      <c r="B135" t="s">
        <v>5465</v>
      </c>
    </row>
    <row r="136" spans="1:2">
      <c r="A136">
        <v>108064</v>
      </c>
      <c r="B136" t="s">
        <v>5466</v>
      </c>
    </row>
    <row r="137" spans="1:2">
      <c r="A137">
        <v>169521</v>
      </c>
      <c r="B137" t="s">
        <v>5467</v>
      </c>
    </row>
    <row r="138" spans="1:2">
      <c r="A138">
        <v>169552</v>
      </c>
      <c r="B138" t="s">
        <v>5468</v>
      </c>
    </row>
    <row r="139" spans="1:2">
      <c r="A139">
        <v>818139</v>
      </c>
      <c r="B139" t="s">
        <v>5469</v>
      </c>
    </row>
    <row r="140" spans="1:2">
      <c r="A140">
        <v>25870</v>
      </c>
      <c r="B140" t="s">
        <v>5470</v>
      </c>
    </row>
    <row r="141" spans="1:2">
      <c r="A141">
        <v>805412</v>
      </c>
      <c r="B141" t="s">
        <v>5471</v>
      </c>
    </row>
    <row r="142" spans="1:2">
      <c r="A142">
        <v>66378</v>
      </c>
      <c r="B142" t="s">
        <v>5472</v>
      </c>
    </row>
    <row r="143" spans="1:2">
      <c r="A143">
        <v>66534</v>
      </c>
      <c r="B143" t="s">
        <v>5473</v>
      </c>
    </row>
    <row r="144" spans="1:2">
      <c r="A144">
        <v>15093</v>
      </c>
      <c r="B144" t="s">
        <v>5474</v>
      </c>
    </row>
    <row r="145" spans="1:2">
      <c r="A145">
        <v>142131</v>
      </c>
      <c r="B145" t="s">
        <v>5475</v>
      </c>
    </row>
    <row r="146" spans="1:2">
      <c r="A146">
        <v>543205</v>
      </c>
      <c r="B146" t="s">
        <v>5476</v>
      </c>
    </row>
    <row r="147" spans="1:2">
      <c r="A147">
        <v>143703</v>
      </c>
      <c r="B147" t="s">
        <v>5477</v>
      </c>
    </row>
    <row r="148" spans="1:2">
      <c r="A148">
        <v>151099</v>
      </c>
      <c r="B148" t="s">
        <v>5478</v>
      </c>
    </row>
    <row r="149" spans="1:2">
      <c r="A149">
        <v>805839</v>
      </c>
      <c r="B149" t="s">
        <v>5479</v>
      </c>
    </row>
    <row r="150" spans="1:2">
      <c r="A150">
        <v>805840</v>
      </c>
      <c r="B150" t="s">
        <v>5480</v>
      </c>
    </row>
    <row r="151" spans="1:2">
      <c r="A151">
        <v>805841</v>
      </c>
      <c r="B151" t="s">
        <v>5481</v>
      </c>
    </row>
    <row r="152" spans="1:2">
      <c r="A152">
        <v>160301</v>
      </c>
      <c r="B152" t="s">
        <v>5482</v>
      </c>
    </row>
    <row r="153" spans="1:2">
      <c r="A153">
        <v>160296</v>
      </c>
      <c r="B153" t="s">
        <v>5483</v>
      </c>
    </row>
    <row r="154" spans="1:2">
      <c r="A154">
        <v>160288</v>
      </c>
      <c r="B154" t="s">
        <v>5484</v>
      </c>
    </row>
    <row r="155" spans="1:2">
      <c r="A155">
        <v>160294</v>
      </c>
      <c r="B155" t="s">
        <v>5485</v>
      </c>
    </row>
    <row r="156" spans="1:2">
      <c r="A156">
        <v>807878</v>
      </c>
      <c r="B156" t="s">
        <v>5486</v>
      </c>
    </row>
    <row r="157" spans="1:2">
      <c r="A157">
        <v>807876</v>
      </c>
      <c r="B157" t="s">
        <v>5487</v>
      </c>
    </row>
    <row r="158" spans="1:2">
      <c r="A158">
        <v>231291</v>
      </c>
      <c r="B158" t="s">
        <v>5488</v>
      </c>
    </row>
    <row r="159" spans="1:2">
      <c r="A159">
        <v>226277</v>
      </c>
      <c r="B159" t="s">
        <v>5489</v>
      </c>
    </row>
    <row r="160" spans="1:2">
      <c r="A160">
        <v>226278</v>
      </c>
      <c r="B160" t="s">
        <v>5490</v>
      </c>
    </row>
    <row r="161" spans="1:2">
      <c r="A161">
        <v>153958</v>
      </c>
      <c r="B161" t="s">
        <v>5491</v>
      </c>
    </row>
    <row r="162" spans="1:2">
      <c r="A162">
        <v>117819</v>
      </c>
      <c r="B162" t="s">
        <v>5492</v>
      </c>
    </row>
    <row r="163" spans="1:2">
      <c r="A163">
        <v>158284</v>
      </c>
      <c r="B163" t="s">
        <v>5493</v>
      </c>
    </row>
    <row r="164" spans="1:2">
      <c r="A164">
        <v>158283</v>
      </c>
      <c r="B164" t="s">
        <v>5494</v>
      </c>
    </row>
    <row r="165" spans="1:2">
      <c r="A165">
        <v>135025</v>
      </c>
      <c r="B165" t="s">
        <v>5495</v>
      </c>
    </row>
    <row r="166" spans="1:2">
      <c r="A166">
        <v>137733</v>
      </c>
      <c r="B166" t="s">
        <v>5496</v>
      </c>
    </row>
    <row r="167" spans="1:2">
      <c r="A167">
        <v>164559</v>
      </c>
      <c r="B167" t="s">
        <v>5497</v>
      </c>
    </row>
    <row r="168" spans="1:2">
      <c r="A168">
        <v>167902</v>
      </c>
      <c r="B168" t="s">
        <v>5498</v>
      </c>
    </row>
    <row r="169" spans="1:2">
      <c r="A169">
        <v>167903</v>
      </c>
      <c r="B169" t="s">
        <v>5499</v>
      </c>
    </row>
    <row r="170" spans="1:2">
      <c r="A170">
        <v>164560</v>
      </c>
      <c r="B170" t="s">
        <v>5500</v>
      </c>
    </row>
    <row r="171" spans="1:2">
      <c r="A171">
        <v>164561</v>
      </c>
      <c r="B171" t="s">
        <v>5501</v>
      </c>
    </row>
    <row r="172" spans="1:2">
      <c r="A172">
        <v>107213</v>
      </c>
      <c r="B172" t="s">
        <v>5502</v>
      </c>
    </row>
    <row r="173" spans="1:2">
      <c r="A173">
        <v>227074</v>
      </c>
      <c r="B173" t="s">
        <v>5503</v>
      </c>
    </row>
    <row r="174" spans="1:2">
      <c r="A174">
        <v>805326</v>
      </c>
      <c r="B174" t="s">
        <v>5504</v>
      </c>
    </row>
    <row r="175" spans="1:2">
      <c r="A175">
        <v>103059</v>
      </c>
      <c r="B175" t="s">
        <v>5505</v>
      </c>
    </row>
    <row r="176" spans="1:2">
      <c r="A176">
        <v>804458</v>
      </c>
      <c r="B176" t="s">
        <v>5506</v>
      </c>
    </row>
    <row r="177" spans="1:2">
      <c r="A177">
        <v>103517</v>
      </c>
      <c r="B177" t="s">
        <v>5507</v>
      </c>
    </row>
    <row r="178" spans="1:2">
      <c r="A178">
        <v>820874</v>
      </c>
      <c r="B178" t="s">
        <v>5508</v>
      </c>
    </row>
    <row r="179" spans="1:2">
      <c r="A179">
        <v>816769</v>
      </c>
      <c r="B179" t="s">
        <v>5509</v>
      </c>
    </row>
    <row r="180" spans="1:2">
      <c r="A180">
        <v>810293</v>
      </c>
      <c r="B180" t="s">
        <v>5510</v>
      </c>
    </row>
    <row r="181" spans="1:2">
      <c r="A181">
        <v>804457</v>
      </c>
      <c r="B181" t="s">
        <v>5511</v>
      </c>
    </row>
    <row r="182" spans="1:2">
      <c r="A182">
        <v>60515</v>
      </c>
      <c r="B182" t="s">
        <v>5512</v>
      </c>
    </row>
    <row r="183" spans="1:2">
      <c r="A183">
        <v>137578</v>
      </c>
      <c r="B183" t="s">
        <v>5513</v>
      </c>
    </row>
    <row r="184" spans="1:2">
      <c r="A184">
        <v>107677</v>
      </c>
      <c r="B184" t="s">
        <v>5514</v>
      </c>
    </row>
    <row r="185" spans="1:2">
      <c r="A185">
        <v>212471</v>
      </c>
      <c r="B185" t="s">
        <v>5515</v>
      </c>
    </row>
    <row r="186" spans="1:2">
      <c r="A186">
        <v>212474</v>
      </c>
      <c r="B186" t="s">
        <v>5516</v>
      </c>
    </row>
    <row r="187" spans="1:2">
      <c r="A187">
        <v>212473</v>
      </c>
      <c r="B187" t="s">
        <v>5517</v>
      </c>
    </row>
    <row r="188" spans="1:2">
      <c r="A188">
        <v>212526</v>
      </c>
      <c r="B188" t="s">
        <v>5518</v>
      </c>
    </row>
    <row r="189" spans="1:2">
      <c r="A189">
        <v>212475</v>
      </c>
      <c r="B189" t="s">
        <v>5519</v>
      </c>
    </row>
    <row r="190" spans="1:2">
      <c r="A190">
        <v>212503</v>
      </c>
      <c r="B190" t="s">
        <v>5520</v>
      </c>
    </row>
    <row r="191" spans="1:2">
      <c r="A191">
        <v>212477</v>
      </c>
      <c r="B191" t="s">
        <v>5521</v>
      </c>
    </row>
    <row r="192" spans="1:2">
      <c r="A192">
        <v>212476</v>
      </c>
      <c r="B192" t="s">
        <v>5522</v>
      </c>
    </row>
    <row r="193" spans="1:2">
      <c r="A193">
        <v>807174</v>
      </c>
      <c r="B193" t="s">
        <v>5523</v>
      </c>
    </row>
    <row r="194" spans="1:2">
      <c r="A194">
        <v>807173</v>
      </c>
      <c r="B194" t="s">
        <v>5524</v>
      </c>
    </row>
    <row r="195" spans="1:2">
      <c r="A195">
        <v>816772</v>
      </c>
      <c r="B195" t="s">
        <v>5525</v>
      </c>
    </row>
    <row r="196" spans="1:2">
      <c r="A196">
        <v>816773</v>
      </c>
      <c r="B196" t="s">
        <v>5526</v>
      </c>
    </row>
    <row r="197" spans="1:2">
      <c r="A197">
        <v>816774</v>
      </c>
      <c r="B197" t="s">
        <v>5527</v>
      </c>
    </row>
    <row r="198" spans="1:2">
      <c r="A198">
        <v>816775</v>
      </c>
      <c r="B198" t="s">
        <v>5528</v>
      </c>
    </row>
    <row r="199" spans="1:2">
      <c r="A199">
        <v>819252</v>
      </c>
      <c r="B199" t="s">
        <v>5529</v>
      </c>
    </row>
    <row r="200" spans="1:2">
      <c r="A200">
        <v>802691</v>
      </c>
      <c r="B200" t="s">
        <v>5530</v>
      </c>
    </row>
    <row r="201" spans="1:2">
      <c r="A201">
        <v>718614</v>
      </c>
      <c r="B201" t="s">
        <v>5531</v>
      </c>
    </row>
    <row r="202" spans="1:2">
      <c r="A202">
        <v>803217</v>
      </c>
      <c r="B202" t="s">
        <v>5532</v>
      </c>
    </row>
    <row r="203" spans="1:2">
      <c r="A203">
        <v>193560</v>
      </c>
      <c r="B203" t="s">
        <v>5533</v>
      </c>
    </row>
    <row r="204" spans="1:2">
      <c r="A204">
        <v>193561</v>
      </c>
      <c r="B204" t="s">
        <v>5534</v>
      </c>
    </row>
    <row r="205" spans="1:2">
      <c r="A205">
        <v>808033</v>
      </c>
      <c r="B205" t="s">
        <v>5535</v>
      </c>
    </row>
    <row r="206" spans="1:2">
      <c r="A206">
        <v>808034</v>
      </c>
      <c r="B206" t="s">
        <v>5536</v>
      </c>
    </row>
    <row r="207" spans="1:2">
      <c r="A207">
        <v>226304</v>
      </c>
      <c r="B207" t="s">
        <v>5537</v>
      </c>
    </row>
    <row r="208" spans="1:2">
      <c r="A208">
        <v>150345</v>
      </c>
      <c r="B208" t="s">
        <v>5538</v>
      </c>
    </row>
    <row r="209" spans="1:2">
      <c r="A209">
        <v>162038</v>
      </c>
      <c r="B209" t="s">
        <v>5539</v>
      </c>
    </row>
    <row r="210" spans="1:2">
      <c r="A210">
        <v>110649</v>
      </c>
      <c r="B210" t="s">
        <v>5540</v>
      </c>
    </row>
    <row r="211" spans="1:2">
      <c r="A211">
        <v>808308</v>
      </c>
      <c r="B211" t="s">
        <v>5541</v>
      </c>
    </row>
    <row r="212" spans="1:2">
      <c r="A212">
        <v>107176</v>
      </c>
      <c r="B212" t="s">
        <v>5542</v>
      </c>
    </row>
    <row r="213" spans="1:2">
      <c r="A213">
        <v>211380</v>
      </c>
      <c r="B213" t="s">
        <v>5543</v>
      </c>
    </row>
    <row r="214" spans="1:2">
      <c r="A214">
        <v>82069</v>
      </c>
      <c r="B214" t="s">
        <v>5544</v>
      </c>
    </row>
    <row r="215" spans="1:2">
      <c r="A215">
        <v>141722</v>
      </c>
      <c r="B215" t="s">
        <v>5545</v>
      </c>
    </row>
    <row r="216" spans="1:2">
      <c r="A216">
        <v>820070</v>
      </c>
      <c r="B216" t="s">
        <v>5546</v>
      </c>
    </row>
    <row r="217" spans="1:2">
      <c r="A217">
        <v>132409</v>
      </c>
      <c r="B217" t="s">
        <v>5547</v>
      </c>
    </row>
    <row r="218" spans="1:2">
      <c r="A218">
        <v>134114</v>
      </c>
      <c r="B218" t="s">
        <v>5548</v>
      </c>
    </row>
    <row r="219" spans="1:2">
      <c r="A219">
        <v>119757</v>
      </c>
      <c r="B219" t="s">
        <v>5549</v>
      </c>
    </row>
    <row r="220" spans="1:2">
      <c r="A220">
        <v>377507</v>
      </c>
      <c r="B220" t="s">
        <v>5550</v>
      </c>
    </row>
    <row r="221" spans="1:2">
      <c r="A221">
        <v>237494</v>
      </c>
      <c r="B221" t="s">
        <v>5551</v>
      </c>
    </row>
    <row r="222" spans="1:2">
      <c r="A222">
        <v>123287</v>
      </c>
      <c r="B222" t="s">
        <v>5552</v>
      </c>
    </row>
    <row r="223" spans="1:2">
      <c r="A223">
        <v>85358</v>
      </c>
      <c r="B223" t="s">
        <v>5553</v>
      </c>
    </row>
    <row r="224" spans="1:2">
      <c r="A224">
        <v>100867</v>
      </c>
      <c r="B224" t="s">
        <v>5554</v>
      </c>
    </row>
    <row r="225" spans="1:2">
      <c r="A225">
        <v>129445</v>
      </c>
      <c r="B225" t="s">
        <v>5555</v>
      </c>
    </row>
    <row r="226" spans="1:2">
      <c r="A226">
        <v>950794</v>
      </c>
      <c r="B226" t="s">
        <v>5556</v>
      </c>
    </row>
    <row r="227" spans="1:2">
      <c r="A227">
        <v>263458</v>
      </c>
      <c r="B227" t="s">
        <v>5557</v>
      </c>
    </row>
    <row r="228" spans="1:2">
      <c r="A228">
        <v>327132</v>
      </c>
      <c r="B228" t="s">
        <v>5558</v>
      </c>
    </row>
    <row r="229" spans="1:2">
      <c r="A229">
        <v>810871</v>
      </c>
      <c r="B229" t="s">
        <v>5559</v>
      </c>
    </row>
    <row r="230" spans="1:2">
      <c r="A230">
        <v>818145</v>
      </c>
      <c r="B230" t="s">
        <v>5560</v>
      </c>
    </row>
    <row r="231" spans="1:2">
      <c r="A231">
        <v>103571</v>
      </c>
      <c r="B231" t="s">
        <v>5561</v>
      </c>
    </row>
    <row r="232" spans="1:2">
      <c r="A232">
        <v>817679</v>
      </c>
      <c r="B232" t="s">
        <v>5562</v>
      </c>
    </row>
    <row r="233" spans="1:2">
      <c r="A233">
        <v>817678</v>
      </c>
      <c r="B233" t="s">
        <v>5563</v>
      </c>
    </row>
    <row r="234" spans="1:2">
      <c r="A234">
        <v>817675</v>
      </c>
      <c r="B234" t="s">
        <v>5564</v>
      </c>
    </row>
    <row r="235" spans="1:2">
      <c r="A235">
        <v>817677</v>
      </c>
      <c r="B235" t="s">
        <v>5565</v>
      </c>
    </row>
    <row r="236" spans="1:2">
      <c r="A236">
        <v>817674</v>
      </c>
      <c r="B236" t="s">
        <v>5566</v>
      </c>
    </row>
    <row r="237" spans="1:2">
      <c r="A237">
        <v>820861</v>
      </c>
      <c r="B237" t="s">
        <v>5567</v>
      </c>
    </row>
    <row r="238" spans="1:2">
      <c r="A238">
        <v>200606</v>
      </c>
      <c r="B238" t="s">
        <v>5568</v>
      </c>
    </row>
    <row r="239" spans="1:2">
      <c r="A239">
        <v>777580</v>
      </c>
      <c r="B239" t="s">
        <v>5569</v>
      </c>
    </row>
    <row r="240" spans="1:2">
      <c r="A240">
        <v>816945</v>
      </c>
      <c r="B240" t="s">
        <v>5570</v>
      </c>
    </row>
    <row r="241" spans="1:2">
      <c r="A241">
        <v>816946</v>
      </c>
      <c r="B241" t="s">
        <v>5571</v>
      </c>
    </row>
    <row r="242" spans="1:2">
      <c r="A242">
        <v>226869</v>
      </c>
      <c r="B242" t="s">
        <v>5572</v>
      </c>
    </row>
    <row r="243" spans="1:2">
      <c r="A243">
        <v>149524</v>
      </c>
      <c r="B243" t="s">
        <v>5573</v>
      </c>
    </row>
    <row r="244" spans="1:2">
      <c r="A244">
        <v>220247</v>
      </c>
      <c r="B244" t="s">
        <v>5574</v>
      </c>
    </row>
    <row r="245" spans="1:2">
      <c r="A245">
        <v>156414</v>
      </c>
      <c r="B245" t="s">
        <v>5575</v>
      </c>
    </row>
    <row r="246" spans="1:2">
      <c r="A246">
        <v>220635</v>
      </c>
      <c r="B246" t="s">
        <v>5576</v>
      </c>
    </row>
    <row r="247" spans="1:2">
      <c r="A247">
        <v>133007</v>
      </c>
      <c r="B247" t="s">
        <v>5577</v>
      </c>
    </row>
    <row r="248" spans="1:2">
      <c r="A248">
        <v>151931</v>
      </c>
      <c r="B248" t="s">
        <v>5578</v>
      </c>
    </row>
    <row r="249" spans="1:2">
      <c r="A249">
        <v>222436</v>
      </c>
      <c r="B249" t="s">
        <v>5579</v>
      </c>
    </row>
    <row r="250" spans="1:2">
      <c r="A250">
        <v>167430</v>
      </c>
      <c r="B250" t="s">
        <v>5580</v>
      </c>
    </row>
    <row r="251" spans="1:2">
      <c r="A251">
        <v>173978</v>
      </c>
      <c r="B251" t="s">
        <v>5581</v>
      </c>
    </row>
    <row r="252" spans="1:2">
      <c r="A252">
        <v>333715</v>
      </c>
      <c r="B252" t="s">
        <v>5582</v>
      </c>
    </row>
    <row r="253" spans="1:2">
      <c r="A253">
        <v>817722</v>
      </c>
      <c r="B253" t="s">
        <v>5583</v>
      </c>
    </row>
    <row r="254" spans="1:2">
      <c r="A254">
        <v>149949</v>
      </c>
      <c r="B254" t="s">
        <v>5584</v>
      </c>
    </row>
    <row r="255" spans="1:2">
      <c r="A255">
        <v>802119</v>
      </c>
      <c r="B255" t="s">
        <v>5585</v>
      </c>
    </row>
    <row r="256" spans="1:2">
      <c r="A256">
        <v>193888</v>
      </c>
      <c r="B256" t="s">
        <v>5586</v>
      </c>
    </row>
    <row r="257" spans="1:2">
      <c r="A257">
        <v>212649</v>
      </c>
      <c r="B257" t="s">
        <v>5587</v>
      </c>
    </row>
    <row r="258" spans="1:2">
      <c r="A258">
        <v>220274</v>
      </c>
      <c r="B258" t="s">
        <v>5588</v>
      </c>
    </row>
    <row r="259" spans="1:2">
      <c r="A259">
        <v>128839</v>
      </c>
      <c r="B259" t="s">
        <v>5589</v>
      </c>
    </row>
    <row r="260" spans="1:2">
      <c r="A260">
        <v>167668</v>
      </c>
      <c r="B260" t="s">
        <v>5590</v>
      </c>
    </row>
    <row r="261" spans="1:2">
      <c r="A261">
        <v>145360</v>
      </c>
      <c r="B261" t="s">
        <v>5591</v>
      </c>
    </row>
    <row r="262" spans="1:2">
      <c r="A262">
        <v>72943</v>
      </c>
      <c r="B262" t="s">
        <v>5592</v>
      </c>
    </row>
    <row r="263" spans="1:2">
      <c r="A263">
        <v>199804</v>
      </c>
      <c r="B263" t="s">
        <v>5593</v>
      </c>
    </row>
    <row r="264" spans="1:2">
      <c r="A264">
        <v>818994</v>
      </c>
      <c r="B264" t="s">
        <v>5594</v>
      </c>
    </row>
    <row r="265" spans="1:2">
      <c r="A265">
        <v>110626</v>
      </c>
      <c r="B265" t="s">
        <v>5595</v>
      </c>
    </row>
    <row r="266" spans="1:2">
      <c r="A266">
        <v>104878</v>
      </c>
      <c r="B266" t="s">
        <v>5596</v>
      </c>
    </row>
    <row r="267" spans="1:2">
      <c r="A267">
        <v>810275</v>
      </c>
      <c r="B267" t="s">
        <v>5597</v>
      </c>
    </row>
    <row r="268" spans="1:2">
      <c r="A268">
        <v>131990</v>
      </c>
      <c r="B268" t="s">
        <v>5598</v>
      </c>
    </row>
    <row r="269" spans="1:2">
      <c r="A269">
        <v>185636</v>
      </c>
      <c r="B269" t="s">
        <v>5599</v>
      </c>
    </row>
    <row r="270" spans="1:2">
      <c r="A270">
        <v>137283</v>
      </c>
      <c r="B270" t="s">
        <v>5600</v>
      </c>
    </row>
    <row r="271" spans="1:2">
      <c r="A271">
        <v>170547</v>
      </c>
      <c r="B271" t="s">
        <v>5601</v>
      </c>
    </row>
    <row r="272" spans="1:2">
      <c r="A272">
        <v>217512</v>
      </c>
      <c r="B272" t="s">
        <v>5602</v>
      </c>
    </row>
    <row r="273" spans="1:2">
      <c r="A273">
        <v>222644</v>
      </c>
      <c r="B273" t="s">
        <v>5603</v>
      </c>
    </row>
    <row r="274" spans="1:2">
      <c r="A274">
        <v>126776</v>
      </c>
      <c r="B274" t="s">
        <v>5604</v>
      </c>
    </row>
    <row r="275" spans="1:2">
      <c r="A275">
        <v>806600</v>
      </c>
      <c r="B275" t="s">
        <v>5605</v>
      </c>
    </row>
    <row r="276" spans="1:2">
      <c r="A276">
        <v>811737</v>
      </c>
      <c r="B276" t="s">
        <v>5606</v>
      </c>
    </row>
    <row r="277" spans="1:2">
      <c r="A277">
        <v>806593</v>
      </c>
      <c r="B277" t="s">
        <v>5607</v>
      </c>
    </row>
    <row r="278" spans="1:2">
      <c r="A278">
        <v>820067</v>
      </c>
      <c r="B278" t="s">
        <v>5608</v>
      </c>
    </row>
    <row r="279" spans="1:2">
      <c r="A279">
        <v>226164</v>
      </c>
      <c r="B279" t="s">
        <v>5609</v>
      </c>
    </row>
    <row r="280" spans="1:2">
      <c r="A280">
        <v>818363</v>
      </c>
      <c r="B280" t="s">
        <v>5610</v>
      </c>
    </row>
    <row r="281" spans="1:2">
      <c r="A281">
        <v>806596</v>
      </c>
      <c r="B281" t="s">
        <v>5611</v>
      </c>
    </row>
    <row r="282" spans="1:2">
      <c r="A282">
        <v>183082</v>
      </c>
      <c r="B282" t="s">
        <v>5612</v>
      </c>
    </row>
    <row r="283" spans="1:2">
      <c r="A283">
        <v>887705</v>
      </c>
      <c r="B283" t="s">
        <v>5613</v>
      </c>
    </row>
    <row r="284" spans="1:2">
      <c r="A284">
        <v>800643</v>
      </c>
      <c r="B284" t="s">
        <v>5614</v>
      </c>
    </row>
    <row r="285" spans="1:2">
      <c r="A285">
        <v>887640</v>
      </c>
      <c r="B285" t="s">
        <v>5615</v>
      </c>
    </row>
    <row r="286" spans="1:2">
      <c r="A286">
        <v>200556</v>
      </c>
      <c r="B286" t="s">
        <v>5616</v>
      </c>
    </row>
    <row r="287" spans="1:2">
      <c r="A287">
        <v>210389</v>
      </c>
      <c r="B287" t="s">
        <v>5617</v>
      </c>
    </row>
    <row r="288" spans="1:2">
      <c r="A288">
        <v>200550</v>
      </c>
      <c r="B288" t="s">
        <v>5618</v>
      </c>
    </row>
    <row r="289" spans="1:2">
      <c r="A289">
        <v>235091</v>
      </c>
      <c r="B289" t="s">
        <v>5619</v>
      </c>
    </row>
    <row r="290" spans="1:2">
      <c r="A290">
        <v>159892</v>
      </c>
      <c r="B290" t="s">
        <v>5620</v>
      </c>
    </row>
    <row r="291" spans="1:2">
      <c r="A291">
        <v>200498</v>
      </c>
      <c r="B291" t="s">
        <v>5621</v>
      </c>
    </row>
    <row r="292" spans="1:2">
      <c r="A292">
        <v>200553</v>
      </c>
      <c r="B292" t="s">
        <v>5622</v>
      </c>
    </row>
    <row r="293" spans="1:2">
      <c r="A293">
        <v>210385</v>
      </c>
      <c r="B293" t="s">
        <v>5623</v>
      </c>
    </row>
    <row r="294" spans="1:2">
      <c r="A294">
        <v>235056</v>
      </c>
      <c r="B294" t="s">
        <v>5624</v>
      </c>
    </row>
    <row r="295" spans="1:2">
      <c r="A295">
        <v>141176</v>
      </c>
      <c r="B295" t="s">
        <v>5625</v>
      </c>
    </row>
    <row r="296" spans="1:2">
      <c r="A296">
        <v>811815</v>
      </c>
      <c r="B296" t="s">
        <v>5626</v>
      </c>
    </row>
    <row r="297" spans="1:2">
      <c r="A297">
        <v>887627</v>
      </c>
      <c r="B297" t="s">
        <v>5627</v>
      </c>
    </row>
    <row r="298" spans="1:2">
      <c r="A298">
        <v>198281</v>
      </c>
      <c r="B298" t="s">
        <v>5628</v>
      </c>
    </row>
    <row r="299" spans="1:2">
      <c r="A299">
        <v>207547</v>
      </c>
      <c r="B299" t="s">
        <v>5629</v>
      </c>
    </row>
    <row r="300" spans="1:2">
      <c r="A300">
        <v>418587</v>
      </c>
      <c r="B300" t="s">
        <v>5630</v>
      </c>
    </row>
    <row r="301" spans="1:2">
      <c r="A301">
        <v>418613</v>
      </c>
      <c r="B301" t="s">
        <v>5631</v>
      </c>
    </row>
    <row r="302" spans="1:2">
      <c r="A302">
        <v>449072</v>
      </c>
      <c r="B302" t="s">
        <v>5632</v>
      </c>
    </row>
    <row r="303" spans="1:2">
      <c r="A303">
        <v>151450</v>
      </c>
      <c r="B303" t="s">
        <v>5633</v>
      </c>
    </row>
    <row r="304" spans="1:2">
      <c r="A304">
        <v>112895</v>
      </c>
      <c r="B304" t="s">
        <v>5634</v>
      </c>
    </row>
    <row r="305" spans="1:2">
      <c r="A305">
        <v>123822</v>
      </c>
      <c r="B305" t="s">
        <v>5635</v>
      </c>
    </row>
    <row r="306" spans="1:2">
      <c r="A306">
        <v>191371</v>
      </c>
      <c r="B306" t="s">
        <v>5636</v>
      </c>
    </row>
    <row r="307" spans="1:2">
      <c r="A307">
        <v>191311</v>
      </c>
      <c r="B307" t="s">
        <v>5637</v>
      </c>
    </row>
    <row r="308" spans="1:2">
      <c r="A308">
        <v>191308</v>
      </c>
      <c r="B308" t="s">
        <v>5638</v>
      </c>
    </row>
    <row r="309" spans="1:2">
      <c r="A309">
        <v>228726</v>
      </c>
      <c r="B309" t="s">
        <v>5639</v>
      </c>
    </row>
    <row r="310" spans="1:2">
      <c r="A310">
        <v>191352</v>
      </c>
      <c r="B310" t="s">
        <v>5640</v>
      </c>
    </row>
    <row r="311" spans="1:2">
      <c r="A311">
        <v>757861</v>
      </c>
      <c r="B311" t="s">
        <v>5641</v>
      </c>
    </row>
    <row r="312" spans="1:2">
      <c r="A312">
        <v>117817</v>
      </c>
      <c r="B312" t="s">
        <v>5642</v>
      </c>
    </row>
    <row r="313" spans="1:2">
      <c r="A313">
        <v>164373</v>
      </c>
      <c r="B313" t="s">
        <v>5643</v>
      </c>
    </row>
    <row r="314" spans="1:2">
      <c r="A314">
        <v>194628</v>
      </c>
      <c r="B314" t="s">
        <v>5644</v>
      </c>
    </row>
    <row r="315" spans="1:2">
      <c r="A315">
        <v>156778</v>
      </c>
      <c r="B315" t="s">
        <v>5645</v>
      </c>
    </row>
    <row r="316" spans="1:2">
      <c r="A316">
        <v>70109</v>
      </c>
      <c r="B316" t="s">
        <v>5646</v>
      </c>
    </row>
    <row r="317" spans="1:2">
      <c r="A317">
        <v>36790</v>
      </c>
      <c r="B317" t="s">
        <v>5647</v>
      </c>
    </row>
    <row r="318" spans="1:2">
      <c r="A318">
        <v>160414</v>
      </c>
      <c r="B318" t="s">
        <v>5648</v>
      </c>
    </row>
    <row r="319" spans="1:2">
      <c r="A319">
        <v>820411</v>
      </c>
      <c r="B319" t="s">
        <v>5649</v>
      </c>
    </row>
    <row r="320" spans="1:2">
      <c r="A320">
        <v>122889</v>
      </c>
      <c r="B320" t="s">
        <v>5650</v>
      </c>
    </row>
    <row r="321" spans="1:2">
      <c r="A321">
        <v>202206</v>
      </c>
      <c r="B321" t="s">
        <v>5651</v>
      </c>
    </row>
    <row r="322" spans="1:2">
      <c r="A322">
        <v>202231</v>
      </c>
      <c r="B322" t="s">
        <v>5652</v>
      </c>
    </row>
    <row r="323" spans="1:2">
      <c r="A323">
        <v>510406</v>
      </c>
      <c r="B323" t="s">
        <v>5653</v>
      </c>
    </row>
    <row r="324" spans="1:2">
      <c r="A324">
        <v>213583</v>
      </c>
      <c r="B324" t="s">
        <v>5654</v>
      </c>
    </row>
    <row r="325" spans="1:2">
      <c r="A325">
        <v>210666</v>
      </c>
      <c r="B325" t="s">
        <v>5655</v>
      </c>
    </row>
    <row r="326" spans="1:2">
      <c r="A326">
        <v>210771</v>
      </c>
      <c r="B326" t="s">
        <v>5656</v>
      </c>
    </row>
    <row r="327" spans="1:2">
      <c r="A327">
        <v>229703</v>
      </c>
      <c r="B327" t="s">
        <v>5657</v>
      </c>
    </row>
    <row r="328" spans="1:2">
      <c r="A328">
        <v>109695</v>
      </c>
      <c r="B328" t="s">
        <v>5658</v>
      </c>
    </row>
    <row r="329" spans="1:2">
      <c r="A329">
        <v>803173</v>
      </c>
      <c r="B329" t="s">
        <v>5659</v>
      </c>
    </row>
    <row r="330" spans="1:2">
      <c r="A330">
        <v>819199</v>
      </c>
      <c r="B330" t="s">
        <v>5660</v>
      </c>
    </row>
    <row r="331" spans="1:2">
      <c r="A331">
        <v>150989</v>
      </c>
      <c r="B331" t="s">
        <v>5661</v>
      </c>
    </row>
    <row r="332" spans="1:2">
      <c r="A332">
        <v>811423</v>
      </c>
      <c r="B332" t="s">
        <v>5662</v>
      </c>
    </row>
    <row r="333" spans="1:2">
      <c r="A333">
        <v>173921</v>
      </c>
      <c r="B333" t="s">
        <v>5663</v>
      </c>
    </row>
    <row r="334" spans="1:2">
      <c r="A334">
        <v>817078</v>
      </c>
      <c r="B334" t="s">
        <v>5664</v>
      </c>
    </row>
    <row r="335" spans="1:2">
      <c r="A335">
        <v>817079</v>
      </c>
      <c r="B335" t="s">
        <v>5665</v>
      </c>
    </row>
    <row r="336" spans="1:2">
      <c r="A336">
        <v>817080</v>
      </c>
      <c r="B336" t="s">
        <v>5666</v>
      </c>
    </row>
    <row r="337" spans="1:2">
      <c r="A337">
        <v>173919</v>
      </c>
      <c r="B337" t="s">
        <v>5667</v>
      </c>
    </row>
    <row r="338" spans="1:2">
      <c r="A338">
        <v>532415</v>
      </c>
      <c r="B338" t="s">
        <v>5668</v>
      </c>
    </row>
    <row r="339" spans="1:2">
      <c r="A339">
        <v>128044</v>
      </c>
      <c r="B339" t="s">
        <v>5669</v>
      </c>
    </row>
    <row r="340" spans="1:2">
      <c r="A340">
        <v>809063</v>
      </c>
      <c r="B340" t="s">
        <v>5670</v>
      </c>
    </row>
    <row r="341" spans="1:2">
      <c r="A341">
        <v>817570</v>
      </c>
      <c r="B341" t="s">
        <v>5671</v>
      </c>
    </row>
    <row r="342" spans="1:2">
      <c r="A342">
        <v>137272</v>
      </c>
      <c r="B342" t="s">
        <v>5672</v>
      </c>
    </row>
    <row r="343" spans="1:2">
      <c r="A343">
        <v>815390</v>
      </c>
      <c r="B343" t="s">
        <v>5673</v>
      </c>
    </row>
    <row r="344" spans="1:2">
      <c r="A344">
        <v>24362</v>
      </c>
      <c r="B344" t="s">
        <v>5674</v>
      </c>
    </row>
    <row r="345" spans="1:2">
      <c r="A345">
        <v>174237</v>
      </c>
      <c r="B345" t="s">
        <v>5675</v>
      </c>
    </row>
    <row r="346" spans="1:2">
      <c r="A346">
        <v>171592</v>
      </c>
      <c r="B346" t="s">
        <v>5676</v>
      </c>
    </row>
    <row r="347" spans="1:2">
      <c r="A347">
        <v>650026</v>
      </c>
      <c r="B347" t="s">
        <v>5677</v>
      </c>
    </row>
    <row r="348" spans="1:2">
      <c r="A348">
        <v>201787</v>
      </c>
      <c r="B348" t="s">
        <v>5678</v>
      </c>
    </row>
    <row r="349" spans="1:2">
      <c r="A349">
        <v>24388</v>
      </c>
      <c r="B349" t="s">
        <v>5679</v>
      </c>
    </row>
    <row r="350" spans="1:2">
      <c r="A350">
        <v>24856</v>
      </c>
      <c r="B350" t="s">
        <v>5680</v>
      </c>
    </row>
    <row r="351" spans="1:2">
      <c r="A351">
        <v>182072</v>
      </c>
      <c r="B351" t="s">
        <v>5681</v>
      </c>
    </row>
    <row r="352" spans="1:2">
      <c r="A352">
        <v>198599</v>
      </c>
      <c r="B352" t="s">
        <v>5682</v>
      </c>
    </row>
    <row r="353" spans="1:2">
      <c r="A353">
        <v>109346</v>
      </c>
      <c r="B353" t="s">
        <v>5683</v>
      </c>
    </row>
    <row r="354" spans="1:2">
      <c r="A354">
        <v>224356</v>
      </c>
      <c r="B354" t="s">
        <v>5684</v>
      </c>
    </row>
    <row r="355" spans="1:2">
      <c r="A355">
        <v>978393</v>
      </c>
      <c r="B355" t="s">
        <v>5685</v>
      </c>
    </row>
    <row r="356" spans="1:2">
      <c r="A356">
        <v>228286</v>
      </c>
      <c r="B356" t="s">
        <v>5686</v>
      </c>
    </row>
    <row r="357" spans="1:2">
      <c r="A357">
        <v>163474</v>
      </c>
      <c r="B357" t="s">
        <v>5687</v>
      </c>
    </row>
    <row r="358" spans="1:2">
      <c r="A358">
        <v>100516</v>
      </c>
      <c r="B358" t="s">
        <v>5688</v>
      </c>
    </row>
    <row r="359" spans="1:2">
      <c r="A359">
        <v>219560</v>
      </c>
      <c r="B359" t="s">
        <v>5689</v>
      </c>
    </row>
    <row r="360" spans="1:2">
      <c r="A360">
        <v>161190</v>
      </c>
      <c r="B360" t="s">
        <v>5690</v>
      </c>
    </row>
    <row r="361" spans="1:2">
      <c r="A361">
        <v>142144</v>
      </c>
      <c r="B361" t="s">
        <v>5691</v>
      </c>
    </row>
    <row r="362" spans="1:2">
      <c r="A362">
        <v>219555</v>
      </c>
      <c r="B362" t="s">
        <v>5692</v>
      </c>
    </row>
    <row r="363" spans="1:2">
      <c r="A363">
        <v>59215</v>
      </c>
      <c r="B363" t="s">
        <v>5693</v>
      </c>
    </row>
    <row r="364" spans="1:2">
      <c r="A364">
        <v>358579</v>
      </c>
      <c r="B364" t="s">
        <v>5694</v>
      </c>
    </row>
    <row r="365" spans="1:2">
      <c r="A365">
        <v>212514</v>
      </c>
      <c r="B365" t="s">
        <v>5695</v>
      </c>
    </row>
    <row r="366" spans="1:2">
      <c r="A366">
        <v>197852</v>
      </c>
      <c r="B366" t="s">
        <v>5696</v>
      </c>
    </row>
    <row r="367" spans="1:2">
      <c r="A367">
        <v>223284</v>
      </c>
      <c r="B367" t="s">
        <v>5697</v>
      </c>
    </row>
    <row r="368" spans="1:2">
      <c r="A368">
        <v>146131</v>
      </c>
      <c r="B368" t="s">
        <v>5698</v>
      </c>
    </row>
    <row r="369" spans="1:2">
      <c r="A369">
        <v>146128</v>
      </c>
      <c r="B369" t="s">
        <v>5699</v>
      </c>
    </row>
    <row r="370" spans="1:2">
      <c r="A370">
        <v>173820</v>
      </c>
      <c r="B370" t="s">
        <v>5700</v>
      </c>
    </row>
    <row r="371" spans="1:2">
      <c r="A371">
        <v>179087</v>
      </c>
      <c r="B371" t="s">
        <v>5701</v>
      </c>
    </row>
    <row r="372" spans="1:2">
      <c r="A372">
        <v>820676</v>
      </c>
      <c r="B372" t="s">
        <v>5702</v>
      </c>
    </row>
    <row r="373" spans="1:2">
      <c r="A373">
        <v>141413</v>
      </c>
      <c r="B373" t="s">
        <v>5703</v>
      </c>
    </row>
    <row r="374" spans="1:2">
      <c r="A374">
        <v>124964</v>
      </c>
      <c r="B374" t="s">
        <v>5704</v>
      </c>
    </row>
    <row r="375" spans="1:2">
      <c r="A375">
        <v>218760</v>
      </c>
      <c r="B375" t="s">
        <v>5705</v>
      </c>
    </row>
    <row r="376" spans="1:2">
      <c r="A376">
        <v>128267</v>
      </c>
      <c r="B376" t="s">
        <v>5706</v>
      </c>
    </row>
    <row r="377" spans="1:2">
      <c r="A377">
        <v>150200</v>
      </c>
      <c r="B377" t="s">
        <v>5707</v>
      </c>
    </row>
    <row r="378" spans="1:2">
      <c r="A378">
        <v>200887</v>
      </c>
      <c r="B378" t="s">
        <v>5708</v>
      </c>
    </row>
    <row r="379" spans="1:2">
      <c r="A379">
        <v>111757</v>
      </c>
      <c r="B379" t="s">
        <v>5709</v>
      </c>
    </row>
    <row r="380" spans="1:2">
      <c r="A380">
        <v>140647</v>
      </c>
      <c r="B380" t="s">
        <v>5710</v>
      </c>
    </row>
    <row r="381" spans="1:2">
      <c r="A381">
        <v>182997</v>
      </c>
      <c r="B381" t="s">
        <v>5711</v>
      </c>
    </row>
    <row r="382" spans="1:2">
      <c r="A382">
        <v>111642</v>
      </c>
      <c r="B382" t="s">
        <v>5712</v>
      </c>
    </row>
    <row r="383" spans="1:2">
      <c r="A383">
        <v>58851</v>
      </c>
      <c r="B383" t="s">
        <v>5713</v>
      </c>
    </row>
    <row r="384" spans="1:2">
      <c r="A384">
        <v>99281</v>
      </c>
      <c r="B384" t="s">
        <v>5714</v>
      </c>
    </row>
    <row r="385" spans="1:2">
      <c r="A385">
        <v>45344</v>
      </c>
      <c r="B385" t="s">
        <v>5715</v>
      </c>
    </row>
    <row r="386" spans="1:2">
      <c r="A386">
        <v>162753</v>
      </c>
      <c r="B386" t="s">
        <v>5716</v>
      </c>
    </row>
    <row r="387" spans="1:2">
      <c r="A387">
        <v>227651</v>
      </c>
      <c r="B387" t="s">
        <v>5717</v>
      </c>
    </row>
    <row r="388" spans="1:2">
      <c r="A388">
        <v>164598</v>
      </c>
      <c r="B388" t="s">
        <v>5718</v>
      </c>
    </row>
    <row r="389" spans="1:2">
      <c r="A389">
        <v>217985</v>
      </c>
      <c r="B389" t="s">
        <v>5719</v>
      </c>
    </row>
    <row r="390" spans="1:2">
      <c r="A390">
        <v>226132</v>
      </c>
      <c r="B390" t="s">
        <v>5720</v>
      </c>
    </row>
    <row r="391" spans="1:2">
      <c r="A391">
        <v>227737</v>
      </c>
      <c r="B391" t="s">
        <v>5721</v>
      </c>
    </row>
    <row r="392" spans="1:2">
      <c r="A392">
        <v>105656</v>
      </c>
      <c r="B392" t="s">
        <v>5722</v>
      </c>
    </row>
    <row r="393" spans="1:2">
      <c r="A393">
        <v>916071</v>
      </c>
      <c r="B393" t="s">
        <v>5723</v>
      </c>
    </row>
    <row r="394" spans="1:2">
      <c r="A394">
        <v>176565</v>
      </c>
      <c r="B394" t="s">
        <v>5724</v>
      </c>
    </row>
    <row r="395" spans="1:2">
      <c r="A395">
        <v>104418</v>
      </c>
      <c r="B395" t="s">
        <v>5725</v>
      </c>
    </row>
    <row r="396" spans="1:2">
      <c r="A396">
        <v>131050</v>
      </c>
      <c r="B396" t="s">
        <v>5726</v>
      </c>
    </row>
    <row r="397" spans="1:2">
      <c r="A397">
        <v>539760</v>
      </c>
      <c r="B397" t="s">
        <v>5727</v>
      </c>
    </row>
    <row r="398" spans="1:2">
      <c r="A398">
        <v>328887</v>
      </c>
      <c r="B398" t="s">
        <v>5728</v>
      </c>
    </row>
    <row r="399" spans="1:2">
      <c r="A399">
        <v>232376</v>
      </c>
      <c r="B399" t="s">
        <v>5729</v>
      </c>
    </row>
    <row r="400" spans="1:2">
      <c r="A400">
        <v>818845</v>
      </c>
      <c r="B400" t="s">
        <v>5730</v>
      </c>
    </row>
    <row r="401" spans="1:2">
      <c r="A401">
        <v>148440</v>
      </c>
      <c r="B401" t="s">
        <v>5731</v>
      </c>
    </row>
    <row r="402" spans="1:2">
      <c r="A402">
        <v>806933</v>
      </c>
      <c r="B402" t="s">
        <v>5732</v>
      </c>
    </row>
    <row r="403" spans="1:2">
      <c r="A403">
        <v>226141</v>
      </c>
      <c r="B403" t="s">
        <v>5733</v>
      </c>
    </row>
    <row r="404" spans="1:2">
      <c r="A404">
        <v>217972</v>
      </c>
      <c r="B404" t="s">
        <v>5734</v>
      </c>
    </row>
    <row r="405" spans="1:2">
      <c r="A405">
        <v>805327</v>
      </c>
      <c r="B405" t="s">
        <v>5735</v>
      </c>
    </row>
    <row r="406" spans="1:2">
      <c r="A406">
        <v>819203</v>
      </c>
      <c r="B406" t="s">
        <v>5736</v>
      </c>
    </row>
    <row r="407" spans="1:2">
      <c r="A407">
        <v>818789</v>
      </c>
      <c r="B407" t="s">
        <v>5737</v>
      </c>
    </row>
    <row r="408" spans="1:2">
      <c r="A408">
        <v>207826</v>
      </c>
      <c r="B408" t="s">
        <v>5738</v>
      </c>
    </row>
    <row r="409" spans="1:2">
      <c r="A409">
        <v>444092</v>
      </c>
      <c r="B409" t="s">
        <v>5739</v>
      </c>
    </row>
    <row r="410" spans="1:2">
      <c r="A410">
        <v>810335</v>
      </c>
      <c r="B410" t="s">
        <v>5740</v>
      </c>
    </row>
    <row r="411" spans="1:2">
      <c r="A411">
        <v>810336</v>
      </c>
      <c r="B411" t="s">
        <v>5741</v>
      </c>
    </row>
    <row r="412" spans="1:2">
      <c r="A412">
        <v>228851</v>
      </c>
      <c r="B412" t="s">
        <v>5742</v>
      </c>
    </row>
    <row r="413" spans="1:2">
      <c r="A413">
        <v>891891</v>
      </c>
      <c r="B413" t="s">
        <v>5743</v>
      </c>
    </row>
    <row r="414" spans="1:2">
      <c r="A414">
        <v>152101</v>
      </c>
      <c r="B414" t="s">
        <v>5744</v>
      </c>
    </row>
    <row r="415" spans="1:2">
      <c r="A415">
        <v>269775</v>
      </c>
      <c r="B415" t="s">
        <v>5745</v>
      </c>
    </row>
    <row r="416" spans="1:2">
      <c r="A416">
        <v>269777</v>
      </c>
      <c r="B416" t="s">
        <v>5746</v>
      </c>
    </row>
    <row r="417" spans="1:2">
      <c r="A417">
        <v>198499</v>
      </c>
      <c r="B417" t="s">
        <v>5747</v>
      </c>
    </row>
    <row r="418" spans="1:2">
      <c r="A418">
        <v>923650</v>
      </c>
      <c r="B418" t="s">
        <v>5748</v>
      </c>
    </row>
    <row r="419" spans="1:2">
      <c r="A419">
        <v>818707</v>
      </c>
      <c r="B419" t="s">
        <v>5749</v>
      </c>
    </row>
    <row r="420" spans="1:2">
      <c r="A420">
        <v>777672</v>
      </c>
      <c r="B420" t="s">
        <v>5750</v>
      </c>
    </row>
    <row r="421" spans="1:2">
      <c r="A421">
        <v>777301</v>
      </c>
      <c r="B421" t="s">
        <v>5751</v>
      </c>
    </row>
    <row r="422" spans="1:2">
      <c r="A422">
        <v>777851</v>
      </c>
      <c r="B422" t="s">
        <v>5752</v>
      </c>
    </row>
    <row r="423" spans="1:2">
      <c r="A423">
        <v>777759</v>
      </c>
      <c r="B423" t="s">
        <v>5753</v>
      </c>
    </row>
    <row r="424" spans="1:2">
      <c r="A424">
        <v>804140</v>
      </c>
      <c r="B424" t="s">
        <v>5754</v>
      </c>
    </row>
    <row r="425" spans="1:2">
      <c r="A425">
        <v>804141</v>
      </c>
      <c r="B425" t="s">
        <v>5755</v>
      </c>
    </row>
    <row r="426" spans="1:2">
      <c r="A426">
        <v>106855</v>
      </c>
      <c r="B426" t="s">
        <v>5756</v>
      </c>
    </row>
    <row r="427" spans="1:2">
      <c r="A427">
        <v>163720</v>
      </c>
      <c r="B427" t="s">
        <v>5757</v>
      </c>
    </row>
    <row r="428" spans="1:2">
      <c r="A428">
        <v>163721</v>
      </c>
      <c r="B428" t="s">
        <v>5758</v>
      </c>
    </row>
    <row r="429" spans="1:2">
      <c r="A429">
        <v>126790</v>
      </c>
      <c r="B429" t="s">
        <v>5759</v>
      </c>
    </row>
    <row r="430" spans="1:2">
      <c r="A430">
        <v>148700</v>
      </c>
      <c r="B430" t="s">
        <v>5760</v>
      </c>
    </row>
    <row r="431" spans="1:2">
      <c r="A431">
        <v>198882</v>
      </c>
      <c r="B431" t="s">
        <v>5761</v>
      </c>
    </row>
    <row r="432" spans="1:2">
      <c r="A432">
        <v>110462</v>
      </c>
      <c r="B432" t="s">
        <v>5762</v>
      </c>
    </row>
    <row r="433" spans="1:2">
      <c r="A433">
        <v>180321</v>
      </c>
      <c r="B433" t="s">
        <v>5763</v>
      </c>
    </row>
    <row r="434" spans="1:2">
      <c r="A434">
        <v>40651</v>
      </c>
      <c r="B434" t="s">
        <v>5764</v>
      </c>
    </row>
    <row r="435" spans="1:2">
      <c r="A435">
        <v>157729</v>
      </c>
      <c r="B435" t="s">
        <v>5765</v>
      </c>
    </row>
    <row r="436" spans="1:2">
      <c r="A436">
        <v>136818</v>
      </c>
      <c r="B436" t="s">
        <v>5766</v>
      </c>
    </row>
    <row r="437" spans="1:2">
      <c r="A437">
        <v>127011</v>
      </c>
      <c r="B437" t="s">
        <v>5767</v>
      </c>
    </row>
    <row r="438" spans="1:2">
      <c r="A438">
        <v>803943</v>
      </c>
      <c r="B438" t="s">
        <v>5768</v>
      </c>
    </row>
    <row r="439" spans="1:2">
      <c r="A439">
        <v>803945</v>
      </c>
      <c r="B439" t="s">
        <v>5769</v>
      </c>
    </row>
    <row r="440" spans="1:2">
      <c r="A440">
        <v>163724</v>
      </c>
      <c r="B440" t="s">
        <v>5770</v>
      </c>
    </row>
    <row r="441" spans="1:2">
      <c r="A441">
        <v>374933</v>
      </c>
      <c r="B441" t="s">
        <v>5771</v>
      </c>
    </row>
    <row r="442" spans="1:2">
      <c r="A442">
        <v>198417</v>
      </c>
      <c r="B442" t="s">
        <v>5772</v>
      </c>
    </row>
    <row r="443" spans="1:2">
      <c r="A443">
        <v>144241</v>
      </c>
      <c r="B443" t="s">
        <v>5773</v>
      </c>
    </row>
    <row r="444" spans="1:2">
      <c r="A444">
        <v>144245</v>
      </c>
      <c r="B444" t="s">
        <v>5774</v>
      </c>
    </row>
    <row r="445" spans="1:2">
      <c r="A445">
        <v>123182</v>
      </c>
      <c r="B445" t="s">
        <v>5775</v>
      </c>
    </row>
    <row r="446" spans="1:2">
      <c r="A446">
        <v>123184</v>
      </c>
      <c r="B446" t="s">
        <v>5776</v>
      </c>
    </row>
    <row r="447" spans="1:2">
      <c r="A447">
        <v>106251</v>
      </c>
      <c r="B447" t="s">
        <v>5777</v>
      </c>
    </row>
    <row r="448" spans="1:2">
      <c r="A448">
        <v>106250</v>
      </c>
      <c r="B448" t="s">
        <v>5778</v>
      </c>
    </row>
    <row r="449" spans="1:2">
      <c r="A449">
        <v>161691</v>
      </c>
      <c r="B449" t="s">
        <v>5779</v>
      </c>
    </row>
    <row r="450" spans="1:2">
      <c r="A450">
        <v>107326</v>
      </c>
      <c r="B450" t="s">
        <v>5780</v>
      </c>
    </row>
    <row r="451" spans="1:2">
      <c r="A451">
        <v>107325</v>
      </c>
      <c r="B451" t="s">
        <v>5781</v>
      </c>
    </row>
    <row r="452" spans="1:2">
      <c r="A452">
        <v>114011</v>
      </c>
      <c r="B452" t="s">
        <v>5782</v>
      </c>
    </row>
    <row r="453" spans="1:2">
      <c r="A453">
        <v>113969</v>
      </c>
      <c r="B453" t="s">
        <v>5783</v>
      </c>
    </row>
    <row r="454" spans="1:2">
      <c r="A454">
        <v>37817</v>
      </c>
      <c r="B454" t="s">
        <v>5784</v>
      </c>
    </row>
    <row r="455" spans="1:2">
      <c r="A455">
        <v>161259</v>
      </c>
      <c r="B455" t="s">
        <v>5785</v>
      </c>
    </row>
    <row r="456" spans="1:2">
      <c r="A456">
        <v>146447</v>
      </c>
      <c r="B456" t="s">
        <v>5786</v>
      </c>
    </row>
    <row r="457" spans="1:2">
      <c r="A457">
        <v>194766</v>
      </c>
      <c r="B457" t="s">
        <v>5787</v>
      </c>
    </row>
    <row r="458" spans="1:2">
      <c r="A458">
        <v>147361</v>
      </c>
      <c r="B458" t="s">
        <v>5788</v>
      </c>
    </row>
    <row r="459" spans="1:2">
      <c r="A459">
        <v>902837</v>
      </c>
      <c r="B459" t="s">
        <v>5789</v>
      </c>
    </row>
    <row r="460" spans="1:2">
      <c r="A460">
        <v>125537</v>
      </c>
      <c r="B460" t="s">
        <v>5790</v>
      </c>
    </row>
    <row r="461" spans="1:2">
      <c r="A461">
        <v>147395</v>
      </c>
      <c r="B461" t="s">
        <v>5791</v>
      </c>
    </row>
    <row r="462" spans="1:2">
      <c r="A462">
        <v>109609</v>
      </c>
      <c r="B462" t="s">
        <v>5792</v>
      </c>
    </row>
    <row r="463" spans="1:2">
      <c r="A463">
        <v>75972</v>
      </c>
      <c r="B463" t="s">
        <v>5793</v>
      </c>
    </row>
    <row r="464" spans="1:2">
      <c r="A464">
        <v>114083</v>
      </c>
      <c r="B464" t="s">
        <v>5794</v>
      </c>
    </row>
    <row r="465" spans="1:2">
      <c r="A465">
        <v>148794</v>
      </c>
      <c r="B465" t="s">
        <v>5795</v>
      </c>
    </row>
    <row r="466" spans="1:2">
      <c r="A466">
        <v>156524</v>
      </c>
      <c r="B466" t="s">
        <v>5796</v>
      </c>
    </row>
    <row r="467" spans="1:2">
      <c r="A467">
        <v>185841</v>
      </c>
      <c r="B467" t="s">
        <v>5797</v>
      </c>
    </row>
    <row r="468" spans="1:2">
      <c r="A468">
        <v>185844</v>
      </c>
      <c r="B468" t="s">
        <v>5798</v>
      </c>
    </row>
    <row r="469" spans="1:2">
      <c r="A469">
        <v>819253</v>
      </c>
      <c r="B469" t="s">
        <v>5799</v>
      </c>
    </row>
    <row r="470" spans="1:2">
      <c r="A470">
        <v>148797</v>
      </c>
      <c r="B470" t="s">
        <v>5800</v>
      </c>
    </row>
    <row r="471" spans="1:2">
      <c r="A471">
        <v>48620</v>
      </c>
      <c r="B471" t="s">
        <v>5801</v>
      </c>
    </row>
    <row r="472" spans="1:2">
      <c r="A472">
        <v>91858</v>
      </c>
      <c r="B472" t="s">
        <v>5802</v>
      </c>
    </row>
    <row r="473" spans="1:2">
      <c r="A473">
        <v>124213</v>
      </c>
      <c r="B473" t="s">
        <v>5803</v>
      </c>
    </row>
    <row r="474" spans="1:2">
      <c r="A474">
        <v>24908</v>
      </c>
      <c r="B474" t="s">
        <v>5804</v>
      </c>
    </row>
    <row r="475" spans="1:2">
      <c r="A475">
        <v>206297</v>
      </c>
      <c r="B475" t="s">
        <v>5805</v>
      </c>
    </row>
    <row r="476" spans="1:2">
      <c r="A476">
        <v>110597</v>
      </c>
      <c r="B476" t="s">
        <v>5806</v>
      </c>
    </row>
    <row r="477" spans="1:2">
      <c r="A477">
        <v>140316</v>
      </c>
      <c r="B477" t="s">
        <v>5807</v>
      </c>
    </row>
    <row r="478" spans="1:2">
      <c r="A478">
        <v>108096</v>
      </c>
      <c r="B478" t="s">
        <v>5808</v>
      </c>
    </row>
    <row r="479" spans="1:2">
      <c r="A479">
        <v>145864</v>
      </c>
      <c r="B479" t="s">
        <v>5809</v>
      </c>
    </row>
    <row r="480" spans="1:2">
      <c r="A480">
        <v>150719</v>
      </c>
      <c r="B480" t="s">
        <v>5810</v>
      </c>
    </row>
    <row r="481" spans="1:2">
      <c r="A481">
        <v>115833</v>
      </c>
      <c r="B481" t="s">
        <v>5811</v>
      </c>
    </row>
    <row r="482" spans="1:2">
      <c r="A482">
        <v>220840</v>
      </c>
      <c r="B482" t="s">
        <v>5812</v>
      </c>
    </row>
    <row r="483" spans="1:2">
      <c r="A483">
        <v>985296</v>
      </c>
      <c r="B483" t="s">
        <v>5813</v>
      </c>
    </row>
    <row r="484" spans="1:2">
      <c r="A484">
        <v>159224</v>
      </c>
      <c r="B484" t="s">
        <v>5814</v>
      </c>
    </row>
    <row r="485" spans="1:2">
      <c r="A485">
        <v>812552</v>
      </c>
      <c r="B485" t="s">
        <v>5815</v>
      </c>
    </row>
    <row r="486" spans="1:2">
      <c r="A486">
        <v>104083</v>
      </c>
      <c r="B486" t="s">
        <v>5816</v>
      </c>
    </row>
    <row r="487" spans="1:2">
      <c r="A487">
        <v>3198</v>
      </c>
      <c r="B487" t="s">
        <v>5817</v>
      </c>
    </row>
    <row r="488" spans="1:2">
      <c r="A488">
        <v>191268</v>
      </c>
      <c r="B488" t="s">
        <v>5818</v>
      </c>
    </row>
    <row r="489" spans="1:2">
      <c r="A489">
        <v>191269</v>
      </c>
      <c r="B489" t="s">
        <v>5819</v>
      </c>
    </row>
    <row r="490" spans="1:2">
      <c r="A490">
        <v>191270</v>
      </c>
      <c r="B490" t="s">
        <v>5820</v>
      </c>
    </row>
    <row r="491" spans="1:2">
      <c r="A491">
        <v>191282</v>
      </c>
      <c r="B491" t="s">
        <v>5821</v>
      </c>
    </row>
    <row r="492" spans="1:2">
      <c r="A492">
        <v>166966</v>
      </c>
      <c r="B492" t="s">
        <v>5822</v>
      </c>
    </row>
    <row r="493" spans="1:2">
      <c r="A493">
        <v>213602</v>
      </c>
      <c r="B493" t="s">
        <v>5823</v>
      </c>
    </row>
    <row r="494" spans="1:2">
      <c r="A494">
        <v>237085</v>
      </c>
      <c r="B494" t="s">
        <v>5824</v>
      </c>
    </row>
    <row r="495" spans="1:2">
      <c r="A495">
        <v>47177</v>
      </c>
      <c r="B495" t="s">
        <v>5825</v>
      </c>
    </row>
    <row r="496" spans="1:2">
      <c r="A496">
        <v>182798</v>
      </c>
      <c r="B496" t="s">
        <v>5826</v>
      </c>
    </row>
    <row r="497" spans="1:2">
      <c r="A497">
        <v>132322</v>
      </c>
      <c r="B497" t="s">
        <v>5827</v>
      </c>
    </row>
    <row r="498" spans="1:2">
      <c r="A498">
        <v>146569</v>
      </c>
      <c r="B498" t="s">
        <v>5828</v>
      </c>
    </row>
    <row r="499" spans="1:2">
      <c r="A499">
        <v>438256</v>
      </c>
      <c r="B499" t="s">
        <v>5829</v>
      </c>
    </row>
    <row r="500" spans="1:2">
      <c r="A500">
        <v>223806</v>
      </c>
      <c r="B500" t="s">
        <v>5830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1"/>
  <sheetViews>
    <sheetView tabSelected="1" topLeftCell="A451" workbookViewId="0">
      <selection activeCell="D2" sqref="D2:D501"/>
    </sheetView>
  </sheetViews>
  <sheetFormatPr defaultRowHeight="12.75"/>
  <cols>
    <col min="2" max="2" width="24.85546875" bestFit="1" customWidth="1"/>
    <col min="4" max="4" width="11.42578125" style="90" bestFit="1" customWidth="1"/>
  </cols>
  <sheetData>
    <row r="1" spans="1:5">
      <c r="A1" t="s">
        <v>5323</v>
      </c>
      <c r="B1" t="s">
        <v>5324</v>
      </c>
      <c r="C1" t="s">
        <v>5325</v>
      </c>
      <c r="D1" s="90" t="s">
        <v>5831</v>
      </c>
      <c r="E1" t="s">
        <v>5328</v>
      </c>
    </row>
    <row r="2" spans="1:5">
      <c r="A2" s="41">
        <v>137733</v>
      </c>
      <c r="B2" t="str">
        <f>VLOOKUP(A2,'prod-mongo'!A:B,2,FALSE)</f>
        <v>595f813b935f6500211006b2</v>
      </c>
      <c r="C2">
        <f>IFERROR(VLOOKUP(A2,'Item Database'!A:CC,4,FALSE), -1)</f>
        <v>44</v>
      </c>
      <c r="D2" s="90">
        <f>IFERROR(VLOOKUP(C2,'product-map'!A:B,2,FALSE), -1)</f>
        <v>182</v>
      </c>
      <c r="E2" t="s">
        <v>5329</v>
      </c>
    </row>
    <row r="3" spans="1:5">
      <c r="A3" s="41">
        <v>164559</v>
      </c>
      <c r="B3" s="89" t="str">
        <f>VLOOKUP(A3,'prod-mongo'!A:B,2,FALSE)</f>
        <v>595f813b935f6500211006b3</v>
      </c>
      <c r="C3" s="91">
        <f>IFERROR(VLOOKUP(A3,'Item Database'!A:CC,4,FALSE), -1)</f>
        <v>44</v>
      </c>
      <c r="D3" s="91">
        <f>IFERROR(VLOOKUP(C3,'product-map'!A:B,2,FALSE), -1)</f>
        <v>182</v>
      </c>
      <c r="E3" s="89" t="s">
        <v>5329</v>
      </c>
    </row>
    <row r="4" spans="1:5">
      <c r="A4" s="41">
        <v>167902</v>
      </c>
      <c r="B4" s="89" t="str">
        <f>VLOOKUP(A4,'prod-mongo'!A:B,2,FALSE)</f>
        <v>595f813b935f6500211006b4</v>
      </c>
      <c r="C4" s="91">
        <f>IFERROR(VLOOKUP(A4,'Item Database'!A:CC,4,FALSE), -1)</f>
        <v>44</v>
      </c>
      <c r="D4" s="91">
        <f>IFERROR(VLOOKUP(C4,'product-map'!A:B,2,FALSE), -1)</f>
        <v>182</v>
      </c>
      <c r="E4" s="89" t="s">
        <v>5329</v>
      </c>
    </row>
    <row r="5" spans="1:5">
      <c r="A5" s="41">
        <v>167903</v>
      </c>
      <c r="B5" s="89" t="str">
        <f>VLOOKUP(A5,'prod-mongo'!A:B,2,FALSE)</f>
        <v>595f813b935f6500211006b5</v>
      </c>
      <c r="C5" s="91">
        <f>IFERROR(VLOOKUP(A5,'Item Database'!A:CC,4,FALSE), -1)</f>
        <v>44</v>
      </c>
      <c r="D5" s="91">
        <f>IFERROR(VLOOKUP(C5,'product-map'!A:B,2,FALSE), -1)</f>
        <v>182</v>
      </c>
      <c r="E5" s="89" t="s">
        <v>5329</v>
      </c>
    </row>
    <row r="6" spans="1:5">
      <c r="A6" s="41">
        <v>164560</v>
      </c>
      <c r="B6" s="89" t="str">
        <f>VLOOKUP(A6,'prod-mongo'!A:B,2,FALSE)</f>
        <v>595f813b935f6500211006b6</v>
      </c>
      <c r="C6" s="91">
        <f>IFERROR(VLOOKUP(A6,'Item Database'!A:CC,4,FALSE), -1)</f>
        <v>44</v>
      </c>
      <c r="D6" s="91">
        <f>IFERROR(VLOOKUP(C6,'product-map'!A:B,2,FALSE), -1)</f>
        <v>182</v>
      </c>
      <c r="E6" s="89" t="s">
        <v>5329</v>
      </c>
    </row>
    <row r="7" spans="1:5">
      <c r="A7" s="41">
        <v>164561</v>
      </c>
      <c r="B7" s="89" t="str">
        <f>VLOOKUP(A7,'prod-mongo'!A:B,2,FALSE)</f>
        <v>595f813b935f6500211006b7</v>
      </c>
      <c r="C7" s="91">
        <f>IFERROR(VLOOKUP(A7,'Item Database'!A:CC,4,FALSE), -1)</f>
        <v>44</v>
      </c>
      <c r="D7" s="91">
        <f>IFERROR(VLOOKUP(C7,'product-map'!A:B,2,FALSE), -1)</f>
        <v>182</v>
      </c>
      <c r="E7" s="89" t="s">
        <v>5329</v>
      </c>
    </row>
    <row r="8" spans="1:5">
      <c r="A8" s="41">
        <v>107213</v>
      </c>
      <c r="B8" s="89" t="str">
        <f>VLOOKUP(A8,'prod-mongo'!A:B,2,FALSE)</f>
        <v>59141fffb21a1d00824f5ee8</v>
      </c>
      <c r="C8" s="91">
        <f>IFERROR(VLOOKUP(A8,'Item Database'!A:CC,4,FALSE), -1)</f>
        <v>44</v>
      </c>
      <c r="D8" s="91">
        <f>IFERROR(VLOOKUP(C8,'product-map'!A:B,2,FALSE), -1)</f>
        <v>182</v>
      </c>
      <c r="E8" s="89" t="s">
        <v>5329</v>
      </c>
    </row>
    <row r="9" spans="1:5">
      <c r="A9" s="41">
        <v>227074</v>
      </c>
      <c r="B9" s="89" t="str">
        <f>VLOOKUP(A9,'prod-mongo'!A:B,2,FALSE)</f>
        <v>595f813b935f6500211006b8</v>
      </c>
      <c r="C9" s="91">
        <f>IFERROR(VLOOKUP(A9,'Item Database'!A:CC,4,FALSE), -1)</f>
        <v>45</v>
      </c>
      <c r="D9" s="91">
        <f>IFERROR(VLOOKUP(C9,'product-map'!A:B,2,FALSE), -1)</f>
        <v>183</v>
      </c>
      <c r="E9" s="89" t="s">
        <v>5329</v>
      </c>
    </row>
    <row r="10" spans="1:5">
      <c r="A10" s="41">
        <v>805326</v>
      </c>
      <c r="B10" s="89" t="str">
        <f>VLOOKUP(A10,'prod-mongo'!A:B,2,FALSE)</f>
        <v>595f813b935f6500211006b9</v>
      </c>
      <c r="C10" s="91">
        <f>IFERROR(VLOOKUP(A10,'Item Database'!A:CC,4,FALSE), -1)</f>
        <v>45</v>
      </c>
      <c r="D10" s="91">
        <f>IFERROR(VLOOKUP(C10,'product-map'!A:B,2,FALSE), -1)</f>
        <v>183</v>
      </c>
      <c r="E10" s="89" t="s">
        <v>5329</v>
      </c>
    </row>
    <row r="11" spans="1:5">
      <c r="A11" s="41">
        <v>103059</v>
      </c>
      <c r="B11" s="89" t="str">
        <f>VLOOKUP(A11,'prod-mongo'!A:B,2,FALSE)</f>
        <v>595f813b935f6500211006ba</v>
      </c>
      <c r="C11" s="91">
        <f>IFERROR(VLOOKUP(A11,'Item Database'!A:CC,4,FALSE), -1)</f>
        <v>47</v>
      </c>
      <c r="D11" s="91">
        <f>IFERROR(VLOOKUP(C11,'product-map'!A:B,2,FALSE), -1)</f>
        <v>185</v>
      </c>
      <c r="E11" s="89" t="s">
        <v>5329</v>
      </c>
    </row>
    <row r="12" spans="1:5">
      <c r="A12" s="41">
        <v>804458</v>
      </c>
      <c r="B12" s="89" t="str">
        <f>VLOOKUP(A12,'prod-mongo'!A:B,2,FALSE)</f>
        <v>595f813b935f6500211006bb</v>
      </c>
      <c r="C12" s="91">
        <f>IFERROR(VLOOKUP(A12,'Item Database'!A:CC,4,FALSE), -1)</f>
        <v>47</v>
      </c>
      <c r="D12" s="91">
        <f>IFERROR(VLOOKUP(C12,'product-map'!A:B,2,FALSE), -1)</f>
        <v>185</v>
      </c>
      <c r="E12" s="89" t="s">
        <v>5329</v>
      </c>
    </row>
    <row r="13" spans="1:5">
      <c r="A13" s="41">
        <v>103517</v>
      </c>
      <c r="B13" s="89" t="str">
        <f>VLOOKUP(A13,'prod-mongo'!A:B,2,FALSE)</f>
        <v>595f813b935f6500211006bc</v>
      </c>
      <c r="C13" s="91">
        <f>IFERROR(VLOOKUP(A13,'Item Database'!A:CC,4,FALSE), -1)</f>
        <v>47</v>
      </c>
      <c r="D13" s="91">
        <f>IFERROR(VLOOKUP(C13,'product-map'!A:B,2,FALSE), -1)</f>
        <v>185</v>
      </c>
      <c r="E13" s="89" t="s">
        <v>5329</v>
      </c>
    </row>
    <row r="14" spans="1:5">
      <c r="A14" s="41">
        <v>820874</v>
      </c>
      <c r="B14" s="89" t="str">
        <f>VLOOKUP(A14,'prod-mongo'!A:B,2,FALSE)</f>
        <v>595f813b935f6500211006bd</v>
      </c>
      <c r="C14" s="91">
        <f>IFERROR(VLOOKUP(A14,'Item Database'!A:CC,4,FALSE), -1)</f>
        <v>47</v>
      </c>
      <c r="D14" s="91">
        <f>IFERROR(VLOOKUP(C14,'product-map'!A:B,2,FALSE), -1)</f>
        <v>185</v>
      </c>
      <c r="E14" s="89" t="s">
        <v>5329</v>
      </c>
    </row>
    <row r="15" spans="1:5">
      <c r="A15" s="41">
        <v>816769</v>
      </c>
      <c r="B15" s="89" t="str">
        <f>VLOOKUP(A15,'prod-mongo'!A:B,2,FALSE)</f>
        <v>595f813b935f6500211006be</v>
      </c>
      <c r="C15" s="91">
        <f>IFERROR(VLOOKUP(A15,'Item Database'!A:CC,4,FALSE), -1)</f>
        <v>47</v>
      </c>
      <c r="D15" s="91">
        <f>IFERROR(VLOOKUP(C15,'product-map'!A:B,2,FALSE), -1)</f>
        <v>185</v>
      </c>
      <c r="E15" s="89" t="s">
        <v>5329</v>
      </c>
    </row>
    <row r="16" spans="1:5">
      <c r="A16" s="41">
        <v>810293</v>
      </c>
      <c r="B16" s="89" t="str">
        <f>VLOOKUP(A16,'prod-mongo'!A:B,2,FALSE)</f>
        <v>595f813b935f6500211006bf</v>
      </c>
      <c r="C16" s="91">
        <f>IFERROR(VLOOKUP(A16,'Item Database'!A:CC,4,FALSE), -1)</f>
        <v>47</v>
      </c>
      <c r="D16" s="91">
        <f>IFERROR(VLOOKUP(C16,'product-map'!A:B,2,FALSE), -1)</f>
        <v>185</v>
      </c>
      <c r="E16" s="89" t="s">
        <v>5329</v>
      </c>
    </row>
    <row r="17" spans="1:5">
      <c r="A17" s="41">
        <v>804457</v>
      </c>
      <c r="B17" s="89" t="str">
        <f>VLOOKUP(A17,'prod-mongo'!A:B,2,FALSE)</f>
        <v>595f813b935f6500211006c0</v>
      </c>
      <c r="C17" s="91">
        <f>IFERROR(VLOOKUP(A17,'Item Database'!A:CC,4,FALSE), -1)</f>
        <v>47</v>
      </c>
      <c r="D17" s="91">
        <f>IFERROR(VLOOKUP(C17,'product-map'!A:B,2,FALSE), -1)</f>
        <v>185</v>
      </c>
      <c r="E17" s="89" t="s">
        <v>5329</v>
      </c>
    </row>
    <row r="18" spans="1:5">
      <c r="A18" s="41">
        <v>60515</v>
      </c>
      <c r="B18" s="89" t="str">
        <f>VLOOKUP(A18,'prod-mongo'!A:B,2,FALSE)</f>
        <v>595f813b935f6500211006c1</v>
      </c>
      <c r="C18" s="91">
        <f>IFERROR(VLOOKUP(A18,'Item Database'!A:CC,4,FALSE), -1)</f>
        <v>47</v>
      </c>
      <c r="D18" s="91">
        <f>IFERROR(VLOOKUP(C18,'product-map'!A:B,2,FALSE), -1)</f>
        <v>185</v>
      </c>
      <c r="E18" s="89" t="s">
        <v>5329</v>
      </c>
    </row>
    <row r="19" spans="1:5">
      <c r="A19" s="41">
        <v>137578</v>
      </c>
      <c r="B19" s="89" t="str">
        <f>VLOOKUP(A19,'prod-mongo'!A:B,2,FALSE)</f>
        <v>595f813b935f6500211006c2</v>
      </c>
      <c r="C19" s="91">
        <f>IFERROR(VLOOKUP(A19,'Item Database'!A:CC,4,FALSE), -1)</f>
        <v>47</v>
      </c>
      <c r="D19" s="91">
        <f>IFERROR(VLOOKUP(C19,'product-map'!A:B,2,FALSE), -1)</f>
        <v>185</v>
      </c>
      <c r="E19" s="89" t="s">
        <v>5329</v>
      </c>
    </row>
    <row r="20" spans="1:5">
      <c r="A20" s="41">
        <v>107677</v>
      </c>
      <c r="B20" s="89" t="str">
        <f>VLOOKUP(A20,'prod-mongo'!A:B,2,FALSE)</f>
        <v>595f813b935f6500211006c3</v>
      </c>
      <c r="C20" s="91">
        <f>IFERROR(VLOOKUP(A20,'Item Database'!A:CC,4,FALSE), -1)</f>
        <v>49</v>
      </c>
      <c r="D20" s="91">
        <f>IFERROR(VLOOKUP(C20,'product-map'!A:B,2,FALSE), -1)</f>
        <v>187</v>
      </c>
      <c r="E20" s="89" t="s">
        <v>5329</v>
      </c>
    </row>
    <row r="21" spans="1:5">
      <c r="A21" s="41">
        <v>212471</v>
      </c>
      <c r="B21" s="89" t="str">
        <f>VLOOKUP(A21,'prod-mongo'!A:B,2,FALSE)</f>
        <v>595f813b935f6500211006c4</v>
      </c>
      <c r="C21" s="91">
        <f>IFERROR(VLOOKUP(A21,'Item Database'!A:CC,4,FALSE), -1)</f>
        <v>50</v>
      </c>
      <c r="D21" s="91">
        <f>IFERROR(VLOOKUP(C21,'product-map'!A:B,2,FALSE), -1)</f>
        <v>188</v>
      </c>
      <c r="E21" s="89" t="s">
        <v>5329</v>
      </c>
    </row>
    <row r="22" spans="1:5">
      <c r="A22" s="41">
        <v>212474</v>
      </c>
      <c r="B22" s="89" t="str">
        <f>VLOOKUP(A22,'prod-mongo'!A:B,2,FALSE)</f>
        <v>595f813b935f6500211006c5</v>
      </c>
      <c r="C22" s="91">
        <f>IFERROR(VLOOKUP(A22,'Item Database'!A:CC,4,FALSE), -1)</f>
        <v>50</v>
      </c>
      <c r="D22" s="91">
        <f>IFERROR(VLOOKUP(C22,'product-map'!A:B,2,FALSE), -1)</f>
        <v>188</v>
      </c>
      <c r="E22" s="89" t="s">
        <v>5329</v>
      </c>
    </row>
    <row r="23" spans="1:5">
      <c r="A23" s="41">
        <v>212473</v>
      </c>
      <c r="B23" s="89" t="str">
        <f>VLOOKUP(A23,'prod-mongo'!A:B,2,FALSE)</f>
        <v>595f813b935f6500211006c6</v>
      </c>
      <c r="C23" s="91">
        <f>IFERROR(VLOOKUP(A23,'Item Database'!A:CC,4,FALSE), -1)</f>
        <v>50</v>
      </c>
      <c r="D23" s="91">
        <f>IFERROR(VLOOKUP(C23,'product-map'!A:B,2,FALSE), -1)</f>
        <v>188</v>
      </c>
      <c r="E23" s="89" t="s">
        <v>5329</v>
      </c>
    </row>
    <row r="24" spans="1:5">
      <c r="A24" s="41">
        <v>212526</v>
      </c>
      <c r="B24" s="89" t="str">
        <f>VLOOKUP(A24,'prod-mongo'!A:B,2,FALSE)</f>
        <v>595f813b935f6500211006c7</v>
      </c>
      <c r="C24" s="91">
        <f>IFERROR(VLOOKUP(A24,'Item Database'!A:CC,4,FALSE), -1)</f>
        <v>50</v>
      </c>
      <c r="D24" s="91">
        <f>IFERROR(VLOOKUP(C24,'product-map'!A:B,2,FALSE), -1)</f>
        <v>188</v>
      </c>
      <c r="E24" s="89" t="s">
        <v>5329</v>
      </c>
    </row>
    <row r="25" spans="1:5">
      <c r="A25" s="41">
        <v>212475</v>
      </c>
      <c r="B25" s="89" t="str">
        <f>VLOOKUP(A25,'prod-mongo'!A:B,2,FALSE)</f>
        <v>595f813b935f6500211006c8</v>
      </c>
      <c r="C25" s="91">
        <f>IFERROR(VLOOKUP(A25,'Item Database'!A:CC,4,FALSE), -1)</f>
        <v>50</v>
      </c>
      <c r="D25" s="91">
        <f>IFERROR(VLOOKUP(C25,'product-map'!A:B,2,FALSE), -1)</f>
        <v>188</v>
      </c>
      <c r="E25" s="89" t="s">
        <v>5329</v>
      </c>
    </row>
    <row r="26" spans="1:5">
      <c r="A26" s="41">
        <v>212503</v>
      </c>
      <c r="B26" s="89" t="str">
        <f>VLOOKUP(A26,'prod-mongo'!A:B,2,FALSE)</f>
        <v>595f813b935f6500211006c9</v>
      </c>
      <c r="C26" s="91">
        <f>IFERROR(VLOOKUP(A26,'Item Database'!A:CC,4,FALSE), -1)</f>
        <v>50</v>
      </c>
      <c r="D26" s="91">
        <f>IFERROR(VLOOKUP(C26,'product-map'!A:B,2,FALSE), -1)</f>
        <v>188</v>
      </c>
      <c r="E26" s="89" t="s">
        <v>5329</v>
      </c>
    </row>
    <row r="27" spans="1:5">
      <c r="A27" s="41">
        <v>212477</v>
      </c>
      <c r="B27" s="89" t="str">
        <f>VLOOKUP(A27,'prod-mongo'!A:B,2,FALSE)</f>
        <v>595f813b935f6500211006ca</v>
      </c>
      <c r="C27" s="91">
        <f>IFERROR(VLOOKUP(A27,'Item Database'!A:CC,4,FALSE), -1)</f>
        <v>50</v>
      </c>
      <c r="D27" s="91">
        <f>IFERROR(VLOOKUP(C27,'product-map'!A:B,2,FALSE), -1)</f>
        <v>188</v>
      </c>
      <c r="E27" s="89" t="s">
        <v>5329</v>
      </c>
    </row>
    <row r="28" spans="1:5">
      <c r="A28" s="41">
        <v>212476</v>
      </c>
      <c r="B28" s="89" t="str">
        <f>VLOOKUP(A28,'prod-mongo'!A:B,2,FALSE)</f>
        <v>595f813b935f6500211006cb</v>
      </c>
      <c r="C28" s="91">
        <f>IFERROR(VLOOKUP(A28,'Item Database'!A:CC,4,FALSE), -1)</f>
        <v>50</v>
      </c>
      <c r="D28" s="91">
        <f>IFERROR(VLOOKUP(C28,'product-map'!A:B,2,FALSE), -1)</f>
        <v>188</v>
      </c>
      <c r="E28" s="89" t="s">
        <v>5329</v>
      </c>
    </row>
    <row r="29" spans="1:5">
      <c r="A29" s="41">
        <v>807174</v>
      </c>
      <c r="B29" s="89" t="str">
        <f>VLOOKUP(A29,'prod-mongo'!A:B,2,FALSE)</f>
        <v>595f813b935f6500211006cc</v>
      </c>
      <c r="C29" s="91">
        <f>IFERROR(VLOOKUP(A29,'Item Database'!A:CC,4,FALSE), -1)</f>
        <v>50</v>
      </c>
      <c r="D29" s="91">
        <f>IFERROR(VLOOKUP(C29,'product-map'!A:B,2,FALSE), -1)</f>
        <v>188</v>
      </c>
      <c r="E29" s="89" t="s">
        <v>5329</v>
      </c>
    </row>
    <row r="30" spans="1:5">
      <c r="A30" s="41">
        <v>807173</v>
      </c>
      <c r="B30" s="89" t="str">
        <f>VLOOKUP(A30,'prod-mongo'!A:B,2,FALSE)</f>
        <v>595f813b935f6500211006cd</v>
      </c>
      <c r="C30" s="91">
        <f>IFERROR(VLOOKUP(A30,'Item Database'!A:CC,4,FALSE), -1)</f>
        <v>50</v>
      </c>
      <c r="D30" s="91">
        <f>IFERROR(VLOOKUP(C30,'product-map'!A:B,2,FALSE), -1)</f>
        <v>188</v>
      </c>
      <c r="E30" s="89" t="s">
        <v>5329</v>
      </c>
    </row>
    <row r="31" spans="1:5">
      <c r="A31" s="41">
        <v>816772</v>
      </c>
      <c r="B31" s="89" t="str">
        <f>VLOOKUP(A31,'prod-mongo'!A:B,2,FALSE)</f>
        <v>595f813b935f6500211006ce</v>
      </c>
      <c r="C31" s="91">
        <f>IFERROR(VLOOKUP(A31,'Item Database'!A:CC,4,FALSE), -1)</f>
        <v>50</v>
      </c>
      <c r="D31" s="91">
        <f>IFERROR(VLOOKUP(C31,'product-map'!A:B,2,FALSE), -1)</f>
        <v>188</v>
      </c>
      <c r="E31" s="89" t="s">
        <v>5329</v>
      </c>
    </row>
    <row r="32" spans="1:5">
      <c r="A32" s="41">
        <v>816773</v>
      </c>
      <c r="B32" s="89" t="str">
        <f>VLOOKUP(A32,'prod-mongo'!A:B,2,FALSE)</f>
        <v>595f813b935f6500211006cf</v>
      </c>
      <c r="C32" s="91">
        <f>IFERROR(VLOOKUP(A32,'Item Database'!A:CC,4,FALSE), -1)</f>
        <v>50</v>
      </c>
      <c r="D32" s="91">
        <f>IFERROR(VLOOKUP(C32,'product-map'!A:B,2,FALSE), -1)</f>
        <v>188</v>
      </c>
      <c r="E32" s="89" t="s">
        <v>5329</v>
      </c>
    </row>
    <row r="33" spans="1:5">
      <c r="A33" s="41">
        <v>816774</v>
      </c>
      <c r="B33" s="89" t="str">
        <f>VLOOKUP(A33,'prod-mongo'!A:B,2,FALSE)</f>
        <v>595f813b935f6500211006d0</v>
      </c>
      <c r="C33" s="91">
        <f>IFERROR(VLOOKUP(A33,'Item Database'!A:CC,4,FALSE), -1)</f>
        <v>50</v>
      </c>
      <c r="D33" s="91">
        <f>IFERROR(VLOOKUP(C33,'product-map'!A:B,2,FALSE), -1)</f>
        <v>188</v>
      </c>
      <c r="E33" s="89" t="s">
        <v>5329</v>
      </c>
    </row>
    <row r="34" spans="1:5">
      <c r="A34" s="41">
        <v>816775</v>
      </c>
      <c r="B34" s="89" t="str">
        <f>VLOOKUP(A34,'prod-mongo'!A:B,2,FALSE)</f>
        <v>595f813b935f6500211006d1</v>
      </c>
      <c r="C34" s="91">
        <f>IFERROR(VLOOKUP(A34,'Item Database'!A:CC,4,FALSE), -1)</f>
        <v>50</v>
      </c>
      <c r="D34" s="91">
        <f>IFERROR(VLOOKUP(C34,'product-map'!A:B,2,FALSE), -1)</f>
        <v>188</v>
      </c>
      <c r="E34" s="89" t="s">
        <v>5329</v>
      </c>
    </row>
    <row r="35" spans="1:5">
      <c r="A35" s="41">
        <v>819252</v>
      </c>
      <c r="B35" s="89" t="str">
        <f>VLOOKUP(A35,'prod-mongo'!A:B,2,FALSE)</f>
        <v>595f813b935f6500211006d2</v>
      </c>
      <c r="C35" s="91">
        <f>IFERROR(VLOOKUP(A35,'Item Database'!A:CC,4,FALSE), -1)</f>
        <v>51</v>
      </c>
      <c r="D35" s="91">
        <f>IFERROR(VLOOKUP(C35,'product-map'!A:B,2,FALSE), -1)</f>
        <v>189</v>
      </c>
      <c r="E35" s="89" t="s">
        <v>5329</v>
      </c>
    </row>
    <row r="36" spans="1:5">
      <c r="A36" s="41">
        <v>802691</v>
      </c>
      <c r="B36" s="89" t="str">
        <f>VLOOKUP(A36,'prod-mongo'!A:B,2,FALSE)</f>
        <v>595f813c935f6500211006d3</v>
      </c>
      <c r="C36" s="91">
        <f>IFERROR(VLOOKUP(A36,'Item Database'!A:CC,4,FALSE), -1)</f>
        <v>51</v>
      </c>
      <c r="D36" s="91">
        <f>IFERROR(VLOOKUP(C36,'product-map'!A:B,2,FALSE), -1)</f>
        <v>189</v>
      </c>
      <c r="E36" s="89" t="s">
        <v>5329</v>
      </c>
    </row>
    <row r="37" spans="1:5">
      <c r="A37" s="41">
        <v>718614</v>
      </c>
      <c r="B37" s="89" t="str">
        <f>VLOOKUP(A37,'prod-mongo'!A:B,2,FALSE)</f>
        <v>595f813c935f6500211006d4</v>
      </c>
      <c r="C37" s="91">
        <f>IFERROR(VLOOKUP(A37,'Item Database'!A:CC,4,FALSE), -1)</f>
        <v>51</v>
      </c>
      <c r="D37" s="91">
        <f>IFERROR(VLOOKUP(C37,'product-map'!A:B,2,FALSE), -1)</f>
        <v>189</v>
      </c>
      <c r="E37" s="89" t="s">
        <v>5329</v>
      </c>
    </row>
    <row r="38" spans="1:5">
      <c r="A38" s="41">
        <v>803217</v>
      </c>
      <c r="B38" s="89" t="str">
        <f>VLOOKUP(A38,'prod-mongo'!A:B,2,FALSE)</f>
        <v>595f813c935f6500211006d5</v>
      </c>
      <c r="C38" s="91">
        <f>IFERROR(VLOOKUP(A38,'Item Database'!A:CC,4,FALSE), -1)</f>
        <v>51</v>
      </c>
      <c r="D38" s="91">
        <f>IFERROR(VLOOKUP(C38,'product-map'!A:B,2,FALSE), -1)</f>
        <v>189</v>
      </c>
      <c r="E38" s="89" t="s">
        <v>5329</v>
      </c>
    </row>
    <row r="39" spans="1:5">
      <c r="A39" s="41">
        <v>193560</v>
      </c>
      <c r="B39" s="89" t="str">
        <f>VLOOKUP(A39,'prod-mongo'!A:B,2,FALSE)</f>
        <v>595f813c935f6500211006d6</v>
      </c>
      <c r="C39" s="91">
        <f>IFERROR(VLOOKUP(A39,'Item Database'!A:CC,4,FALSE), -1)</f>
        <v>51</v>
      </c>
      <c r="D39" s="91">
        <f>IFERROR(VLOOKUP(C39,'product-map'!A:B,2,FALSE), -1)</f>
        <v>189</v>
      </c>
      <c r="E39" s="89" t="s">
        <v>5329</v>
      </c>
    </row>
    <row r="40" spans="1:5">
      <c r="A40" s="41">
        <v>193561</v>
      </c>
      <c r="B40" s="89" t="str">
        <f>VLOOKUP(A40,'prod-mongo'!A:B,2,FALSE)</f>
        <v>595f813c935f6500211006d7</v>
      </c>
      <c r="C40" s="91">
        <f>IFERROR(VLOOKUP(A40,'Item Database'!A:CC,4,FALSE), -1)</f>
        <v>51</v>
      </c>
      <c r="D40" s="91">
        <f>IFERROR(VLOOKUP(C40,'product-map'!A:B,2,FALSE), -1)</f>
        <v>189</v>
      </c>
      <c r="E40" s="89" t="s">
        <v>5329</v>
      </c>
    </row>
    <row r="41" spans="1:5">
      <c r="A41" s="41">
        <v>808033</v>
      </c>
      <c r="B41" s="89" t="str">
        <f>VLOOKUP(A41,'prod-mongo'!A:B,2,FALSE)</f>
        <v>595f813c935f6500211006d8</v>
      </c>
      <c r="C41" s="91">
        <f>IFERROR(VLOOKUP(A41,'Item Database'!A:CC,4,FALSE), -1)</f>
        <v>53</v>
      </c>
      <c r="D41" s="91">
        <f>IFERROR(VLOOKUP(C41,'product-map'!A:B,2,FALSE), -1)</f>
        <v>191</v>
      </c>
      <c r="E41" s="89" t="s">
        <v>5329</v>
      </c>
    </row>
    <row r="42" spans="1:5">
      <c r="A42" s="41">
        <v>808034</v>
      </c>
      <c r="B42" s="89" t="str">
        <f>VLOOKUP(A42,'prod-mongo'!A:B,2,FALSE)</f>
        <v>595f813c935f6500211006d9</v>
      </c>
      <c r="C42" s="91">
        <f>IFERROR(VLOOKUP(A42,'Item Database'!A:CC,4,FALSE), -1)</f>
        <v>53</v>
      </c>
      <c r="D42" s="91">
        <f>IFERROR(VLOOKUP(C42,'product-map'!A:B,2,FALSE), -1)</f>
        <v>191</v>
      </c>
      <c r="E42" s="89" t="s">
        <v>5329</v>
      </c>
    </row>
    <row r="43" spans="1:5">
      <c r="A43" s="41">
        <v>226304</v>
      </c>
      <c r="B43" s="89" t="str">
        <f>VLOOKUP(A43,'prod-mongo'!A:B,2,FALSE)</f>
        <v>595f813c935f6500211006da</v>
      </c>
      <c r="C43" s="91">
        <f>IFERROR(VLOOKUP(A43,'Item Database'!A:CC,4,FALSE), -1)</f>
        <v>53</v>
      </c>
      <c r="D43" s="91">
        <f>IFERROR(VLOOKUP(C43,'product-map'!A:B,2,FALSE), -1)</f>
        <v>191</v>
      </c>
      <c r="E43" s="89" t="s">
        <v>5329</v>
      </c>
    </row>
    <row r="44" spans="1:5">
      <c r="A44" s="41">
        <v>150345</v>
      </c>
      <c r="B44" s="89" t="str">
        <f>VLOOKUP(A44,'prod-mongo'!A:B,2,FALSE)</f>
        <v>595f813c935f6500211006db</v>
      </c>
      <c r="C44" s="91">
        <f>IFERROR(VLOOKUP(A44,'Item Database'!A:CC,4,FALSE), -1)</f>
        <v>54</v>
      </c>
      <c r="D44" s="91">
        <f>IFERROR(VLOOKUP(C44,'product-map'!A:B,2,FALSE), -1)</f>
        <v>192</v>
      </c>
      <c r="E44" s="89" t="s">
        <v>5329</v>
      </c>
    </row>
    <row r="45" spans="1:5">
      <c r="A45" s="41">
        <v>162038</v>
      </c>
      <c r="B45" s="89" t="str">
        <f>VLOOKUP(A45,'prod-mongo'!A:B,2,FALSE)</f>
        <v>595f813c935f6500211006dc</v>
      </c>
      <c r="C45" s="91">
        <f>IFERROR(VLOOKUP(A45,'Item Database'!A:CC,4,FALSE), -1)</f>
        <v>55</v>
      </c>
      <c r="D45" s="91">
        <f>IFERROR(VLOOKUP(C45,'product-map'!A:B,2,FALSE), -1)</f>
        <v>193</v>
      </c>
      <c r="E45" s="89" t="s">
        <v>5329</v>
      </c>
    </row>
    <row r="46" spans="1:5">
      <c r="A46" s="41">
        <v>110649</v>
      </c>
      <c r="B46" s="89" t="str">
        <f>VLOOKUP(A46,'prod-mongo'!A:B,2,FALSE)</f>
        <v>595f813c935f6500211006dd</v>
      </c>
      <c r="C46" s="91">
        <f>IFERROR(VLOOKUP(A46,'Item Database'!A:CC,4,FALSE), -1)</f>
        <v>55</v>
      </c>
      <c r="D46" s="91">
        <f>IFERROR(VLOOKUP(C46,'product-map'!A:B,2,FALSE), -1)</f>
        <v>193</v>
      </c>
      <c r="E46" s="89" t="s">
        <v>5329</v>
      </c>
    </row>
    <row r="47" spans="1:5">
      <c r="A47" s="41">
        <v>808308</v>
      </c>
      <c r="B47" s="89" t="str">
        <f>VLOOKUP(A47,'prod-mongo'!A:B,2,FALSE)</f>
        <v>595f813c935f6500211006de</v>
      </c>
      <c r="C47" s="91">
        <f>IFERROR(VLOOKUP(A47,'Item Database'!A:CC,4,FALSE), -1)</f>
        <v>55</v>
      </c>
      <c r="D47" s="91">
        <f>IFERROR(VLOOKUP(C47,'product-map'!A:B,2,FALSE), -1)</f>
        <v>193</v>
      </c>
      <c r="E47" s="89" t="s">
        <v>5329</v>
      </c>
    </row>
    <row r="48" spans="1:5">
      <c r="A48" s="41">
        <v>107176</v>
      </c>
      <c r="B48" s="89" t="str">
        <f>VLOOKUP(A48,'prod-mongo'!A:B,2,FALSE)</f>
        <v>595f813c935f6500211006df</v>
      </c>
      <c r="C48" s="91">
        <f>IFERROR(VLOOKUP(A48,'Item Database'!A:CC,4,FALSE), -1)</f>
        <v>55</v>
      </c>
      <c r="D48" s="91">
        <f>IFERROR(VLOOKUP(C48,'product-map'!A:B,2,FALSE), -1)</f>
        <v>193</v>
      </c>
      <c r="E48" s="89" t="s">
        <v>5329</v>
      </c>
    </row>
    <row r="49" spans="1:5">
      <c r="A49" s="41">
        <v>211380</v>
      </c>
      <c r="B49" s="89" t="str">
        <f>VLOOKUP(A49,'prod-mongo'!A:B,2,FALSE)</f>
        <v>595f813c935f6500211006e0</v>
      </c>
      <c r="C49" s="91">
        <f>IFERROR(VLOOKUP(A49,'Item Database'!A:CC,4,FALSE), -1)</f>
        <v>55</v>
      </c>
      <c r="D49" s="91">
        <f>IFERROR(VLOOKUP(C49,'product-map'!A:B,2,FALSE), -1)</f>
        <v>193</v>
      </c>
      <c r="E49" s="89" t="s">
        <v>5329</v>
      </c>
    </row>
    <row r="50" spans="1:5">
      <c r="A50" s="41">
        <v>82069</v>
      </c>
      <c r="B50" s="89" t="str">
        <f>VLOOKUP(A50,'prod-mongo'!A:B,2,FALSE)</f>
        <v>595f813c935f6500211006e1</v>
      </c>
      <c r="C50" s="91">
        <f>IFERROR(VLOOKUP(A50,'Item Database'!A:CC,4,FALSE), -1)</f>
        <v>55</v>
      </c>
      <c r="D50" s="91">
        <f>IFERROR(VLOOKUP(C50,'product-map'!A:B,2,FALSE), -1)</f>
        <v>193</v>
      </c>
      <c r="E50" s="89" t="s">
        <v>5329</v>
      </c>
    </row>
    <row r="51" spans="1:5">
      <c r="A51" s="41">
        <v>141722</v>
      </c>
      <c r="B51" s="89" t="str">
        <f>VLOOKUP(A51,'prod-mongo'!A:B,2,FALSE)</f>
        <v>595f813c935f6500211006e2</v>
      </c>
      <c r="C51" s="91">
        <f>IFERROR(VLOOKUP(A51,'Item Database'!A:CC,4,FALSE), -1)</f>
        <v>56</v>
      </c>
      <c r="D51" s="91">
        <f>IFERROR(VLOOKUP(C51,'product-map'!A:B,2,FALSE), -1)</f>
        <v>194</v>
      </c>
      <c r="E51" s="89" t="s">
        <v>5329</v>
      </c>
    </row>
    <row r="52" spans="1:5">
      <c r="A52" s="41">
        <v>820070</v>
      </c>
      <c r="B52" s="89" t="str">
        <f>VLOOKUP(A52,'prod-mongo'!A:B,2,FALSE)</f>
        <v>595f813c935f6500211006e3</v>
      </c>
      <c r="C52" s="91">
        <f>IFERROR(VLOOKUP(A52,'Item Database'!A:CC,4,FALSE), -1)</f>
        <v>57</v>
      </c>
      <c r="D52" s="91">
        <f>IFERROR(VLOOKUP(C52,'product-map'!A:B,2,FALSE), -1)</f>
        <v>195</v>
      </c>
      <c r="E52" s="89" t="s">
        <v>5329</v>
      </c>
    </row>
    <row r="53" spans="1:5">
      <c r="A53" s="41">
        <v>132409</v>
      </c>
      <c r="B53" s="89" t="str">
        <f>VLOOKUP(A53,'prod-mongo'!A:B,2,FALSE)</f>
        <v>595f813c935f6500211006e4</v>
      </c>
      <c r="C53" s="91">
        <f>IFERROR(VLOOKUP(A53,'Item Database'!A:CC,4,FALSE), -1)</f>
        <v>57</v>
      </c>
      <c r="D53" s="91">
        <f>IFERROR(VLOOKUP(C53,'product-map'!A:B,2,FALSE), -1)</f>
        <v>195</v>
      </c>
      <c r="E53" s="89" t="s">
        <v>5329</v>
      </c>
    </row>
    <row r="54" spans="1:5">
      <c r="A54" s="41">
        <v>134114</v>
      </c>
      <c r="B54" s="89" t="str">
        <f>VLOOKUP(A54,'prod-mongo'!A:B,2,FALSE)</f>
        <v>595f813c935f6500211006e5</v>
      </c>
      <c r="C54" s="91">
        <f>IFERROR(VLOOKUP(A54,'Item Database'!A:CC,4,FALSE), -1)</f>
        <v>57</v>
      </c>
      <c r="D54" s="91">
        <f>IFERROR(VLOOKUP(C54,'product-map'!A:B,2,FALSE), -1)</f>
        <v>195</v>
      </c>
      <c r="E54" s="89" t="s">
        <v>5329</v>
      </c>
    </row>
    <row r="55" spans="1:5">
      <c r="A55" s="41">
        <v>119757</v>
      </c>
      <c r="B55" s="89" t="str">
        <f>VLOOKUP(A55,'prod-mongo'!A:B,2,FALSE)</f>
        <v>595f813c935f6500211006e6</v>
      </c>
      <c r="C55" s="91">
        <f>IFERROR(VLOOKUP(A55,'Item Database'!A:CC,4,FALSE), -1)</f>
        <v>59</v>
      </c>
      <c r="D55" s="91">
        <f>IFERROR(VLOOKUP(C55,'product-map'!A:B,2,FALSE), -1)</f>
        <v>197</v>
      </c>
      <c r="E55" s="89" t="s">
        <v>5329</v>
      </c>
    </row>
    <row r="56" spans="1:5">
      <c r="A56" s="41">
        <v>377507</v>
      </c>
      <c r="B56" s="89" t="str">
        <f>VLOOKUP(A56,'prod-mongo'!A:B,2,FALSE)</f>
        <v>595f813c935f6500211006e7</v>
      </c>
      <c r="C56" s="91">
        <f>IFERROR(VLOOKUP(A56,'Item Database'!A:CC,4,FALSE), -1)</f>
        <v>64</v>
      </c>
      <c r="D56" s="91">
        <f>IFERROR(VLOOKUP(C56,'product-map'!A:B,2,FALSE), -1)</f>
        <v>202</v>
      </c>
      <c r="E56" s="89" t="s">
        <v>5329</v>
      </c>
    </row>
    <row r="57" spans="1:5">
      <c r="A57" s="41">
        <v>237494</v>
      </c>
      <c r="B57" s="89" t="str">
        <f>VLOOKUP(A57,'prod-mongo'!A:B,2,FALSE)</f>
        <v>595f813c935f6500211006e8</v>
      </c>
      <c r="C57" s="91">
        <f>IFERROR(VLOOKUP(A57,'Item Database'!A:CC,4,FALSE), -1)</f>
        <v>66</v>
      </c>
      <c r="D57" s="91">
        <f>IFERROR(VLOOKUP(C57,'product-map'!A:B,2,FALSE), -1)</f>
        <v>204</v>
      </c>
      <c r="E57" s="89" t="s">
        <v>5329</v>
      </c>
    </row>
    <row r="58" spans="1:5">
      <c r="A58" s="41">
        <v>123287</v>
      </c>
      <c r="B58" s="89" t="str">
        <f>VLOOKUP(A58,'prod-mongo'!A:B,2,FALSE)</f>
        <v>595f813c935f6500211006e9</v>
      </c>
      <c r="C58" s="91">
        <f>IFERROR(VLOOKUP(A58,'Item Database'!A:CC,4,FALSE), -1)</f>
        <v>66</v>
      </c>
      <c r="D58" s="91">
        <f>IFERROR(VLOOKUP(C58,'product-map'!A:B,2,FALSE), -1)</f>
        <v>204</v>
      </c>
      <c r="E58" s="89" t="s">
        <v>5329</v>
      </c>
    </row>
    <row r="59" spans="1:5">
      <c r="A59" s="41">
        <v>85358</v>
      </c>
      <c r="B59" s="89" t="str">
        <f>VLOOKUP(A59,'prod-mongo'!A:B,2,FALSE)</f>
        <v>595f813c935f6500211006ea</v>
      </c>
      <c r="C59" s="91">
        <f>IFERROR(VLOOKUP(A59,'Item Database'!A:CC,4,FALSE), -1)</f>
        <v>66</v>
      </c>
      <c r="D59" s="91">
        <f>IFERROR(VLOOKUP(C59,'product-map'!A:B,2,FALSE), -1)</f>
        <v>204</v>
      </c>
      <c r="E59" s="89" t="s">
        <v>5329</v>
      </c>
    </row>
    <row r="60" spans="1:5">
      <c r="A60" s="41">
        <v>100867</v>
      </c>
      <c r="B60" s="89" t="str">
        <f>VLOOKUP(A60,'prod-mongo'!A:B,2,FALSE)</f>
        <v>595f813c935f6500211006eb</v>
      </c>
      <c r="C60" s="91">
        <f>IFERROR(VLOOKUP(A60,'Item Database'!A:CC,4,FALSE), -1)</f>
        <v>69</v>
      </c>
      <c r="D60" s="91">
        <f>IFERROR(VLOOKUP(C60,'product-map'!A:B,2,FALSE), -1)</f>
        <v>207</v>
      </c>
      <c r="E60" s="89" t="s">
        <v>5329</v>
      </c>
    </row>
    <row r="61" spans="1:5">
      <c r="A61" s="41">
        <v>129445</v>
      </c>
      <c r="B61" s="89" t="str">
        <f>VLOOKUP(A61,'prod-mongo'!A:B,2,FALSE)</f>
        <v>595f813c935f6500211006ec</v>
      </c>
      <c r="C61" s="91">
        <f>IFERROR(VLOOKUP(A61,'Item Database'!A:CC,4,FALSE), -1)</f>
        <v>69</v>
      </c>
      <c r="D61" s="91">
        <f>IFERROR(VLOOKUP(C61,'product-map'!A:B,2,FALSE), -1)</f>
        <v>207</v>
      </c>
      <c r="E61" s="89" t="s">
        <v>5329</v>
      </c>
    </row>
    <row r="62" spans="1:5">
      <c r="A62" s="41">
        <v>950794</v>
      </c>
      <c r="B62" s="89" t="str">
        <f>VLOOKUP(A62,'prod-mongo'!A:B,2,FALSE)</f>
        <v>595f813c935f6500211006ed</v>
      </c>
      <c r="C62" s="91">
        <f>IFERROR(VLOOKUP(A62,'Item Database'!A:CC,4,FALSE), -1)</f>
        <v>74</v>
      </c>
      <c r="D62" s="91">
        <f>IFERROR(VLOOKUP(C62,'product-map'!A:B,2,FALSE), -1)</f>
        <v>212</v>
      </c>
      <c r="E62" s="89" t="s">
        <v>5329</v>
      </c>
    </row>
    <row r="63" spans="1:5">
      <c r="A63" s="41">
        <v>263458</v>
      </c>
      <c r="B63" s="89" t="str">
        <f>VLOOKUP(A63,'prod-mongo'!A:B,2,FALSE)</f>
        <v>595f813c935f6500211006ee</v>
      </c>
      <c r="C63" s="91">
        <f>IFERROR(VLOOKUP(A63,'Item Database'!A:CC,4,FALSE), -1)</f>
        <v>74</v>
      </c>
      <c r="D63" s="91">
        <f>IFERROR(VLOOKUP(C63,'product-map'!A:B,2,FALSE), -1)</f>
        <v>212</v>
      </c>
      <c r="E63" s="89" t="s">
        <v>5329</v>
      </c>
    </row>
    <row r="64" spans="1:5">
      <c r="A64" s="41">
        <v>327132</v>
      </c>
      <c r="B64" s="89" t="str">
        <f>VLOOKUP(A64,'prod-mongo'!A:B,2,FALSE)</f>
        <v>595f813c935f6500211006ef</v>
      </c>
      <c r="C64" s="91">
        <f>IFERROR(VLOOKUP(A64,'Item Database'!A:CC,4,FALSE), -1)</f>
        <v>74</v>
      </c>
      <c r="D64" s="91">
        <f>IFERROR(VLOOKUP(C64,'product-map'!A:B,2,FALSE), -1)</f>
        <v>212</v>
      </c>
      <c r="E64" s="89" t="s">
        <v>5329</v>
      </c>
    </row>
    <row r="65" spans="1:5">
      <c r="A65" s="41">
        <v>810871</v>
      </c>
      <c r="B65" s="89" t="str">
        <f>VLOOKUP(A65,'prod-mongo'!A:B,2,FALSE)</f>
        <v>595f813c935f6500211006f0</v>
      </c>
      <c r="C65" s="91">
        <f>IFERROR(VLOOKUP(A65,'Item Database'!A:CC,4,FALSE), -1)</f>
        <v>75</v>
      </c>
      <c r="D65" s="91">
        <f>IFERROR(VLOOKUP(C65,'product-map'!A:B,2,FALSE), -1)</f>
        <v>213</v>
      </c>
      <c r="E65" s="89" t="s">
        <v>5329</v>
      </c>
    </row>
    <row r="66" spans="1:5">
      <c r="A66" s="41">
        <v>818145</v>
      </c>
      <c r="B66" s="89" t="str">
        <f>VLOOKUP(A66,'prod-mongo'!A:B,2,FALSE)</f>
        <v>595f813c935f6500211006f1</v>
      </c>
      <c r="C66" s="91">
        <f>IFERROR(VLOOKUP(A66,'Item Database'!A:CC,4,FALSE), -1)</f>
        <v>75</v>
      </c>
      <c r="D66" s="91">
        <f>IFERROR(VLOOKUP(C66,'product-map'!A:B,2,FALSE), -1)</f>
        <v>213</v>
      </c>
      <c r="E66" s="89" t="s">
        <v>5329</v>
      </c>
    </row>
    <row r="67" spans="1:5">
      <c r="A67" s="41">
        <v>103571</v>
      </c>
      <c r="B67" s="89" t="str">
        <f>VLOOKUP(A67,'prod-mongo'!A:B,2,FALSE)</f>
        <v>595f813c935f6500211006f2</v>
      </c>
      <c r="C67" s="91">
        <f>IFERROR(VLOOKUP(A67,'Item Database'!A:CC,4,FALSE), -1)</f>
        <v>75</v>
      </c>
      <c r="D67" s="91">
        <f>IFERROR(VLOOKUP(C67,'product-map'!A:B,2,FALSE), -1)</f>
        <v>213</v>
      </c>
      <c r="E67" s="89" t="s">
        <v>5329</v>
      </c>
    </row>
    <row r="68" spans="1:5">
      <c r="A68" s="41">
        <v>817679</v>
      </c>
      <c r="B68" s="89" t="str">
        <f>VLOOKUP(A68,'prod-mongo'!A:B,2,FALSE)</f>
        <v>595f813c935f6500211006f3</v>
      </c>
      <c r="C68" s="91">
        <f>IFERROR(VLOOKUP(A68,'Item Database'!A:CC,4,FALSE), -1)</f>
        <v>76</v>
      </c>
      <c r="D68" s="91">
        <f>IFERROR(VLOOKUP(C68,'product-map'!A:B,2,FALSE), -1)</f>
        <v>214</v>
      </c>
      <c r="E68" s="89" t="s">
        <v>5329</v>
      </c>
    </row>
    <row r="69" spans="1:5">
      <c r="A69" s="41">
        <v>817678</v>
      </c>
      <c r="B69" s="89" t="str">
        <f>VLOOKUP(A69,'prod-mongo'!A:B,2,FALSE)</f>
        <v>595f813c935f6500211006f4</v>
      </c>
      <c r="C69" s="91">
        <f>IFERROR(VLOOKUP(A69,'Item Database'!A:CC,4,FALSE), -1)</f>
        <v>76</v>
      </c>
      <c r="D69" s="91">
        <f>IFERROR(VLOOKUP(C69,'product-map'!A:B,2,FALSE), -1)</f>
        <v>214</v>
      </c>
      <c r="E69" s="89" t="s">
        <v>5329</v>
      </c>
    </row>
    <row r="70" spans="1:5">
      <c r="A70" s="41">
        <v>817675</v>
      </c>
      <c r="B70" s="89" t="str">
        <f>VLOOKUP(A70,'prod-mongo'!A:B,2,FALSE)</f>
        <v>595f813c935f6500211006f5</v>
      </c>
      <c r="C70" s="91">
        <f>IFERROR(VLOOKUP(A70,'Item Database'!A:CC,4,FALSE), -1)</f>
        <v>76</v>
      </c>
      <c r="D70" s="91">
        <f>IFERROR(VLOOKUP(C70,'product-map'!A:B,2,FALSE), -1)</f>
        <v>214</v>
      </c>
      <c r="E70" s="89" t="s">
        <v>5329</v>
      </c>
    </row>
    <row r="71" spans="1:5">
      <c r="A71" s="41">
        <v>817677</v>
      </c>
      <c r="B71" s="89" t="str">
        <f>VLOOKUP(A71,'prod-mongo'!A:B,2,FALSE)</f>
        <v>595f813c935f6500211006f6</v>
      </c>
      <c r="C71" s="91">
        <f>IFERROR(VLOOKUP(A71,'Item Database'!A:CC,4,FALSE), -1)</f>
        <v>76</v>
      </c>
      <c r="D71" s="91">
        <f>IFERROR(VLOOKUP(C71,'product-map'!A:B,2,FALSE), -1)</f>
        <v>214</v>
      </c>
      <c r="E71" s="89" t="s">
        <v>5329</v>
      </c>
    </row>
    <row r="72" spans="1:5">
      <c r="A72" s="41">
        <v>817674</v>
      </c>
      <c r="B72" s="89" t="str">
        <f>VLOOKUP(A72,'prod-mongo'!A:B,2,FALSE)</f>
        <v>595f813c935f6500211006f7</v>
      </c>
      <c r="C72" s="91">
        <f>IFERROR(VLOOKUP(A72,'Item Database'!A:CC,4,FALSE), -1)</f>
        <v>76</v>
      </c>
      <c r="D72" s="91">
        <f>IFERROR(VLOOKUP(C72,'product-map'!A:B,2,FALSE), -1)</f>
        <v>214</v>
      </c>
      <c r="E72" s="89" t="s">
        <v>5329</v>
      </c>
    </row>
    <row r="73" spans="1:5">
      <c r="A73" s="41">
        <v>820861</v>
      </c>
      <c r="B73" s="89" t="str">
        <f>VLOOKUP(A73,'prod-mongo'!A:B,2,FALSE)</f>
        <v>595f813c935f6500211006f8</v>
      </c>
      <c r="C73" s="91">
        <f>IFERROR(VLOOKUP(A73,'Item Database'!A:CC,4,FALSE), -1)</f>
        <v>76</v>
      </c>
      <c r="D73" s="91">
        <f>IFERROR(VLOOKUP(C73,'product-map'!A:B,2,FALSE), -1)</f>
        <v>214</v>
      </c>
      <c r="E73" s="89" t="s">
        <v>5329</v>
      </c>
    </row>
    <row r="74" spans="1:5">
      <c r="A74" s="41">
        <v>200606</v>
      </c>
      <c r="B74" s="89" t="str">
        <f>VLOOKUP(A74,'prod-mongo'!A:B,2,FALSE)</f>
        <v>595f813c935f6500211006f9</v>
      </c>
      <c r="C74" s="91">
        <f>IFERROR(VLOOKUP(A74,'Item Database'!A:CC,4,FALSE), -1)</f>
        <v>77</v>
      </c>
      <c r="D74" s="91">
        <f>IFERROR(VLOOKUP(C74,'product-map'!A:B,2,FALSE), -1)</f>
        <v>215</v>
      </c>
      <c r="E74" s="89" t="s">
        <v>5329</v>
      </c>
    </row>
    <row r="75" spans="1:5">
      <c r="A75" s="41">
        <v>777580</v>
      </c>
      <c r="B75" s="89" t="str">
        <f>VLOOKUP(A75,'prod-mongo'!A:B,2,FALSE)</f>
        <v>595f813c935f6500211006fa</v>
      </c>
      <c r="C75" s="91">
        <f>IFERROR(VLOOKUP(A75,'Item Database'!A:CC,4,FALSE), -1)</f>
        <v>77</v>
      </c>
      <c r="D75" s="91">
        <f>IFERROR(VLOOKUP(C75,'product-map'!A:B,2,FALSE), -1)</f>
        <v>215</v>
      </c>
      <c r="E75" s="89" t="s">
        <v>5329</v>
      </c>
    </row>
    <row r="76" spans="1:5">
      <c r="A76" s="41">
        <v>816945</v>
      </c>
      <c r="B76" s="89" t="str">
        <f>VLOOKUP(A76,'prod-mongo'!A:B,2,FALSE)</f>
        <v>595f813c935f6500211006fb</v>
      </c>
      <c r="C76" s="91">
        <f>IFERROR(VLOOKUP(A76,'Item Database'!A:CC,4,FALSE), -1)</f>
        <v>78</v>
      </c>
      <c r="D76" s="91">
        <f>IFERROR(VLOOKUP(C76,'product-map'!A:B,2,FALSE), -1)</f>
        <v>216</v>
      </c>
      <c r="E76" s="89" t="s">
        <v>5329</v>
      </c>
    </row>
    <row r="77" spans="1:5">
      <c r="A77" s="41">
        <v>816946</v>
      </c>
      <c r="B77" s="89" t="str">
        <f>VLOOKUP(A77,'prod-mongo'!A:B,2,FALSE)</f>
        <v>595f813c935f6500211006fc</v>
      </c>
      <c r="C77" s="91">
        <f>IFERROR(VLOOKUP(A77,'Item Database'!A:CC,4,FALSE), -1)</f>
        <v>78</v>
      </c>
      <c r="D77" s="91">
        <f>IFERROR(VLOOKUP(C77,'product-map'!A:B,2,FALSE), -1)</f>
        <v>216</v>
      </c>
      <c r="E77" s="89" t="s">
        <v>5329</v>
      </c>
    </row>
    <row r="78" spans="1:5">
      <c r="A78" s="41">
        <v>226869</v>
      </c>
      <c r="B78" s="89" t="str">
        <f>VLOOKUP(A78,'prod-mongo'!A:B,2,FALSE)</f>
        <v>595f813c935f6500211006fd</v>
      </c>
      <c r="C78" s="91">
        <f>IFERROR(VLOOKUP(A78,'Item Database'!A:CC,4,FALSE), -1)</f>
        <v>79</v>
      </c>
      <c r="D78" s="91">
        <f>IFERROR(VLOOKUP(C78,'product-map'!A:B,2,FALSE), -1)</f>
        <v>217</v>
      </c>
      <c r="E78" s="89" t="s">
        <v>5329</v>
      </c>
    </row>
    <row r="79" spans="1:5">
      <c r="A79" s="41">
        <v>149524</v>
      </c>
      <c r="B79" s="89" t="str">
        <f>VLOOKUP(A79,'prod-mongo'!A:B,2,FALSE)</f>
        <v>595f813c935f6500211006fe</v>
      </c>
      <c r="C79" s="91">
        <f>IFERROR(VLOOKUP(A79,'Item Database'!A:CC,4,FALSE), -1)</f>
        <v>79</v>
      </c>
      <c r="D79" s="91">
        <f>IFERROR(VLOOKUP(C79,'product-map'!A:B,2,FALSE), -1)</f>
        <v>217</v>
      </c>
      <c r="E79" s="89" t="s">
        <v>5329</v>
      </c>
    </row>
    <row r="80" spans="1:5">
      <c r="A80" s="41">
        <v>220247</v>
      </c>
      <c r="B80" s="89" t="str">
        <f>VLOOKUP(A80,'prod-mongo'!A:B,2,FALSE)</f>
        <v>595f813c935f6500211006ff</v>
      </c>
      <c r="C80" s="91">
        <f>IFERROR(VLOOKUP(A80,'Item Database'!A:CC,4,FALSE), -1)</f>
        <v>81</v>
      </c>
      <c r="D80" s="91">
        <f>IFERROR(VLOOKUP(C80,'product-map'!A:B,2,FALSE), -1)</f>
        <v>219</v>
      </c>
      <c r="E80" s="89" t="s">
        <v>5329</v>
      </c>
    </row>
    <row r="81" spans="1:5">
      <c r="A81" s="41">
        <v>156414</v>
      </c>
      <c r="B81" s="89" t="str">
        <f>VLOOKUP(A81,'prod-mongo'!A:B,2,FALSE)</f>
        <v>595f813c935f650021100700</v>
      </c>
      <c r="C81" s="91">
        <f>IFERROR(VLOOKUP(A81,'Item Database'!A:CC,4,FALSE), -1)</f>
        <v>85</v>
      </c>
      <c r="D81" s="91">
        <f>IFERROR(VLOOKUP(C81,'product-map'!A:B,2,FALSE), -1)</f>
        <v>223</v>
      </c>
      <c r="E81" s="89" t="s">
        <v>5329</v>
      </c>
    </row>
    <row r="82" spans="1:5">
      <c r="A82" s="41">
        <v>220635</v>
      </c>
      <c r="B82" s="89" t="str">
        <f>VLOOKUP(A82,'prod-mongo'!A:B,2,FALSE)</f>
        <v>595f813c935f650021100701</v>
      </c>
      <c r="C82" s="91">
        <f>IFERROR(VLOOKUP(A82,'Item Database'!A:CC,4,FALSE), -1)</f>
        <v>85</v>
      </c>
      <c r="D82" s="91">
        <f>IFERROR(VLOOKUP(C82,'product-map'!A:B,2,FALSE), -1)</f>
        <v>223</v>
      </c>
      <c r="E82" s="89" t="s">
        <v>5329</v>
      </c>
    </row>
    <row r="83" spans="1:5">
      <c r="A83" s="41">
        <v>133007</v>
      </c>
      <c r="B83" s="89" t="str">
        <f>VLOOKUP(A83,'prod-mongo'!A:B,2,FALSE)</f>
        <v>595f813c935f650021100702</v>
      </c>
      <c r="C83" s="91">
        <f>IFERROR(VLOOKUP(A83,'Item Database'!A:CC,4,FALSE), -1)</f>
        <v>85</v>
      </c>
      <c r="D83" s="91">
        <f>IFERROR(VLOOKUP(C83,'product-map'!A:B,2,FALSE), -1)</f>
        <v>223</v>
      </c>
      <c r="E83" s="89" t="s">
        <v>5329</v>
      </c>
    </row>
    <row r="84" spans="1:5">
      <c r="A84" s="41">
        <v>151931</v>
      </c>
      <c r="B84" s="89" t="str">
        <f>VLOOKUP(A84,'prod-mongo'!A:B,2,FALSE)</f>
        <v>595f813c935f650021100703</v>
      </c>
      <c r="C84" s="91">
        <f>IFERROR(VLOOKUP(A84,'Item Database'!A:CC,4,FALSE), -1)</f>
        <v>86</v>
      </c>
      <c r="D84" s="91">
        <f>IFERROR(VLOOKUP(C84,'product-map'!A:B,2,FALSE), -1)</f>
        <v>224</v>
      </c>
      <c r="E84" s="89" t="s">
        <v>5329</v>
      </c>
    </row>
    <row r="85" spans="1:5">
      <c r="A85" s="41">
        <v>222436</v>
      </c>
      <c r="B85" s="89" t="str">
        <f>VLOOKUP(A85,'prod-mongo'!A:B,2,FALSE)</f>
        <v>595f813c935f650021100704</v>
      </c>
      <c r="C85" s="91">
        <f>IFERROR(VLOOKUP(A85,'Item Database'!A:CC,4,FALSE), -1)</f>
        <v>86</v>
      </c>
      <c r="D85" s="91">
        <f>IFERROR(VLOOKUP(C85,'product-map'!A:B,2,FALSE), -1)</f>
        <v>224</v>
      </c>
      <c r="E85" s="89" t="s">
        <v>5329</v>
      </c>
    </row>
    <row r="86" spans="1:5">
      <c r="A86" s="41">
        <v>167430</v>
      </c>
      <c r="B86" s="89" t="str">
        <f>VLOOKUP(A86,'prod-mongo'!A:B,2,FALSE)</f>
        <v>595f813c935f650021100705</v>
      </c>
      <c r="C86" s="91">
        <f>IFERROR(VLOOKUP(A86,'Item Database'!A:CC,4,FALSE), -1)</f>
        <v>86</v>
      </c>
      <c r="D86" s="91">
        <f>IFERROR(VLOOKUP(C86,'product-map'!A:B,2,FALSE), -1)</f>
        <v>224</v>
      </c>
      <c r="E86" s="89" t="s">
        <v>5329</v>
      </c>
    </row>
    <row r="87" spans="1:5">
      <c r="A87" s="41">
        <v>173978</v>
      </c>
      <c r="B87" s="89" t="str">
        <f>VLOOKUP(A87,'prod-mongo'!A:B,2,FALSE)</f>
        <v>595f813c935f650021100706</v>
      </c>
      <c r="C87" s="91">
        <f>IFERROR(VLOOKUP(A87,'Item Database'!A:CC,4,FALSE), -1)</f>
        <v>86</v>
      </c>
      <c r="D87" s="91">
        <f>IFERROR(VLOOKUP(C87,'product-map'!A:B,2,FALSE), -1)</f>
        <v>224</v>
      </c>
      <c r="E87" s="89" t="s">
        <v>5329</v>
      </c>
    </row>
    <row r="88" spans="1:5">
      <c r="A88" s="41">
        <v>333715</v>
      </c>
      <c r="B88" s="89" t="str">
        <f>VLOOKUP(A88,'prod-mongo'!A:B,2,FALSE)</f>
        <v>595f813c935f650021100707</v>
      </c>
      <c r="C88" s="91">
        <f>IFERROR(VLOOKUP(A88,'Item Database'!A:CC,4,FALSE), -1)</f>
        <v>86</v>
      </c>
      <c r="D88" s="91">
        <f>IFERROR(VLOOKUP(C88,'product-map'!A:B,2,FALSE), -1)</f>
        <v>224</v>
      </c>
      <c r="E88" s="89" t="s">
        <v>5329</v>
      </c>
    </row>
    <row r="89" spans="1:5">
      <c r="A89" s="41">
        <v>817722</v>
      </c>
      <c r="B89" s="89" t="str">
        <f>VLOOKUP(A89,'prod-mongo'!A:B,2,FALSE)</f>
        <v>595f813c935f650021100708</v>
      </c>
      <c r="C89" s="91">
        <f>IFERROR(VLOOKUP(A89,'Item Database'!A:CC,4,FALSE), -1)</f>
        <v>86</v>
      </c>
      <c r="D89" s="91">
        <f>IFERROR(VLOOKUP(C89,'product-map'!A:B,2,FALSE), -1)</f>
        <v>224</v>
      </c>
      <c r="E89" s="89" t="s">
        <v>5329</v>
      </c>
    </row>
    <row r="90" spans="1:5">
      <c r="A90" s="41">
        <v>149949</v>
      </c>
      <c r="B90" s="89" t="str">
        <f>VLOOKUP(A90,'prod-mongo'!A:B,2,FALSE)</f>
        <v>595f813c935f650021100709</v>
      </c>
      <c r="C90" s="91">
        <f>IFERROR(VLOOKUP(A90,'Item Database'!A:CC,4,FALSE), -1)</f>
        <v>86</v>
      </c>
      <c r="D90" s="91">
        <f>IFERROR(VLOOKUP(C90,'product-map'!A:B,2,FALSE), -1)</f>
        <v>224</v>
      </c>
      <c r="E90" s="89" t="s">
        <v>5329</v>
      </c>
    </row>
    <row r="91" spans="1:5">
      <c r="A91" s="41">
        <v>802119</v>
      </c>
      <c r="B91" s="89" t="str">
        <f>VLOOKUP(A91,'prod-mongo'!A:B,2,FALSE)</f>
        <v>595f813c935f65002110070a</v>
      </c>
      <c r="C91" s="91">
        <f>IFERROR(VLOOKUP(A91,'Item Database'!A:CC,4,FALSE), -1)</f>
        <v>87</v>
      </c>
      <c r="D91" s="91">
        <f>IFERROR(VLOOKUP(C91,'product-map'!A:B,2,FALSE), -1)</f>
        <v>225</v>
      </c>
      <c r="E91" s="89" t="s">
        <v>5329</v>
      </c>
    </row>
    <row r="92" spans="1:5">
      <c r="A92" s="41">
        <v>193888</v>
      </c>
      <c r="B92" s="89" t="str">
        <f>VLOOKUP(A92,'prod-mongo'!A:B,2,FALSE)</f>
        <v>595f813c935f65002110070b</v>
      </c>
      <c r="C92" s="91">
        <f>IFERROR(VLOOKUP(A92,'Item Database'!A:CC,4,FALSE), -1)</f>
        <v>87</v>
      </c>
      <c r="D92" s="91">
        <f>IFERROR(VLOOKUP(C92,'product-map'!A:B,2,FALSE), -1)</f>
        <v>225</v>
      </c>
      <c r="E92" s="89" t="s">
        <v>5329</v>
      </c>
    </row>
    <row r="93" spans="1:5">
      <c r="A93" s="41">
        <v>212649</v>
      </c>
      <c r="B93" s="89" t="str">
        <f>VLOOKUP(A93,'prod-mongo'!A:B,2,FALSE)</f>
        <v>595f813c935f65002110070c</v>
      </c>
      <c r="C93" s="91">
        <f>IFERROR(VLOOKUP(A93,'Item Database'!A:CC,4,FALSE), -1)</f>
        <v>87</v>
      </c>
      <c r="D93" s="91">
        <f>IFERROR(VLOOKUP(C93,'product-map'!A:B,2,FALSE), -1)</f>
        <v>225</v>
      </c>
      <c r="E93" s="89" t="s">
        <v>5329</v>
      </c>
    </row>
    <row r="94" spans="1:5">
      <c r="A94" s="41">
        <v>220274</v>
      </c>
      <c r="B94" s="89" t="str">
        <f>VLOOKUP(A94,'prod-mongo'!A:B,2,FALSE)</f>
        <v>595f813c935f65002110070d</v>
      </c>
      <c r="C94" s="91">
        <f>IFERROR(VLOOKUP(A94,'Item Database'!A:CC,4,FALSE), -1)</f>
        <v>87</v>
      </c>
      <c r="D94" s="91">
        <f>IFERROR(VLOOKUP(C94,'product-map'!A:B,2,FALSE), -1)</f>
        <v>225</v>
      </c>
      <c r="E94" s="89" t="s">
        <v>5329</v>
      </c>
    </row>
    <row r="95" spans="1:5">
      <c r="A95" s="41">
        <v>128839</v>
      </c>
      <c r="B95" s="89" t="str">
        <f>VLOOKUP(A95,'prod-mongo'!A:B,2,FALSE)</f>
        <v>595f813c935f65002110070e</v>
      </c>
      <c r="C95" s="91">
        <f>IFERROR(VLOOKUP(A95,'Item Database'!A:CC,4,FALSE), -1)</f>
        <v>87</v>
      </c>
      <c r="D95" s="91">
        <f>IFERROR(VLOOKUP(C95,'product-map'!A:B,2,FALSE), -1)</f>
        <v>225</v>
      </c>
      <c r="E95" s="89" t="s">
        <v>5329</v>
      </c>
    </row>
    <row r="96" spans="1:5">
      <c r="A96" s="41">
        <v>167668</v>
      </c>
      <c r="B96" s="89" t="str">
        <f>VLOOKUP(A96,'prod-mongo'!A:B,2,FALSE)</f>
        <v>595f813c935f65002110070f</v>
      </c>
      <c r="C96" s="91">
        <f>IFERROR(VLOOKUP(A96,'Item Database'!A:CC,4,FALSE), -1)</f>
        <v>92</v>
      </c>
      <c r="D96" s="91">
        <f>IFERROR(VLOOKUP(C96,'product-map'!A:B,2,FALSE), -1)</f>
        <v>230</v>
      </c>
      <c r="E96" s="89" t="s">
        <v>5329</v>
      </c>
    </row>
    <row r="97" spans="1:5">
      <c r="A97" s="41">
        <v>145360</v>
      </c>
      <c r="B97" s="89" t="str">
        <f>VLOOKUP(A97,'prod-mongo'!A:B,2,FALSE)</f>
        <v>595f813c935f650021100710</v>
      </c>
      <c r="C97" s="91">
        <f>IFERROR(VLOOKUP(A97,'Item Database'!A:CC,4,FALSE), -1)</f>
        <v>95</v>
      </c>
      <c r="D97" s="91">
        <f>IFERROR(VLOOKUP(C97,'product-map'!A:B,2,FALSE), -1)</f>
        <v>233</v>
      </c>
      <c r="E97" s="89" t="s">
        <v>5329</v>
      </c>
    </row>
    <row r="98" spans="1:5">
      <c r="A98" s="41">
        <v>72943</v>
      </c>
      <c r="B98" s="89" t="str">
        <f>VLOOKUP(A98,'prod-mongo'!A:B,2,FALSE)</f>
        <v>595f813c935f650021100711</v>
      </c>
      <c r="C98" s="91">
        <f>IFERROR(VLOOKUP(A98,'Item Database'!A:CC,4,FALSE), -1)</f>
        <v>96</v>
      </c>
      <c r="D98" s="91">
        <f>IFERROR(VLOOKUP(C98,'product-map'!A:B,2,FALSE), -1)</f>
        <v>234</v>
      </c>
      <c r="E98" s="89" t="s">
        <v>5329</v>
      </c>
    </row>
    <row r="99" spans="1:5">
      <c r="A99" s="41">
        <v>199804</v>
      </c>
      <c r="B99" s="89" t="str">
        <f>VLOOKUP(A99,'prod-mongo'!A:B,2,FALSE)</f>
        <v>595f813c935f650021100712</v>
      </c>
      <c r="C99" s="91">
        <f>IFERROR(VLOOKUP(A99,'Item Database'!A:CC,4,FALSE), -1)</f>
        <v>96</v>
      </c>
      <c r="D99" s="91">
        <f>IFERROR(VLOOKUP(C99,'product-map'!A:B,2,FALSE), -1)</f>
        <v>234</v>
      </c>
      <c r="E99" s="89" t="s">
        <v>5329</v>
      </c>
    </row>
    <row r="100" spans="1:5">
      <c r="A100" s="41">
        <v>818994</v>
      </c>
      <c r="B100" s="89" t="str">
        <f>VLOOKUP(A100,'prod-mongo'!A:B,2,FALSE)</f>
        <v>595f813c935f650021100713</v>
      </c>
      <c r="C100" s="91">
        <f>IFERROR(VLOOKUP(A100,'Item Database'!A:CC,4,FALSE), -1)</f>
        <v>96</v>
      </c>
      <c r="D100" s="91">
        <f>IFERROR(VLOOKUP(C100,'product-map'!A:B,2,FALSE), -1)</f>
        <v>234</v>
      </c>
      <c r="E100" s="89" t="s">
        <v>5329</v>
      </c>
    </row>
    <row r="101" spans="1:5">
      <c r="A101" s="41">
        <v>110626</v>
      </c>
      <c r="B101" s="89" t="str">
        <f>VLOOKUP(A101,'prod-mongo'!A:B,2,FALSE)</f>
        <v>595f813c935f650021100714</v>
      </c>
      <c r="C101" s="91">
        <f>IFERROR(VLOOKUP(A101,'Item Database'!A:CC,4,FALSE), -1)</f>
        <v>100</v>
      </c>
      <c r="D101" s="91">
        <f>IFERROR(VLOOKUP(C101,'product-map'!A:B,2,FALSE), -1)</f>
        <v>238</v>
      </c>
      <c r="E101" s="89" t="s">
        <v>5329</v>
      </c>
    </row>
    <row r="102" spans="1:5">
      <c r="A102" s="41">
        <v>104878</v>
      </c>
      <c r="B102" s="89" t="str">
        <f>VLOOKUP(A102,'prod-mongo'!A:B,2,FALSE)</f>
        <v>595f813c935f650021100715</v>
      </c>
      <c r="C102" s="91">
        <f>IFERROR(VLOOKUP(A102,'Item Database'!A:CC,4,FALSE), -1)</f>
        <v>100</v>
      </c>
      <c r="D102" s="91">
        <f>IFERROR(VLOOKUP(C102,'product-map'!A:B,2,FALSE), -1)</f>
        <v>238</v>
      </c>
      <c r="E102" s="89" t="s">
        <v>5329</v>
      </c>
    </row>
    <row r="103" spans="1:5">
      <c r="A103" s="41">
        <v>810275</v>
      </c>
      <c r="B103" s="89" t="str">
        <f>VLOOKUP(A103,'prod-mongo'!A:B,2,FALSE)</f>
        <v>595f813c935f650021100716</v>
      </c>
      <c r="C103" s="91">
        <f>IFERROR(VLOOKUP(A103,'Item Database'!A:CC,4,FALSE), -1)</f>
        <v>100</v>
      </c>
      <c r="D103" s="91">
        <f>IFERROR(VLOOKUP(C103,'product-map'!A:B,2,FALSE), -1)</f>
        <v>238</v>
      </c>
      <c r="E103" s="89" t="s">
        <v>5329</v>
      </c>
    </row>
    <row r="104" spans="1:5">
      <c r="A104" s="41">
        <v>131990</v>
      </c>
      <c r="B104" s="89" t="str">
        <f>VLOOKUP(A104,'prod-mongo'!A:B,2,FALSE)</f>
        <v>595f813c935f650021100717</v>
      </c>
      <c r="C104" s="91">
        <f>IFERROR(VLOOKUP(A104,'Item Database'!A:CC,4,FALSE), -1)</f>
        <v>100</v>
      </c>
      <c r="D104" s="91">
        <f>IFERROR(VLOOKUP(C104,'product-map'!A:B,2,FALSE), -1)</f>
        <v>238</v>
      </c>
      <c r="E104" s="89" t="s">
        <v>5329</v>
      </c>
    </row>
    <row r="105" spans="1:5">
      <c r="A105" s="41">
        <v>185636</v>
      </c>
      <c r="B105" s="89" t="str">
        <f>VLOOKUP(A105,'prod-mongo'!A:B,2,FALSE)</f>
        <v>595f813c935f650021100718</v>
      </c>
      <c r="C105" s="91">
        <f>IFERROR(VLOOKUP(A105,'Item Database'!A:CC,4,FALSE), -1)</f>
        <v>100</v>
      </c>
      <c r="D105" s="91">
        <f>IFERROR(VLOOKUP(C105,'product-map'!A:B,2,FALSE), -1)</f>
        <v>238</v>
      </c>
      <c r="E105" s="89" t="s">
        <v>5329</v>
      </c>
    </row>
    <row r="106" spans="1:5">
      <c r="A106" s="41">
        <v>137283</v>
      </c>
      <c r="B106" s="89" t="str">
        <f>VLOOKUP(A106,'prod-mongo'!A:B,2,FALSE)</f>
        <v>595f813c935f650021100719</v>
      </c>
      <c r="C106" s="91">
        <f>IFERROR(VLOOKUP(A106,'Item Database'!A:CC,4,FALSE), -1)</f>
        <v>100</v>
      </c>
      <c r="D106" s="91">
        <f>IFERROR(VLOOKUP(C106,'product-map'!A:B,2,FALSE), -1)</f>
        <v>238</v>
      </c>
      <c r="E106" s="89" t="s">
        <v>5329</v>
      </c>
    </row>
    <row r="107" spans="1:5">
      <c r="A107" s="41">
        <v>170547</v>
      </c>
      <c r="B107" s="89" t="str">
        <f>VLOOKUP(A107,'prod-mongo'!A:B,2,FALSE)</f>
        <v>595f813c935f65002110071a</v>
      </c>
      <c r="C107" s="91">
        <f>IFERROR(VLOOKUP(A107,'Item Database'!A:CC,4,FALSE), -1)</f>
        <v>101</v>
      </c>
      <c r="D107" s="91">
        <f>IFERROR(VLOOKUP(C107,'product-map'!A:B,2,FALSE), -1)</f>
        <v>239</v>
      </c>
      <c r="E107" s="89" t="s">
        <v>5329</v>
      </c>
    </row>
    <row r="108" spans="1:5">
      <c r="A108" s="41">
        <v>217512</v>
      </c>
      <c r="B108" s="89" t="str">
        <f>VLOOKUP(A108,'prod-mongo'!A:B,2,FALSE)</f>
        <v>595f813c935f65002110071b</v>
      </c>
      <c r="C108" s="91">
        <f>IFERROR(VLOOKUP(A108,'Item Database'!A:CC,4,FALSE), -1)</f>
        <v>101</v>
      </c>
      <c r="D108" s="91">
        <f>IFERROR(VLOOKUP(C108,'product-map'!A:B,2,FALSE), -1)</f>
        <v>239</v>
      </c>
      <c r="E108" s="89" t="s">
        <v>5329</v>
      </c>
    </row>
    <row r="109" spans="1:5">
      <c r="A109" s="41">
        <v>222644</v>
      </c>
      <c r="B109" s="89" t="str">
        <f>VLOOKUP(A109,'prod-mongo'!A:B,2,FALSE)</f>
        <v>595f813c935f65002110071c</v>
      </c>
      <c r="C109" s="91">
        <f>IFERROR(VLOOKUP(A109,'Item Database'!A:CC,4,FALSE), -1)</f>
        <v>101</v>
      </c>
      <c r="D109" s="91">
        <f>IFERROR(VLOOKUP(C109,'product-map'!A:B,2,FALSE), -1)</f>
        <v>239</v>
      </c>
      <c r="E109" s="89" t="s">
        <v>5329</v>
      </c>
    </row>
    <row r="110" spans="1:5">
      <c r="A110" s="41">
        <v>126776</v>
      </c>
      <c r="B110" s="89" t="str">
        <f>VLOOKUP(A110,'prod-mongo'!A:B,2,FALSE)</f>
        <v>595f813c935f65002110071d</v>
      </c>
      <c r="C110" s="91">
        <f>IFERROR(VLOOKUP(A110,'Item Database'!A:CC,4,FALSE), -1)</f>
        <v>101</v>
      </c>
      <c r="D110" s="91">
        <f>IFERROR(VLOOKUP(C110,'product-map'!A:B,2,FALSE), -1)</f>
        <v>239</v>
      </c>
      <c r="E110" s="89" t="s">
        <v>5329</v>
      </c>
    </row>
    <row r="111" spans="1:5">
      <c r="A111" s="41">
        <v>806600</v>
      </c>
      <c r="B111" s="89" t="str">
        <f>VLOOKUP(A111,'prod-mongo'!A:B,2,FALSE)</f>
        <v>595f813c935f65002110071e</v>
      </c>
      <c r="C111" s="91">
        <f>IFERROR(VLOOKUP(A111,'Item Database'!A:CC,4,FALSE), -1)</f>
        <v>105</v>
      </c>
      <c r="D111" s="91">
        <f>IFERROR(VLOOKUP(C111,'product-map'!A:B,2,FALSE), -1)</f>
        <v>243</v>
      </c>
      <c r="E111" s="89" t="s">
        <v>5329</v>
      </c>
    </row>
    <row r="112" spans="1:5">
      <c r="A112" s="41">
        <v>811737</v>
      </c>
      <c r="B112" s="89" t="str">
        <f>VLOOKUP(A112,'prod-mongo'!A:B,2,FALSE)</f>
        <v>595f813c935f65002110071f</v>
      </c>
      <c r="C112" s="91">
        <f>IFERROR(VLOOKUP(A112,'Item Database'!A:CC,4,FALSE), -1)</f>
        <v>105</v>
      </c>
      <c r="D112" s="91">
        <f>IFERROR(VLOOKUP(C112,'product-map'!A:B,2,FALSE), -1)</f>
        <v>243</v>
      </c>
      <c r="E112" s="89" t="s">
        <v>5329</v>
      </c>
    </row>
    <row r="113" spans="1:5">
      <c r="A113" s="41">
        <v>806593</v>
      </c>
      <c r="B113" s="89" t="str">
        <f>VLOOKUP(A113,'prod-mongo'!A:B,2,FALSE)</f>
        <v>595f813c935f650021100720</v>
      </c>
      <c r="C113" s="91">
        <f>IFERROR(VLOOKUP(A113,'Item Database'!A:CC,4,FALSE), -1)</f>
        <v>105</v>
      </c>
      <c r="D113" s="91">
        <f>IFERROR(VLOOKUP(C113,'product-map'!A:B,2,FALSE), -1)</f>
        <v>243</v>
      </c>
      <c r="E113" s="89" t="s">
        <v>5329</v>
      </c>
    </row>
    <row r="114" spans="1:5">
      <c r="A114" s="41">
        <v>820067</v>
      </c>
      <c r="B114" s="89" t="str">
        <f>VLOOKUP(A114,'prod-mongo'!A:B,2,FALSE)</f>
        <v>595f813c935f650021100721</v>
      </c>
      <c r="C114" s="91">
        <f>IFERROR(VLOOKUP(A114,'Item Database'!A:CC,4,FALSE), -1)</f>
        <v>105</v>
      </c>
      <c r="D114" s="91">
        <f>IFERROR(VLOOKUP(C114,'product-map'!A:B,2,FALSE), -1)</f>
        <v>243</v>
      </c>
      <c r="E114" s="89" t="s">
        <v>5329</v>
      </c>
    </row>
    <row r="115" spans="1:5">
      <c r="A115" s="41">
        <v>226164</v>
      </c>
      <c r="B115" s="89" t="str">
        <f>VLOOKUP(A115,'prod-mongo'!A:B,2,FALSE)</f>
        <v>595f813c935f650021100722</v>
      </c>
      <c r="C115" s="91">
        <f>IFERROR(VLOOKUP(A115,'Item Database'!A:CC,4,FALSE), -1)</f>
        <v>105</v>
      </c>
      <c r="D115" s="91">
        <f>IFERROR(VLOOKUP(C115,'product-map'!A:B,2,FALSE), -1)</f>
        <v>243</v>
      </c>
      <c r="E115" s="89" t="s">
        <v>5329</v>
      </c>
    </row>
    <row r="116" spans="1:5">
      <c r="A116" s="41">
        <v>818363</v>
      </c>
      <c r="B116" s="89" t="str">
        <f>VLOOKUP(A116,'prod-mongo'!A:B,2,FALSE)</f>
        <v>595f813c935f650021100723</v>
      </c>
      <c r="C116" s="91">
        <f>IFERROR(VLOOKUP(A116,'Item Database'!A:CC,4,FALSE), -1)</f>
        <v>105</v>
      </c>
      <c r="D116" s="91">
        <f>IFERROR(VLOOKUP(C116,'product-map'!A:B,2,FALSE), -1)</f>
        <v>243</v>
      </c>
      <c r="E116" s="89" t="s">
        <v>5329</v>
      </c>
    </row>
    <row r="117" spans="1:5">
      <c r="A117" s="41">
        <v>806596</v>
      </c>
      <c r="B117" s="89" t="str">
        <f>VLOOKUP(A117,'prod-mongo'!A:B,2,FALSE)</f>
        <v>595f813c935f650021100724</v>
      </c>
      <c r="C117" s="91">
        <f>IFERROR(VLOOKUP(A117,'Item Database'!A:CC,4,FALSE), -1)</f>
        <v>105</v>
      </c>
      <c r="D117" s="91">
        <f>IFERROR(VLOOKUP(C117,'product-map'!A:B,2,FALSE), -1)</f>
        <v>243</v>
      </c>
      <c r="E117" s="89" t="s">
        <v>5329</v>
      </c>
    </row>
    <row r="118" spans="1:5">
      <c r="A118" s="41">
        <v>183082</v>
      </c>
      <c r="B118" s="89" t="str">
        <f>VLOOKUP(A118,'prod-mongo'!A:B,2,FALSE)</f>
        <v>595f813c935f650021100725</v>
      </c>
      <c r="C118" s="91">
        <f>IFERROR(VLOOKUP(A118,'Item Database'!A:CC,4,FALSE), -1)</f>
        <v>108</v>
      </c>
      <c r="D118" s="91">
        <f>IFERROR(VLOOKUP(C118,'product-map'!A:B,2,FALSE), -1)</f>
        <v>246</v>
      </c>
      <c r="E118" s="89" t="s">
        <v>5329</v>
      </c>
    </row>
    <row r="119" spans="1:5">
      <c r="A119" s="41">
        <v>887705</v>
      </c>
      <c r="B119" s="89" t="str">
        <f>VLOOKUP(A119,'prod-mongo'!A:B,2,FALSE)</f>
        <v>59141fffb21a1d00824f5ee3</v>
      </c>
      <c r="C119" s="91">
        <f>IFERROR(VLOOKUP(A119,'Item Database'!A:CC,4,FALSE), -1)</f>
        <v>108</v>
      </c>
      <c r="D119" s="91">
        <f>IFERROR(VLOOKUP(C119,'product-map'!A:B,2,FALSE), -1)</f>
        <v>246</v>
      </c>
      <c r="E119" s="89" t="s">
        <v>5329</v>
      </c>
    </row>
    <row r="120" spans="1:5">
      <c r="A120" s="41">
        <v>800643</v>
      </c>
      <c r="B120" s="89" t="str">
        <f>VLOOKUP(A120,'prod-mongo'!A:B,2,FALSE)</f>
        <v>5914201ab21a1d00824f6413</v>
      </c>
      <c r="C120" s="91">
        <f>IFERROR(VLOOKUP(A120,'Item Database'!A:CC,4,FALSE), -1)</f>
        <v>108</v>
      </c>
      <c r="D120" s="91">
        <f>IFERROR(VLOOKUP(C120,'product-map'!A:B,2,FALSE), -1)</f>
        <v>246</v>
      </c>
      <c r="E120" s="89" t="s">
        <v>5329</v>
      </c>
    </row>
    <row r="121" spans="1:5">
      <c r="A121" s="41">
        <v>887640</v>
      </c>
      <c r="B121" s="89" t="str">
        <f>VLOOKUP(A121,'prod-mongo'!A:B,2,FALSE)</f>
        <v>59141fd9b21a1d00824f55c7</v>
      </c>
      <c r="C121" s="91">
        <f>IFERROR(VLOOKUP(A121,'Item Database'!A:CC,4,FALSE), -1)</f>
        <v>108</v>
      </c>
      <c r="D121" s="91">
        <f>IFERROR(VLOOKUP(C121,'product-map'!A:B,2,FALSE), -1)</f>
        <v>246</v>
      </c>
      <c r="E121" s="89" t="s">
        <v>5329</v>
      </c>
    </row>
    <row r="122" spans="1:5">
      <c r="A122" s="41">
        <v>200556</v>
      </c>
      <c r="B122" s="89" t="str">
        <f>VLOOKUP(A122,'prod-mongo'!A:B,2,FALSE)</f>
        <v>595f813c935f650021100726</v>
      </c>
      <c r="C122" s="91">
        <f>IFERROR(VLOOKUP(A122,'Item Database'!A:CC,4,FALSE), -1)</f>
        <v>108</v>
      </c>
      <c r="D122" s="91">
        <f>IFERROR(VLOOKUP(C122,'product-map'!A:B,2,FALSE), -1)</f>
        <v>246</v>
      </c>
      <c r="E122" s="89" t="s">
        <v>5329</v>
      </c>
    </row>
    <row r="123" spans="1:5">
      <c r="A123" s="41">
        <v>210389</v>
      </c>
      <c r="B123" s="89" t="str">
        <f>VLOOKUP(A123,'prod-mongo'!A:B,2,FALSE)</f>
        <v>595f813c935f650021100727</v>
      </c>
      <c r="C123" s="91">
        <f>IFERROR(VLOOKUP(A123,'Item Database'!A:CC,4,FALSE), -1)</f>
        <v>108</v>
      </c>
      <c r="D123" s="91">
        <f>IFERROR(VLOOKUP(C123,'product-map'!A:B,2,FALSE), -1)</f>
        <v>246</v>
      </c>
      <c r="E123" s="89" t="s">
        <v>5329</v>
      </c>
    </row>
    <row r="124" spans="1:5">
      <c r="A124" s="41">
        <v>200550</v>
      </c>
      <c r="B124" s="89" t="str">
        <f>VLOOKUP(A124,'prod-mongo'!A:B,2,FALSE)</f>
        <v>595f813c935f650021100728</v>
      </c>
      <c r="C124" s="91">
        <f>IFERROR(VLOOKUP(A124,'Item Database'!A:CC,4,FALSE), -1)</f>
        <v>108</v>
      </c>
      <c r="D124" s="91">
        <f>IFERROR(VLOOKUP(C124,'product-map'!A:B,2,FALSE), -1)</f>
        <v>246</v>
      </c>
      <c r="E124" s="89" t="s">
        <v>5329</v>
      </c>
    </row>
    <row r="125" spans="1:5">
      <c r="A125" s="41">
        <v>235091</v>
      </c>
      <c r="B125" s="89" t="str">
        <f>VLOOKUP(A125,'prod-mongo'!A:B,2,FALSE)</f>
        <v>59142009b21a1d00824f60c1</v>
      </c>
      <c r="C125" s="91">
        <f>IFERROR(VLOOKUP(A125,'Item Database'!A:CC,4,FALSE), -1)</f>
        <v>108</v>
      </c>
      <c r="D125" s="91">
        <f>IFERROR(VLOOKUP(C125,'product-map'!A:B,2,FALSE), -1)</f>
        <v>246</v>
      </c>
      <c r="E125" s="89" t="s">
        <v>5329</v>
      </c>
    </row>
    <row r="126" spans="1:5">
      <c r="A126" s="41">
        <v>159892</v>
      </c>
      <c r="B126" s="89" t="str">
        <f>VLOOKUP(A126,'prod-mongo'!A:B,2,FALSE)</f>
        <v>595f813c935f650021100729</v>
      </c>
      <c r="C126" s="91">
        <f>IFERROR(VLOOKUP(A126,'Item Database'!A:CC,4,FALSE), -1)</f>
        <v>108</v>
      </c>
      <c r="D126" s="91">
        <f>IFERROR(VLOOKUP(C126,'product-map'!A:B,2,FALSE), -1)</f>
        <v>246</v>
      </c>
      <c r="E126" s="89" t="s">
        <v>5329</v>
      </c>
    </row>
    <row r="127" spans="1:5">
      <c r="A127" s="41">
        <v>200498</v>
      </c>
      <c r="B127" s="89" t="str">
        <f>VLOOKUP(A127,'prod-mongo'!A:B,2,FALSE)</f>
        <v>595f813d935f65002110072a</v>
      </c>
      <c r="C127" s="91">
        <f>IFERROR(VLOOKUP(A127,'Item Database'!A:CC,4,FALSE), -1)</f>
        <v>108</v>
      </c>
      <c r="D127" s="91">
        <f>IFERROR(VLOOKUP(C127,'product-map'!A:B,2,FALSE), -1)</f>
        <v>246</v>
      </c>
      <c r="E127" s="89" t="s">
        <v>5329</v>
      </c>
    </row>
    <row r="128" spans="1:5">
      <c r="A128" s="41">
        <v>200553</v>
      </c>
      <c r="B128" s="89" t="str">
        <f>VLOOKUP(A128,'prod-mongo'!A:B,2,FALSE)</f>
        <v>595f813d935f65002110072b</v>
      </c>
      <c r="C128" s="91">
        <f>IFERROR(VLOOKUP(A128,'Item Database'!A:CC,4,FALSE), -1)</f>
        <v>108</v>
      </c>
      <c r="D128" s="91">
        <f>IFERROR(VLOOKUP(C128,'product-map'!A:B,2,FALSE), -1)</f>
        <v>246</v>
      </c>
      <c r="E128" s="89" t="s">
        <v>5329</v>
      </c>
    </row>
    <row r="129" spans="1:5">
      <c r="A129" s="41">
        <v>210385</v>
      </c>
      <c r="B129" s="89" t="str">
        <f>VLOOKUP(A129,'prod-mongo'!A:B,2,FALSE)</f>
        <v>595f813d935f65002110072c</v>
      </c>
      <c r="C129" s="91">
        <f>IFERROR(VLOOKUP(A129,'Item Database'!A:CC,4,FALSE), -1)</f>
        <v>108</v>
      </c>
      <c r="D129" s="91">
        <f>IFERROR(VLOOKUP(C129,'product-map'!A:B,2,FALSE), -1)</f>
        <v>246</v>
      </c>
      <c r="E129" s="89" t="s">
        <v>5329</v>
      </c>
    </row>
    <row r="130" spans="1:5">
      <c r="A130" s="41">
        <v>235056</v>
      </c>
      <c r="B130" s="89" t="str">
        <f>VLOOKUP(A130,'prod-mongo'!A:B,2,FALSE)</f>
        <v>5914200eb21a1d00824f61a3</v>
      </c>
      <c r="C130" s="91">
        <f>IFERROR(VLOOKUP(A130,'Item Database'!A:CC,4,FALSE), -1)</f>
        <v>108</v>
      </c>
      <c r="D130" s="91">
        <f>IFERROR(VLOOKUP(C130,'product-map'!A:B,2,FALSE), -1)</f>
        <v>246</v>
      </c>
      <c r="E130" s="89" t="s">
        <v>5329</v>
      </c>
    </row>
    <row r="131" spans="1:5">
      <c r="A131" s="41">
        <v>141176</v>
      </c>
      <c r="B131" s="89" t="str">
        <f>VLOOKUP(A131,'prod-mongo'!A:B,2,FALSE)</f>
        <v>59142002b21a1d00824f5f88</v>
      </c>
      <c r="C131" s="91">
        <f>IFERROR(VLOOKUP(A131,'Item Database'!A:CC,4,FALSE), -1)</f>
        <v>109</v>
      </c>
      <c r="D131" s="91">
        <f>IFERROR(VLOOKUP(C131,'product-map'!A:B,2,FALSE), -1)</f>
        <v>247</v>
      </c>
      <c r="E131" s="89" t="s">
        <v>5329</v>
      </c>
    </row>
    <row r="132" spans="1:5">
      <c r="A132" s="41">
        <v>811815</v>
      </c>
      <c r="B132" s="89" t="str">
        <f>VLOOKUP(A132,'prod-mongo'!A:B,2,FALSE)</f>
        <v>595f813d935f65002110072d</v>
      </c>
      <c r="C132" s="91">
        <f>IFERROR(VLOOKUP(A132,'Item Database'!A:CC,4,FALSE), -1)</f>
        <v>109</v>
      </c>
      <c r="D132" s="91">
        <f>IFERROR(VLOOKUP(C132,'product-map'!A:B,2,FALSE), -1)</f>
        <v>247</v>
      </c>
      <c r="E132" s="89" t="s">
        <v>5329</v>
      </c>
    </row>
    <row r="133" spans="1:5">
      <c r="A133" s="41">
        <v>887627</v>
      </c>
      <c r="B133" s="89" t="str">
        <f>VLOOKUP(A133,'prod-mongo'!A:B,2,FALSE)</f>
        <v>59142009b21a1d00824f60d6</v>
      </c>
      <c r="C133" s="91">
        <f>IFERROR(VLOOKUP(A133,'Item Database'!A:CC,4,FALSE), -1)</f>
        <v>109</v>
      </c>
      <c r="D133" s="91">
        <f>IFERROR(VLOOKUP(C133,'product-map'!A:B,2,FALSE), -1)</f>
        <v>247</v>
      </c>
      <c r="E133" s="89" t="s">
        <v>5329</v>
      </c>
    </row>
    <row r="134" spans="1:5">
      <c r="A134" s="41">
        <v>198281</v>
      </c>
      <c r="B134" s="89" t="str">
        <f>VLOOKUP(A134,'prod-mongo'!A:B,2,FALSE)</f>
        <v>595f813d935f65002110072e</v>
      </c>
      <c r="C134" s="91">
        <f>IFERROR(VLOOKUP(A134,'Item Database'!A:CC,4,FALSE), -1)</f>
        <v>109</v>
      </c>
      <c r="D134" s="91">
        <f>IFERROR(VLOOKUP(C134,'product-map'!A:B,2,FALSE), -1)</f>
        <v>247</v>
      </c>
      <c r="E134" s="89" t="s">
        <v>5329</v>
      </c>
    </row>
    <row r="135" spans="1:5">
      <c r="A135" s="41">
        <v>207547</v>
      </c>
      <c r="B135" s="89" t="str">
        <f>VLOOKUP(A135,'prod-mongo'!A:B,2,FALSE)</f>
        <v>595f813d935f65002110072f</v>
      </c>
      <c r="C135" s="91">
        <f>IFERROR(VLOOKUP(A135,'Item Database'!A:CC,4,FALSE), -1)</f>
        <v>109</v>
      </c>
      <c r="D135" s="91">
        <f>IFERROR(VLOOKUP(C135,'product-map'!A:B,2,FALSE), -1)</f>
        <v>247</v>
      </c>
      <c r="E135" s="89" t="s">
        <v>5329</v>
      </c>
    </row>
    <row r="136" spans="1:5">
      <c r="A136" s="41">
        <v>418587</v>
      </c>
      <c r="B136" s="89" t="str">
        <f>VLOOKUP(A136,'prod-mongo'!A:B,2,FALSE)</f>
        <v>595f813d935f650021100730</v>
      </c>
      <c r="C136" s="91">
        <f>IFERROR(VLOOKUP(A136,'Item Database'!A:CC,4,FALSE), -1)</f>
        <v>111</v>
      </c>
      <c r="D136" s="91">
        <f>IFERROR(VLOOKUP(C136,'product-map'!A:B,2,FALSE), -1)</f>
        <v>249</v>
      </c>
      <c r="E136" s="89" t="s">
        <v>5329</v>
      </c>
    </row>
    <row r="137" spans="1:5">
      <c r="A137" s="41">
        <v>418613</v>
      </c>
      <c r="B137" s="89" t="str">
        <f>VLOOKUP(A137,'prod-mongo'!A:B,2,FALSE)</f>
        <v>595f813d935f650021100731</v>
      </c>
      <c r="C137" s="91">
        <f>IFERROR(VLOOKUP(A137,'Item Database'!A:CC,4,FALSE), -1)</f>
        <v>111</v>
      </c>
      <c r="D137" s="91">
        <f>IFERROR(VLOOKUP(C137,'product-map'!A:B,2,FALSE), -1)</f>
        <v>249</v>
      </c>
      <c r="E137" s="89" t="s">
        <v>5329</v>
      </c>
    </row>
    <row r="138" spans="1:5">
      <c r="A138" s="41">
        <v>449072</v>
      </c>
      <c r="B138" s="89" t="str">
        <f>VLOOKUP(A138,'prod-mongo'!A:B,2,FALSE)</f>
        <v>595f813d935f650021100732</v>
      </c>
      <c r="C138" s="91">
        <f>IFERROR(VLOOKUP(A138,'Item Database'!A:CC,4,FALSE), -1)</f>
        <v>111</v>
      </c>
      <c r="D138" s="91">
        <f>IFERROR(VLOOKUP(C138,'product-map'!A:B,2,FALSE), -1)</f>
        <v>249</v>
      </c>
      <c r="E138" s="89" t="s">
        <v>5329</v>
      </c>
    </row>
    <row r="139" spans="1:5">
      <c r="A139" s="41">
        <v>151450</v>
      </c>
      <c r="B139" s="89" t="str">
        <f>VLOOKUP(A139,'prod-mongo'!A:B,2,FALSE)</f>
        <v>595f813d935f650021100733</v>
      </c>
      <c r="C139" s="91">
        <f>IFERROR(VLOOKUP(A139,'Item Database'!A:CC,4,FALSE), -1)</f>
        <v>111</v>
      </c>
      <c r="D139" s="91">
        <f>IFERROR(VLOOKUP(C139,'product-map'!A:B,2,FALSE), -1)</f>
        <v>249</v>
      </c>
      <c r="E139" s="89" t="s">
        <v>5329</v>
      </c>
    </row>
    <row r="140" spans="1:5">
      <c r="A140" s="41">
        <v>112895</v>
      </c>
      <c r="B140" s="89" t="str">
        <f>VLOOKUP(A140,'prod-mongo'!A:B,2,FALSE)</f>
        <v>595f813d935f650021100734</v>
      </c>
      <c r="C140" s="91">
        <f>IFERROR(VLOOKUP(A140,'Item Database'!A:CC,4,FALSE), -1)</f>
        <v>112</v>
      </c>
      <c r="D140" s="91">
        <f>IFERROR(VLOOKUP(C140,'product-map'!A:B,2,FALSE), -1)</f>
        <v>250</v>
      </c>
      <c r="E140" s="89" t="s">
        <v>5329</v>
      </c>
    </row>
    <row r="141" spans="1:5">
      <c r="A141" s="41">
        <v>123822</v>
      </c>
      <c r="B141" s="89" t="str">
        <f>VLOOKUP(A141,'prod-mongo'!A:B,2,FALSE)</f>
        <v>595f813d935f650021100735</v>
      </c>
      <c r="C141" s="91">
        <f>IFERROR(VLOOKUP(A141,'Item Database'!A:CC,4,FALSE), -1)</f>
        <v>112</v>
      </c>
      <c r="D141" s="91">
        <f>IFERROR(VLOOKUP(C141,'product-map'!A:B,2,FALSE), -1)</f>
        <v>250</v>
      </c>
      <c r="E141" s="89" t="s">
        <v>5329</v>
      </c>
    </row>
    <row r="142" spans="1:5">
      <c r="A142" s="41">
        <v>191371</v>
      </c>
      <c r="B142" s="89" t="str">
        <f>VLOOKUP(A142,'prod-mongo'!A:B,2,FALSE)</f>
        <v>595f813d935f650021100736</v>
      </c>
      <c r="C142" s="91">
        <f>IFERROR(VLOOKUP(A142,'Item Database'!A:CC,4,FALSE), -1)</f>
        <v>112</v>
      </c>
      <c r="D142" s="91">
        <f>IFERROR(VLOOKUP(C142,'product-map'!A:B,2,FALSE), -1)</f>
        <v>250</v>
      </c>
      <c r="E142" s="89" t="s">
        <v>5329</v>
      </c>
    </row>
    <row r="143" spans="1:5">
      <c r="A143" s="41">
        <v>191311</v>
      </c>
      <c r="B143" s="89" t="str">
        <f>VLOOKUP(A143,'prod-mongo'!A:B,2,FALSE)</f>
        <v>595f813d935f650021100737</v>
      </c>
      <c r="C143" s="91">
        <f>IFERROR(VLOOKUP(A143,'Item Database'!A:CC,4,FALSE), -1)</f>
        <v>112</v>
      </c>
      <c r="D143" s="91">
        <f>IFERROR(VLOOKUP(C143,'product-map'!A:B,2,FALSE), -1)</f>
        <v>250</v>
      </c>
      <c r="E143" s="89" t="s">
        <v>5329</v>
      </c>
    </row>
    <row r="144" spans="1:5">
      <c r="A144" s="41">
        <v>191308</v>
      </c>
      <c r="B144" s="89" t="str">
        <f>VLOOKUP(A144,'prod-mongo'!A:B,2,FALSE)</f>
        <v>595f813d935f650021100738</v>
      </c>
      <c r="C144" s="91">
        <f>IFERROR(VLOOKUP(A144,'Item Database'!A:CC,4,FALSE), -1)</f>
        <v>112</v>
      </c>
      <c r="D144" s="91">
        <f>IFERROR(VLOOKUP(C144,'product-map'!A:B,2,FALSE), -1)</f>
        <v>250</v>
      </c>
      <c r="E144" s="89" t="s">
        <v>5329</v>
      </c>
    </row>
    <row r="145" spans="1:5">
      <c r="A145" s="41">
        <v>228726</v>
      </c>
      <c r="B145" s="89" t="str">
        <f>VLOOKUP(A145,'prod-mongo'!A:B,2,FALSE)</f>
        <v>595f813d935f650021100739</v>
      </c>
      <c r="C145" s="91">
        <f>IFERROR(VLOOKUP(A145,'Item Database'!A:CC,4,FALSE), -1)</f>
        <v>112</v>
      </c>
      <c r="D145" s="91">
        <f>IFERROR(VLOOKUP(C145,'product-map'!A:B,2,FALSE), -1)</f>
        <v>250</v>
      </c>
      <c r="E145" s="89" t="s">
        <v>5329</v>
      </c>
    </row>
    <row r="146" spans="1:5">
      <c r="A146" s="41">
        <v>191352</v>
      </c>
      <c r="B146" s="89" t="str">
        <f>VLOOKUP(A146,'prod-mongo'!A:B,2,FALSE)</f>
        <v>595f813d935f65002110073a</v>
      </c>
      <c r="C146" s="91">
        <f>IFERROR(VLOOKUP(A146,'Item Database'!A:CC,4,FALSE), -1)</f>
        <v>112</v>
      </c>
      <c r="D146" s="91">
        <f>IFERROR(VLOOKUP(C146,'product-map'!A:B,2,FALSE), -1)</f>
        <v>250</v>
      </c>
      <c r="E146" s="89" t="s">
        <v>5329</v>
      </c>
    </row>
    <row r="147" spans="1:5">
      <c r="A147" s="41">
        <v>757861</v>
      </c>
      <c r="B147" s="89" t="str">
        <f>VLOOKUP(A147,'prod-mongo'!A:B,2,FALSE)</f>
        <v>595f813d935f65002110073b</v>
      </c>
      <c r="C147" s="91">
        <f>IFERROR(VLOOKUP(A147,'Item Database'!A:CC,4,FALSE), -1)</f>
        <v>112</v>
      </c>
      <c r="D147" s="91">
        <f>IFERROR(VLOOKUP(C147,'product-map'!A:B,2,FALSE), -1)</f>
        <v>250</v>
      </c>
      <c r="E147" s="89" t="s">
        <v>5329</v>
      </c>
    </row>
    <row r="148" spans="1:5">
      <c r="A148" s="41">
        <v>117817</v>
      </c>
      <c r="B148" s="89" t="str">
        <f>VLOOKUP(A148,'prod-mongo'!A:B,2,FALSE)</f>
        <v>59141fefb21a1d00824f5ab9</v>
      </c>
      <c r="C148" s="91">
        <f>IFERROR(VLOOKUP(A148,'Item Database'!A:CC,4,FALSE), -1)</f>
        <v>112</v>
      </c>
      <c r="D148" s="91">
        <f>IFERROR(VLOOKUP(C148,'product-map'!A:B,2,FALSE), -1)</f>
        <v>250</v>
      </c>
      <c r="E148" s="89" t="s">
        <v>5329</v>
      </c>
    </row>
    <row r="149" spans="1:5">
      <c r="A149" s="41">
        <v>164373</v>
      </c>
      <c r="B149" s="89" t="str">
        <f>VLOOKUP(A149,'prod-mongo'!A:B,2,FALSE)</f>
        <v>595f813d935f65002110073c</v>
      </c>
      <c r="C149" s="91">
        <f>IFERROR(VLOOKUP(A149,'Item Database'!A:CC,4,FALSE), -1)</f>
        <v>114</v>
      </c>
      <c r="D149" s="91">
        <f>IFERROR(VLOOKUP(C149,'product-map'!A:B,2,FALSE), -1)</f>
        <v>252</v>
      </c>
      <c r="E149" s="89" t="s">
        <v>5329</v>
      </c>
    </row>
    <row r="150" spans="1:5">
      <c r="A150" s="41">
        <v>194628</v>
      </c>
      <c r="B150" s="89" t="str">
        <f>VLOOKUP(A150,'prod-mongo'!A:B,2,FALSE)</f>
        <v>595f813d935f65002110073d</v>
      </c>
      <c r="C150" s="91">
        <f>IFERROR(VLOOKUP(A150,'Item Database'!A:CC,4,FALSE), -1)</f>
        <v>114</v>
      </c>
      <c r="D150" s="91">
        <f>IFERROR(VLOOKUP(C150,'product-map'!A:B,2,FALSE), -1)</f>
        <v>252</v>
      </c>
      <c r="E150" s="89" t="s">
        <v>5329</v>
      </c>
    </row>
    <row r="151" spans="1:5">
      <c r="A151" s="41">
        <v>156778</v>
      </c>
      <c r="B151" s="89" t="str">
        <f>VLOOKUP(A151,'prod-mongo'!A:B,2,FALSE)</f>
        <v>595f813d935f65002110073e</v>
      </c>
      <c r="C151" s="91">
        <f>IFERROR(VLOOKUP(A151,'Item Database'!A:CC,4,FALSE), -1)</f>
        <v>115</v>
      </c>
      <c r="D151" s="91">
        <f>IFERROR(VLOOKUP(C151,'product-map'!A:B,2,FALSE), -1)</f>
        <v>253</v>
      </c>
      <c r="E151" s="89" t="s">
        <v>5329</v>
      </c>
    </row>
    <row r="152" spans="1:5">
      <c r="A152" s="41">
        <v>70109</v>
      </c>
      <c r="B152" s="89" t="str">
        <f>VLOOKUP(A152,'prod-mongo'!A:B,2,FALSE)</f>
        <v>595f813d935f65002110073f</v>
      </c>
      <c r="C152" s="91">
        <f>IFERROR(VLOOKUP(A152,'Item Database'!A:CC,4,FALSE), -1)</f>
        <v>115</v>
      </c>
      <c r="D152" s="91">
        <f>IFERROR(VLOOKUP(C152,'product-map'!A:B,2,FALSE), -1)</f>
        <v>253</v>
      </c>
      <c r="E152" s="89" t="s">
        <v>5329</v>
      </c>
    </row>
    <row r="153" spans="1:5">
      <c r="A153" s="41">
        <v>36790</v>
      </c>
      <c r="B153" s="89" t="str">
        <f>VLOOKUP(A153,'prod-mongo'!A:B,2,FALSE)</f>
        <v>595f813d935f650021100740</v>
      </c>
      <c r="C153" s="91">
        <f>IFERROR(VLOOKUP(A153,'Item Database'!A:CC,4,FALSE), -1)</f>
        <v>115</v>
      </c>
      <c r="D153" s="91">
        <f>IFERROR(VLOOKUP(C153,'product-map'!A:B,2,FALSE), -1)</f>
        <v>253</v>
      </c>
      <c r="E153" s="89" t="s">
        <v>5329</v>
      </c>
    </row>
    <row r="154" spans="1:5">
      <c r="A154" s="41">
        <v>160414</v>
      </c>
      <c r="B154" s="89" t="str">
        <f>VLOOKUP(A154,'prod-mongo'!A:B,2,FALSE)</f>
        <v>595f813d935f650021100741</v>
      </c>
      <c r="C154" s="91">
        <f>IFERROR(VLOOKUP(A154,'Item Database'!A:CC,4,FALSE), -1)</f>
        <v>115</v>
      </c>
      <c r="D154" s="91">
        <f>IFERROR(VLOOKUP(C154,'product-map'!A:B,2,FALSE), -1)</f>
        <v>253</v>
      </c>
      <c r="E154" s="89" t="s">
        <v>5329</v>
      </c>
    </row>
    <row r="155" spans="1:5">
      <c r="A155" s="41">
        <v>820411</v>
      </c>
      <c r="B155" s="89" t="str">
        <f>VLOOKUP(A155,'prod-mongo'!A:B,2,FALSE)</f>
        <v>595f813d935f650021100742</v>
      </c>
      <c r="C155" s="91">
        <f>IFERROR(VLOOKUP(A155,'Item Database'!A:CC,4,FALSE), -1)</f>
        <v>116</v>
      </c>
      <c r="D155" s="91">
        <f>IFERROR(VLOOKUP(C155,'product-map'!A:B,2,FALSE), -1)</f>
        <v>254</v>
      </c>
      <c r="E155" s="89" t="s">
        <v>5329</v>
      </c>
    </row>
    <row r="156" spans="1:5">
      <c r="A156" s="41">
        <v>122889</v>
      </c>
      <c r="B156" s="89" t="str">
        <f>VLOOKUP(A156,'prod-mongo'!A:B,2,FALSE)</f>
        <v>595f813d935f650021100743</v>
      </c>
      <c r="C156" s="91">
        <f>IFERROR(VLOOKUP(A156,'Item Database'!A:CC,4,FALSE), -1)</f>
        <v>116</v>
      </c>
      <c r="D156" s="91">
        <f>IFERROR(VLOOKUP(C156,'product-map'!A:B,2,FALSE), -1)</f>
        <v>254</v>
      </c>
      <c r="E156" s="89" t="s">
        <v>5329</v>
      </c>
    </row>
    <row r="157" spans="1:5">
      <c r="A157" s="41">
        <v>202206</v>
      </c>
      <c r="B157" s="89" t="str">
        <f>VLOOKUP(A157,'prod-mongo'!A:B,2,FALSE)</f>
        <v>595f813d935f650021100744</v>
      </c>
      <c r="C157" s="91">
        <f>IFERROR(VLOOKUP(A157,'Item Database'!A:CC,4,FALSE), -1)</f>
        <v>116</v>
      </c>
      <c r="D157" s="91">
        <f>IFERROR(VLOOKUP(C157,'product-map'!A:B,2,FALSE), -1)</f>
        <v>254</v>
      </c>
      <c r="E157" s="89" t="s">
        <v>5329</v>
      </c>
    </row>
    <row r="158" spans="1:5">
      <c r="A158" s="41">
        <v>202231</v>
      </c>
      <c r="B158" s="89" t="str">
        <f>VLOOKUP(A158,'prod-mongo'!A:B,2,FALSE)</f>
        <v>595f813d935f650021100745</v>
      </c>
      <c r="C158" s="91">
        <f>IFERROR(VLOOKUP(A158,'Item Database'!A:CC,4,FALSE), -1)</f>
        <v>116</v>
      </c>
      <c r="D158" s="91">
        <f>IFERROR(VLOOKUP(C158,'product-map'!A:B,2,FALSE), -1)</f>
        <v>254</v>
      </c>
      <c r="E158" s="89" t="s">
        <v>5329</v>
      </c>
    </row>
    <row r="159" spans="1:5">
      <c r="A159" s="41">
        <v>510406</v>
      </c>
      <c r="B159" s="89" t="str">
        <f>VLOOKUP(A159,'prod-mongo'!A:B,2,FALSE)</f>
        <v>595f813d935f650021100746</v>
      </c>
      <c r="C159" s="91">
        <f>IFERROR(VLOOKUP(A159,'Item Database'!A:CC,4,FALSE), -1)</f>
        <v>116</v>
      </c>
      <c r="D159" s="91">
        <f>IFERROR(VLOOKUP(C159,'product-map'!A:B,2,FALSE), -1)</f>
        <v>254</v>
      </c>
      <c r="E159" s="89" t="s">
        <v>5329</v>
      </c>
    </row>
    <row r="160" spans="1:5">
      <c r="A160" s="41">
        <v>213583</v>
      </c>
      <c r="B160" s="89" t="str">
        <f>VLOOKUP(A160,'prod-mongo'!A:B,2,FALSE)</f>
        <v>595f813d935f650021100747</v>
      </c>
      <c r="C160" s="91">
        <f>IFERROR(VLOOKUP(A160,'Item Database'!A:CC,4,FALSE), -1)</f>
        <v>117</v>
      </c>
      <c r="D160" s="91">
        <f>IFERROR(VLOOKUP(C160,'product-map'!A:B,2,FALSE), -1)</f>
        <v>255</v>
      </c>
      <c r="E160" s="89" t="s">
        <v>5329</v>
      </c>
    </row>
    <row r="161" spans="1:5">
      <c r="A161" s="41">
        <v>210666</v>
      </c>
      <c r="B161" s="89" t="str">
        <f>VLOOKUP(A161,'prod-mongo'!A:B,2,FALSE)</f>
        <v>595f813d935f650021100748</v>
      </c>
      <c r="C161" s="91">
        <f>IFERROR(VLOOKUP(A161,'Item Database'!A:CC,4,FALSE), -1)</f>
        <v>117</v>
      </c>
      <c r="D161" s="91">
        <f>IFERROR(VLOOKUP(C161,'product-map'!A:B,2,FALSE), -1)</f>
        <v>255</v>
      </c>
      <c r="E161" s="89" t="s">
        <v>5329</v>
      </c>
    </row>
    <row r="162" spans="1:5">
      <c r="A162" s="41">
        <v>210771</v>
      </c>
      <c r="B162" s="89" t="str">
        <f>VLOOKUP(A162,'prod-mongo'!A:B,2,FALSE)</f>
        <v>595f813d935f650021100749</v>
      </c>
      <c r="C162" s="91">
        <f>IFERROR(VLOOKUP(A162,'Item Database'!A:CC,4,FALSE), -1)</f>
        <v>117</v>
      </c>
      <c r="D162" s="91">
        <f>IFERROR(VLOOKUP(C162,'product-map'!A:B,2,FALSE), -1)</f>
        <v>255</v>
      </c>
      <c r="E162" s="89" t="s">
        <v>5329</v>
      </c>
    </row>
    <row r="163" spans="1:5">
      <c r="A163" s="41">
        <v>229703</v>
      </c>
      <c r="B163" s="89" t="str">
        <f>VLOOKUP(A163,'prod-mongo'!A:B,2,FALSE)</f>
        <v>595f813d935f65002110074a</v>
      </c>
      <c r="C163" s="91">
        <f>IFERROR(VLOOKUP(A163,'Item Database'!A:CC,4,FALSE), -1)</f>
        <v>117</v>
      </c>
      <c r="D163" s="91">
        <f>IFERROR(VLOOKUP(C163,'product-map'!A:B,2,FALSE), -1)</f>
        <v>255</v>
      </c>
      <c r="E163" s="89" t="s">
        <v>5329</v>
      </c>
    </row>
    <row r="164" spans="1:5">
      <c r="A164" s="41">
        <v>109695</v>
      </c>
      <c r="B164" s="89" t="str">
        <f>VLOOKUP(A164,'prod-mongo'!A:B,2,FALSE)</f>
        <v>595f813d935f65002110074b</v>
      </c>
      <c r="C164" s="91">
        <f>IFERROR(VLOOKUP(A164,'Item Database'!A:CC,4,FALSE), -1)</f>
        <v>118</v>
      </c>
      <c r="D164" s="91">
        <f>IFERROR(VLOOKUP(C164,'product-map'!A:B,2,FALSE), -1)</f>
        <v>256</v>
      </c>
      <c r="E164" s="89" t="s">
        <v>5329</v>
      </c>
    </row>
    <row r="165" spans="1:5">
      <c r="A165" s="41">
        <v>803173</v>
      </c>
      <c r="B165" s="89" t="str">
        <f>VLOOKUP(A165,'prod-mongo'!A:B,2,FALSE)</f>
        <v>595f813d935f65002110074c</v>
      </c>
      <c r="C165" s="91">
        <f>IFERROR(VLOOKUP(A165,'Item Database'!A:CC,4,FALSE), -1)</f>
        <v>118</v>
      </c>
      <c r="D165" s="91">
        <f>IFERROR(VLOOKUP(C165,'product-map'!A:B,2,FALSE), -1)</f>
        <v>256</v>
      </c>
      <c r="E165" s="89" t="s">
        <v>5329</v>
      </c>
    </row>
    <row r="166" spans="1:5">
      <c r="A166" s="41">
        <v>819199</v>
      </c>
      <c r="B166" s="89" t="str">
        <f>VLOOKUP(A166,'prod-mongo'!A:B,2,FALSE)</f>
        <v>595f813d935f65002110074d</v>
      </c>
      <c r="C166" s="91">
        <f>IFERROR(VLOOKUP(A166,'Item Database'!A:CC,4,FALSE), -1)</f>
        <v>118</v>
      </c>
      <c r="D166" s="91">
        <f>IFERROR(VLOOKUP(C166,'product-map'!A:B,2,FALSE), -1)</f>
        <v>256</v>
      </c>
      <c r="E166" s="89" t="s">
        <v>5329</v>
      </c>
    </row>
    <row r="167" spans="1:5">
      <c r="A167" s="41">
        <v>150989</v>
      </c>
      <c r="B167" s="89" t="str">
        <f>VLOOKUP(A167,'prod-mongo'!A:B,2,FALSE)</f>
        <v>595f813d935f65002110074e</v>
      </c>
      <c r="C167" s="91">
        <f>IFERROR(VLOOKUP(A167,'Item Database'!A:CC,4,FALSE), -1)</f>
        <v>118</v>
      </c>
      <c r="D167" s="91">
        <f>IFERROR(VLOOKUP(C167,'product-map'!A:B,2,FALSE), -1)</f>
        <v>256</v>
      </c>
      <c r="E167" s="89" t="s">
        <v>5329</v>
      </c>
    </row>
    <row r="168" spans="1:5">
      <c r="A168" s="41">
        <v>811423</v>
      </c>
      <c r="B168" s="89" t="str">
        <f>VLOOKUP(A168,'prod-mongo'!A:B,2,FALSE)</f>
        <v>595f813d935f65002110074f</v>
      </c>
      <c r="C168" s="91">
        <f>IFERROR(VLOOKUP(A168,'Item Database'!A:CC,4,FALSE), -1)</f>
        <v>118</v>
      </c>
      <c r="D168" s="91">
        <f>IFERROR(VLOOKUP(C168,'product-map'!A:B,2,FALSE), -1)</f>
        <v>256</v>
      </c>
      <c r="E168" s="89" t="s">
        <v>5329</v>
      </c>
    </row>
    <row r="169" spans="1:5">
      <c r="A169" s="41">
        <v>173921</v>
      </c>
      <c r="B169" s="89" t="str">
        <f>VLOOKUP(A169,'prod-mongo'!A:B,2,FALSE)</f>
        <v>595f813d935f650021100750</v>
      </c>
      <c r="C169" s="91">
        <f>IFERROR(VLOOKUP(A169,'Item Database'!A:CC,4,FALSE), -1)</f>
        <v>118</v>
      </c>
      <c r="D169" s="91">
        <f>IFERROR(VLOOKUP(C169,'product-map'!A:B,2,FALSE), -1)</f>
        <v>256</v>
      </c>
      <c r="E169" s="89" t="s">
        <v>5329</v>
      </c>
    </row>
    <row r="170" spans="1:5">
      <c r="A170" s="41">
        <v>817078</v>
      </c>
      <c r="B170" s="89" t="str">
        <f>VLOOKUP(A170,'prod-mongo'!A:B,2,FALSE)</f>
        <v>595f813d935f650021100751</v>
      </c>
      <c r="C170" s="91">
        <f>IFERROR(VLOOKUP(A170,'Item Database'!A:CC,4,FALSE), -1)</f>
        <v>118</v>
      </c>
      <c r="D170" s="91">
        <f>IFERROR(VLOOKUP(C170,'product-map'!A:B,2,FALSE), -1)</f>
        <v>256</v>
      </c>
      <c r="E170" s="89" t="s">
        <v>5329</v>
      </c>
    </row>
    <row r="171" spans="1:5">
      <c r="A171" s="41">
        <v>817079</v>
      </c>
      <c r="B171" s="89" t="str">
        <f>VLOOKUP(A171,'prod-mongo'!A:B,2,FALSE)</f>
        <v>595f813d935f650021100752</v>
      </c>
      <c r="C171" s="91">
        <f>IFERROR(VLOOKUP(A171,'Item Database'!A:CC,4,FALSE), -1)</f>
        <v>118</v>
      </c>
      <c r="D171" s="91">
        <f>IFERROR(VLOOKUP(C171,'product-map'!A:B,2,FALSE), -1)</f>
        <v>256</v>
      </c>
      <c r="E171" s="89" t="s">
        <v>5329</v>
      </c>
    </row>
    <row r="172" spans="1:5">
      <c r="A172" s="41">
        <v>817080</v>
      </c>
      <c r="B172" s="89" t="str">
        <f>VLOOKUP(A172,'prod-mongo'!A:B,2,FALSE)</f>
        <v>595f813d935f650021100753</v>
      </c>
      <c r="C172" s="91">
        <f>IFERROR(VLOOKUP(A172,'Item Database'!A:CC,4,FALSE), -1)</f>
        <v>118</v>
      </c>
      <c r="D172" s="91">
        <f>IFERROR(VLOOKUP(C172,'product-map'!A:B,2,FALSE), -1)</f>
        <v>256</v>
      </c>
      <c r="E172" s="89" t="s">
        <v>5329</v>
      </c>
    </row>
    <row r="173" spans="1:5">
      <c r="A173" s="41">
        <v>173919</v>
      </c>
      <c r="B173" s="89" t="str">
        <f>VLOOKUP(A173,'prod-mongo'!A:B,2,FALSE)</f>
        <v>595f813d935f650021100754</v>
      </c>
      <c r="C173" s="91">
        <f>IFERROR(VLOOKUP(A173,'Item Database'!A:CC,4,FALSE), -1)</f>
        <v>118</v>
      </c>
      <c r="D173" s="91">
        <f>IFERROR(VLOOKUP(C173,'product-map'!A:B,2,FALSE), -1)</f>
        <v>256</v>
      </c>
      <c r="E173" s="89" t="s">
        <v>5329</v>
      </c>
    </row>
    <row r="174" spans="1:5">
      <c r="A174" s="41">
        <v>532415</v>
      </c>
      <c r="B174" s="89" t="str">
        <f>VLOOKUP(A174,'prod-mongo'!A:B,2,FALSE)</f>
        <v>595f813d935f650021100755</v>
      </c>
      <c r="C174" s="91">
        <f>IFERROR(VLOOKUP(A174,'Item Database'!A:CC,4,FALSE), -1)</f>
        <v>118</v>
      </c>
      <c r="D174" s="91">
        <f>IFERROR(VLOOKUP(C174,'product-map'!A:B,2,FALSE), -1)</f>
        <v>256</v>
      </c>
      <c r="E174" s="89" t="s">
        <v>5329</v>
      </c>
    </row>
    <row r="175" spans="1:5">
      <c r="A175" s="41">
        <v>128044</v>
      </c>
      <c r="B175" s="89" t="str">
        <f>VLOOKUP(A175,'prod-mongo'!A:B,2,FALSE)</f>
        <v>595f813d935f650021100756</v>
      </c>
      <c r="C175" s="91">
        <f>IFERROR(VLOOKUP(A175,'Item Database'!A:CC,4,FALSE), -1)</f>
        <v>118</v>
      </c>
      <c r="D175" s="91">
        <f>IFERROR(VLOOKUP(C175,'product-map'!A:B,2,FALSE), -1)</f>
        <v>256</v>
      </c>
      <c r="E175" s="89" t="s">
        <v>5329</v>
      </c>
    </row>
    <row r="176" spans="1:5">
      <c r="A176" s="41">
        <v>809063</v>
      </c>
      <c r="B176" s="89" t="str">
        <f>VLOOKUP(A176,'prod-mongo'!A:B,2,FALSE)</f>
        <v>595f813d935f650021100757</v>
      </c>
      <c r="C176" s="91">
        <f>IFERROR(VLOOKUP(A176,'Item Database'!A:CC,4,FALSE), -1)</f>
        <v>118</v>
      </c>
      <c r="D176" s="91">
        <f>IFERROR(VLOOKUP(C176,'product-map'!A:B,2,FALSE), -1)</f>
        <v>256</v>
      </c>
      <c r="E176" s="89" t="s">
        <v>5329</v>
      </c>
    </row>
    <row r="177" spans="1:5">
      <c r="A177" s="41">
        <v>817570</v>
      </c>
      <c r="B177" s="89" t="str">
        <f>VLOOKUP(A177,'prod-mongo'!A:B,2,FALSE)</f>
        <v>595f813d935f650021100758</v>
      </c>
      <c r="C177" s="91">
        <f>IFERROR(VLOOKUP(A177,'Item Database'!A:CC,4,FALSE), -1)</f>
        <v>118</v>
      </c>
      <c r="D177" s="91">
        <f>IFERROR(VLOOKUP(C177,'product-map'!A:B,2,FALSE), -1)</f>
        <v>256</v>
      </c>
      <c r="E177" s="89" t="s">
        <v>5329</v>
      </c>
    </row>
    <row r="178" spans="1:5">
      <c r="A178" s="41">
        <v>137272</v>
      </c>
      <c r="B178" s="89" t="str">
        <f>VLOOKUP(A178,'prod-mongo'!A:B,2,FALSE)</f>
        <v>595f813d935f650021100759</v>
      </c>
      <c r="C178" s="91">
        <f>IFERROR(VLOOKUP(A178,'Item Database'!A:CC,4,FALSE), -1)</f>
        <v>121</v>
      </c>
      <c r="D178" s="91">
        <f>IFERROR(VLOOKUP(C178,'product-map'!A:B,2,FALSE), -1)</f>
        <v>259</v>
      </c>
      <c r="E178" s="89" t="s">
        <v>5329</v>
      </c>
    </row>
    <row r="179" spans="1:5">
      <c r="A179" s="41">
        <v>815390</v>
      </c>
      <c r="B179" s="89" t="str">
        <f>VLOOKUP(A179,'prod-mongo'!A:B,2,FALSE)</f>
        <v>595f813d935f65002110075a</v>
      </c>
      <c r="C179" s="91">
        <f>IFERROR(VLOOKUP(A179,'Item Database'!A:CC,4,FALSE), -1)</f>
        <v>121</v>
      </c>
      <c r="D179" s="91">
        <f>IFERROR(VLOOKUP(C179,'product-map'!A:B,2,FALSE), -1)</f>
        <v>259</v>
      </c>
      <c r="E179" s="89" t="s">
        <v>5329</v>
      </c>
    </row>
    <row r="180" spans="1:5">
      <c r="A180" s="41">
        <v>24362</v>
      </c>
      <c r="B180" s="89" t="str">
        <f>VLOOKUP(A180,'prod-mongo'!A:B,2,FALSE)</f>
        <v>595f813d935f65002110075b</v>
      </c>
      <c r="C180" s="91">
        <f>IFERROR(VLOOKUP(A180,'Item Database'!A:CC,4,FALSE), -1)</f>
        <v>121</v>
      </c>
      <c r="D180" s="91">
        <f>IFERROR(VLOOKUP(C180,'product-map'!A:B,2,FALSE), -1)</f>
        <v>259</v>
      </c>
      <c r="E180" s="89" t="s">
        <v>5329</v>
      </c>
    </row>
    <row r="181" spans="1:5">
      <c r="A181" s="41">
        <v>174237</v>
      </c>
      <c r="B181" s="89" t="str">
        <f>VLOOKUP(A181,'prod-mongo'!A:B,2,FALSE)</f>
        <v>595f813d935f65002110075c</v>
      </c>
      <c r="C181" s="91">
        <f>IFERROR(VLOOKUP(A181,'Item Database'!A:CC,4,FALSE), -1)</f>
        <v>121</v>
      </c>
      <c r="D181" s="91">
        <f>IFERROR(VLOOKUP(C181,'product-map'!A:B,2,FALSE), -1)</f>
        <v>259</v>
      </c>
      <c r="E181" s="89" t="s">
        <v>5329</v>
      </c>
    </row>
    <row r="182" spans="1:5">
      <c r="A182" s="41">
        <v>171592</v>
      </c>
      <c r="B182" s="89" t="str">
        <f>VLOOKUP(A182,'prod-mongo'!A:B,2,FALSE)</f>
        <v>595f813d935f65002110075d</v>
      </c>
      <c r="C182" s="91">
        <f>IFERROR(VLOOKUP(A182,'Item Database'!A:CC,4,FALSE), -1)</f>
        <v>121</v>
      </c>
      <c r="D182" s="91">
        <f>IFERROR(VLOOKUP(C182,'product-map'!A:B,2,FALSE), -1)</f>
        <v>259</v>
      </c>
      <c r="E182" s="89" t="s">
        <v>5329</v>
      </c>
    </row>
    <row r="183" spans="1:5">
      <c r="A183" s="41">
        <v>650026</v>
      </c>
      <c r="B183" s="89" t="str">
        <f>VLOOKUP(A183,'prod-mongo'!A:B,2,FALSE)</f>
        <v>595f813d935f65002110075e</v>
      </c>
      <c r="C183" s="91">
        <f>IFERROR(VLOOKUP(A183,'Item Database'!A:CC,4,FALSE), -1)</f>
        <v>121</v>
      </c>
      <c r="D183" s="91">
        <f>IFERROR(VLOOKUP(C183,'product-map'!A:B,2,FALSE), -1)</f>
        <v>259</v>
      </c>
      <c r="E183" s="89" t="s">
        <v>5329</v>
      </c>
    </row>
    <row r="184" spans="1:5">
      <c r="A184" s="41">
        <v>201787</v>
      </c>
      <c r="B184" s="89" t="str">
        <f>VLOOKUP(A184,'prod-mongo'!A:B,2,FALSE)</f>
        <v>595f813d935f65002110075f</v>
      </c>
      <c r="C184" s="91">
        <f>IFERROR(VLOOKUP(A184,'Item Database'!A:CC,4,FALSE), -1)</f>
        <v>121</v>
      </c>
      <c r="D184" s="91">
        <f>IFERROR(VLOOKUP(C184,'product-map'!A:B,2,FALSE), -1)</f>
        <v>259</v>
      </c>
      <c r="E184" s="89" t="s">
        <v>5329</v>
      </c>
    </row>
    <row r="185" spans="1:5">
      <c r="A185" s="41">
        <v>24388</v>
      </c>
      <c r="B185" s="89" t="str">
        <f>VLOOKUP(A185,'prod-mongo'!A:B,2,FALSE)</f>
        <v>595f813d935f650021100760</v>
      </c>
      <c r="C185" s="91">
        <f>IFERROR(VLOOKUP(A185,'Item Database'!A:CC,4,FALSE), -1)</f>
        <v>121</v>
      </c>
      <c r="D185" s="91">
        <f>IFERROR(VLOOKUP(C185,'product-map'!A:B,2,FALSE), -1)</f>
        <v>259</v>
      </c>
      <c r="E185" s="89" t="s">
        <v>5329</v>
      </c>
    </row>
    <row r="186" spans="1:5">
      <c r="A186" s="41">
        <v>24856</v>
      </c>
      <c r="B186" s="89" t="str">
        <f>VLOOKUP(A186,'prod-mongo'!A:B,2,FALSE)</f>
        <v>595f813d935f650021100761</v>
      </c>
      <c r="C186" s="91">
        <f>IFERROR(VLOOKUP(A186,'Item Database'!A:CC,4,FALSE), -1)</f>
        <v>121</v>
      </c>
      <c r="D186" s="91">
        <f>IFERROR(VLOOKUP(C186,'product-map'!A:B,2,FALSE), -1)</f>
        <v>259</v>
      </c>
      <c r="E186" s="89" t="s">
        <v>5329</v>
      </c>
    </row>
    <row r="187" spans="1:5">
      <c r="A187" s="41">
        <v>182072</v>
      </c>
      <c r="B187" s="89" t="str">
        <f>VLOOKUP(A187,'prod-mongo'!A:B,2,FALSE)</f>
        <v>595f813d935f650021100762</v>
      </c>
      <c r="C187" s="91">
        <f>IFERROR(VLOOKUP(A187,'Item Database'!A:CC,4,FALSE), -1)</f>
        <v>123</v>
      </c>
      <c r="D187" s="91">
        <f>IFERROR(VLOOKUP(C187,'product-map'!A:B,2,FALSE), -1)</f>
        <v>261</v>
      </c>
      <c r="E187" s="89" t="s">
        <v>5329</v>
      </c>
    </row>
    <row r="188" spans="1:5">
      <c r="A188" s="41">
        <v>198599</v>
      </c>
      <c r="B188" s="89" t="str">
        <f>VLOOKUP(A188,'prod-mongo'!A:B,2,FALSE)</f>
        <v>595f813d935f650021100763</v>
      </c>
      <c r="C188" s="91">
        <f>IFERROR(VLOOKUP(A188,'Item Database'!A:CC,4,FALSE), -1)</f>
        <v>123</v>
      </c>
      <c r="D188" s="91">
        <f>IFERROR(VLOOKUP(C188,'product-map'!A:B,2,FALSE), -1)</f>
        <v>261</v>
      </c>
      <c r="E188" s="89" t="s">
        <v>5329</v>
      </c>
    </row>
    <row r="189" spans="1:5">
      <c r="A189" s="41">
        <v>109346</v>
      </c>
      <c r="B189" s="89" t="str">
        <f>VLOOKUP(A189,'prod-mongo'!A:B,2,FALSE)</f>
        <v>595f813d935f650021100764</v>
      </c>
      <c r="C189" s="91">
        <f>IFERROR(VLOOKUP(A189,'Item Database'!A:CC,4,FALSE), -1)</f>
        <v>123</v>
      </c>
      <c r="D189" s="91">
        <f>IFERROR(VLOOKUP(C189,'product-map'!A:B,2,FALSE), -1)</f>
        <v>261</v>
      </c>
      <c r="E189" s="89" t="s">
        <v>5329</v>
      </c>
    </row>
    <row r="190" spans="1:5">
      <c r="A190" s="41">
        <v>224356</v>
      </c>
      <c r="B190" s="89" t="str">
        <f>VLOOKUP(A190,'prod-mongo'!A:B,2,FALSE)</f>
        <v>595f813d935f650021100765</v>
      </c>
      <c r="C190" s="91">
        <f>IFERROR(VLOOKUP(A190,'Item Database'!A:CC,4,FALSE), -1)</f>
        <v>123</v>
      </c>
      <c r="D190" s="91">
        <f>IFERROR(VLOOKUP(C190,'product-map'!A:B,2,FALSE), -1)</f>
        <v>261</v>
      </c>
      <c r="E190" s="89" t="s">
        <v>5329</v>
      </c>
    </row>
    <row r="191" spans="1:5">
      <c r="A191" s="41">
        <v>978393</v>
      </c>
      <c r="B191" s="89" t="str">
        <f>VLOOKUP(A191,'prod-mongo'!A:B,2,FALSE)</f>
        <v>595f813d935f650021100766</v>
      </c>
      <c r="C191" s="91">
        <f>IFERROR(VLOOKUP(A191,'Item Database'!A:CC,4,FALSE), -1)</f>
        <v>123</v>
      </c>
      <c r="D191" s="91">
        <f>IFERROR(VLOOKUP(C191,'product-map'!A:B,2,FALSE), -1)</f>
        <v>261</v>
      </c>
      <c r="E191" s="89" t="s">
        <v>5329</v>
      </c>
    </row>
    <row r="192" spans="1:5">
      <c r="A192" s="41">
        <v>228286</v>
      </c>
      <c r="B192" s="89" t="str">
        <f>VLOOKUP(A192,'prod-mongo'!A:B,2,FALSE)</f>
        <v>595f813d935f650021100767</v>
      </c>
      <c r="C192" s="91">
        <f>IFERROR(VLOOKUP(A192,'Item Database'!A:CC,4,FALSE), -1)</f>
        <v>123</v>
      </c>
      <c r="D192" s="91">
        <f>IFERROR(VLOOKUP(C192,'product-map'!A:B,2,FALSE), -1)</f>
        <v>261</v>
      </c>
      <c r="E192" s="89" t="s">
        <v>5329</v>
      </c>
    </row>
    <row r="193" spans="1:5">
      <c r="A193" s="41">
        <v>163474</v>
      </c>
      <c r="B193" s="89" t="str">
        <f>VLOOKUP(A193,'prod-mongo'!A:B,2,FALSE)</f>
        <v>595f813d935f650021100768</v>
      </c>
      <c r="C193" s="91">
        <f>IFERROR(VLOOKUP(A193,'Item Database'!A:CC,4,FALSE), -1)</f>
        <v>125</v>
      </c>
      <c r="D193" s="91">
        <f>IFERROR(VLOOKUP(C193,'product-map'!A:B,2,FALSE), -1)</f>
        <v>263</v>
      </c>
      <c r="E193" s="89" t="s">
        <v>5329</v>
      </c>
    </row>
    <row r="194" spans="1:5">
      <c r="A194" s="41">
        <v>100516</v>
      </c>
      <c r="B194" s="89" t="str">
        <f>VLOOKUP(A194,'prod-mongo'!A:B,2,FALSE)</f>
        <v>595f813d935f650021100769</v>
      </c>
      <c r="C194" s="91">
        <f>IFERROR(VLOOKUP(A194,'Item Database'!A:CC,4,FALSE), -1)</f>
        <v>125</v>
      </c>
      <c r="D194" s="91">
        <f>IFERROR(VLOOKUP(C194,'product-map'!A:B,2,FALSE), -1)</f>
        <v>263</v>
      </c>
      <c r="E194" s="89" t="s">
        <v>5329</v>
      </c>
    </row>
    <row r="195" spans="1:5">
      <c r="A195" s="41">
        <v>219560</v>
      </c>
      <c r="B195" s="89" t="str">
        <f>VLOOKUP(A195,'prod-mongo'!A:B,2,FALSE)</f>
        <v>595f813d935f65002110076a</v>
      </c>
      <c r="C195" s="91">
        <f>IFERROR(VLOOKUP(A195,'Item Database'!A:CC,4,FALSE), -1)</f>
        <v>126</v>
      </c>
      <c r="D195" s="91">
        <f>IFERROR(VLOOKUP(C195,'product-map'!A:B,2,FALSE), -1)</f>
        <v>264</v>
      </c>
      <c r="E195" s="89" t="s">
        <v>5329</v>
      </c>
    </row>
    <row r="196" spans="1:5">
      <c r="A196" s="41">
        <v>161190</v>
      </c>
      <c r="B196" s="89" t="str">
        <f>VLOOKUP(A196,'prod-mongo'!A:B,2,FALSE)</f>
        <v>595f813d935f65002110076b</v>
      </c>
      <c r="C196" s="91">
        <f>IFERROR(VLOOKUP(A196,'Item Database'!A:CC,4,FALSE), -1)</f>
        <v>126</v>
      </c>
      <c r="D196" s="91">
        <f>IFERROR(VLOOKUP(C196,'product-map'!A:B,2,FALSE), -1)</f>
        <v>264</v>
      </c>
      <c r="E196" s="89" t="s">
        <v>5329</v>
      </c>
    </row>
    <row r="197" spans="1:5">
      <c r="A197" s="41">
        <v>142144</v>
      </c>
      <c r="B197" s="89" t="str">
        <f>VLOOKUP(A197,'prod-mongo'!A:B,2,FALSE)</f>
        <v>595f813d935f65002110076c</v>
      </c>
      <c r="C197" s="91">
        <f>IFERROR(VLOOKUP(A197,'Item Database'!A:CC,4,FALSE), -1)</f>
        <v>126</v>
      </c>
      <c r="D197" s="91">
        <f>IFERROR(VLOOKUP(C197,'product-map'!A:B,2,FALSE), -1)</f>
        <v>264</v>
      </c>
      <c r="E197" s="89" t="s">
        <v>5329</v>
      </c>
    </row>
    <row r="198" spans="1:5">
      <c r="A198" s="41">
        <v>219555</v>
      </c>
      <c r="B198" s="89" t="str">
        <f>VLOOKUP(A198,'prod-mongo'!A:B,2,FALSE)</f>
        <v>595f813d935f65002110076d</v>
      </c>
      <c r="C198" s="91">
        <f>IFERROR(VLOOKUP(A198,'Item Database'!A:CC,4,FALSE), -1)</f>
        <v>126</v>
      </c>
      <c r="D198" s="91">
        <f>IFERROR(VLOOKUP(C198,'product-map'!A:B,2,FALSE), -1)</f>
        <v>264</v>
      </c>
      <c r="E198" s="89" t="s">
        <v>5329</v>
      </c>
    </row>
    <row r="199" spans="1:5">
      <c r="A199" s="41">
        <v>59215</v>
      </c>
      <c r="B199" s="89" t="str">
        <f>VLOOKUP(A199,'prod-mongo'!A:B,2,FALSE)</f>
        <v>595f813d935f65002110076e</v>
      </c>
      <c r="C199" s="91">
        <f>IFERROR(VLOOKUP(A199,'Item Database'!A:CC,4,FALSE), -1)</f>
        <v>126</v>
      </c>
      <c r="D199" s="91">
        <f>IFERROR(VLOOKUP(C199,'product-map'!A:B,2,FALSE), -1)</f>
        <v>264</v>
      </c>
      <c r="E199" s="89" t="s">
        <v>5329</v>
      </c>
    </row>
    <row r="200" spans="1:5">
      <c r="A200" s="41">
        <v>358579</v>
      </c>
      <c r="B200" s="89" t="str">
        <f>VLOOKUP(A200,'prod-mongo'!A:B,2,FALSE)</f>
        <v>595f813d935f65002110076f</v>
      </c>
      <c r="C200" s="91">
        <f>IFERROR(VLOOKUP(A200,'Item Database'!A:CC,4,FALSE), -1)</f>
        <v>126</v>
      </c>
      <c r="D200" s="91">
        <f>IFERROR(VLOOKUP(C200,'product-map'!A:B,2,FALSE), -1)</f>
        <v>264</v>
      </c>
      <c r="E200" s="89" t="s">
        <v>5329</v>
      </c>
    </row>
    <row r="201" spans="1:5">
      <c r="A201" s="41">
        <v>212514</v>
      </c>
      <c r="B201" s="89" t="str">
        <f>VLOOKUP(A201,'prod-mongo'!A:B,2,FALSE)</f>
        <v>595f813d935f650021100770</v>
      </c>
      <c r="C201" s="91">
        <f>IFERROR(VLOOKUP(A201,'Item Database'!A:CC,4,FALSE), -1)</f>
        <v>126</v>
      </c>
      <c r="D201" s="91">
        <f>IFERROR(VLOOKUP(C201,'product-map'!A:B,2,FALSE), -1)</f>
        <v>264</v>
      </c>
      <c r="E201" s="89" t="s">
        <v>5329</v>
      </c>
    </row>
    <row r="202" spans="1:5">
      <c r="A202" s="41">
        <v>197852</v>
      </c>
      <c r="B202" s="89" t="str">
        <f>VLOOKUP(A202,'prod-mongo'!A:B,2,FALSE)</f>
        <v>595f813d935f650021100771</v>
      </c>
      <c r="C202" s="91">
        <f>IFERROR(VLOOKUP(A202,'Item Database'!A:CC,4,FALSE), -1)</f>
        <v>126</v>
      </c>
      <c r="D202" s="91">
        <f>IFERROR(VLOOKUP(C202,'product-map'!A:B,2,FALSE), -1)</f>
        <v>264</v>
      </c>
      <c r="E202" s="89" t="s">
        <v>5329</v>
      </c>
    </row>
    <row r="203" spans="1:5">
      <c r="A203" s="41">
        <v>223284</v>
      </c>
      <c r="B203" s="89" t="str">
        <f>VLOOKUP(A203,'prod-mongo'!A:B,2,FALSE)</f>
        <v>595f813d935f650021100772</v>
      </c>
      <c r="C203" s="91">
        <f>IFERROR(VLOOKUP(A203,'Item Database'!A:CC,4,FALSE), -1)</f>
        <v>126</v>
      </c>
      <c r="D203" s="91">
        <f>IFERROR(VLOOKUP(C203,'product-map'!A:B,2,FALSE), -1)</f>
        <v>264</v>
      </c>
      <c r="E203" s="89" t="s">
        <v>5329</v>
      </c>
    </row>
    <row r="204" spans="1:5">
      <c r="A204" s="41">
        <v>146131</v>
      </c>
      <c r="B204" s="89" t="str">
        <f>VLOOKUP(A204,'prod-mongo'!A:B,2,FALSE)</f>
        <v>595f813d935f650021100773</v>
      </c>
      <c r="C204" s="91">
        <f>IFERROR(VLOOKUP(A204,'Item Database'!A:CC,4,FALSE), -1)</f>
        <v>129</v>
      </c>
      <c r="D204" s="91">
        <f>IFERROR(VLOOKUP(C204,'product-map'!A:B,2,FALSE), -1)</f>
        <v>267</v>
      </c>
      <c r="E204" s="89" t="s">
        <v>5329</v>
      </c>
    </row>
    <row r="205" spans="1:5">
      <c r="A205" s="41">
        <v>146128</v>
      </c>
      <c r="B205" s="89" t="str">
        <f>VLOOKUP(A205,'prod-mongo'!A:B,2,FALSE)</f>
        <v>595f813d935f650021100774</v>
      </c>
      <c r="C205" s="91">
        <f>IFERROR(VLOOKUP(A205,'Item Database'!A:CC,4,FALSE), -1)</f>
        <v>129</v>
      </c>
      <c r="D205" s="91">
        <f>IFERROR(VLOOKUP(C205,'product-map'!A:B,2,FALSE), -1)</f>
        <v>267</v>
      </c>
      <c r="E205" s="89" t="s">
        <v>5329</v>
      </c>
    </row>
    <row r="206" spans="1:5">
      <c r="A206" s="41">
        <v>173820</v>
      </c>
      <c r="B206" s="89" t="str">
        <f>VLOOKUP(A206,'prod-mongo'!A:B,2,FALSE)</f>
        <v>595f813d935f650021100775</v>
      </c>
      <c r="C206" s="91">
        <f>IFERROR(VLOOKUP(A206,'Item Database'!A:CC,4,FALSE), -1)</f>
        <v>130</v>
      </c>
      <c r="D206" s="91">
        <f>IFERROR(VLOOKUP(C206,'product-map'!A:B,2,FALSE), -1)</f>
        <v>268</v>
      </c>
      <c r="E206" s="89" t="s">
        <v>5329</v>
      </c>
    </row>
    <row r="207" spans="1:5">
      <c r="A207" s="41">
        <v>179087</v>
      </c>
      <c r="B207" s="89" t="str">
        <f>VLOOKUP(A207,'prod-mongo'!A:B,2,FALSE)</f>
        <v>595f813d935f650021100776</v>
      </c>
      <c r="C207" s="91">
        <f>IFERROR(VLOOKUP(A207,'Item Database'!A:CC,4,FALSE), -1)</f>
        <v>131</v>
      </c>
      <c r="D207" s="91">
        <f>IFERROR(VLOOKUP(C207,'product-map'!A:B,2,FALSE), -1)</f>
        <v>269</v>
      </c>
      <c r="E207" s="89" t="s">
        <v>5329</v>
      </c>
    </row>
    <row r="208" spans="1:5">
      <c r="A208" s="41">
        <v>820676</v>
      </c>
      <c r="B208" s="89" t="str">
        <f>VLOOKUP(A208,'prod-mongo'!A:B,2,FALSE)</f>
        <v>595f813d935f650021100777</v>
      </c>
      <c r="C208" s="91">
        <f>IFERROR(VLOOKUP(A208,'Item Database'!A:CC,4,FALSE), -1)</f>
        <v>133</v>
      </c>
      <c r="D208" s="91">
        <f>IFERROR(VLOOKUP(C208,'product-map'!A:B,2,FALSE), -1)</f>
        <v>271</v>
      </c>
      <c r="E208" s="89" t="s">
        <v>5329</v>
      </c>
    </row>
    <row r="209" spans="1:5">
      <c r="A209" s="41">
        <v>141413</v>
      </c>
      <c r="B209" s="89" t="str">
        <f>VLOOKUP(A209,'prod-mongo'!A:B,2,FALSE)</f>
        <v>595f813d935f650021100778</v>
      </c>
      <c r="C209" s="91">
        <f>IFERROR(VLOOKUP(A209,'Item Database'!A:CC,4,FALSE), -1)</f>
        <v>134</v>
      </c>
      <c r="D209" s="91">
        <f>IFERROR(VLOOKUP(C209,'product-map'!A:B,2,FALSE), -1)</f>
        <v>272</v>
      </c>
      <c r="E209" s="89" t="s">
        <v>5329</v>
      </c>
    </row>
    <row r="210" spans="1:5">
      <c r="A210" s="41">
        <v>124964</v>
      </c>
      <c r="B210" s="89" t="str">
        <f>VLOOKUP(A210,'prod-mongo'!A:B,2,FALSE)</f>
        <v>595f813d935f650021100779</v>
      </c>
      <c r="C210" s="91">
        <f>IFERROR(VLOOKUP(A210,'Item Database'!A:CC,4,FALSE), -1)</f>
        <v>134</v>
      </c>
      <c r="D210" s="91">
        <f>IFERROR(VLOOKUP(C210,'product-map'!A:B,2,FALSE), -1)</f>
        <v>272</v>
      </c>
      <c r="E210" s="89" t="s">
        <v>5329</v>
      </c>
    </row>
    <row r="211" spans="1:5">
      <c r="A211" s="41">
        <v>218760</v>
      </c>
      <c r="B211" s="89" t="str">
        <f>VLOOKUP(A211,'prod-mongo'!A:B,2,FALSE)</f>
        <v>595f813d935f65002110077a</v>
      </c>
      <c r="C211" s="91">
        <f>IFERROR(VLOOKUP(A211,'Item Database'!A:CC,4,FALSE), -1)</f>
        <v>135</v>
      </c>
      <c r="D211" s="91">
        <f>IFERROR(VLOOKUP(C211,'product-map'!A:B,2,FALSE), -1)</f>
        <v>273</v>
      </c>
      <c r="E211" s="89" t="s">
        <v>5329</v>
      </c>
    </row>
    <row r="212" spans="1:5">
      <c r="A212" s="41">
        <v>128267</v>
      </c>
      <c r="B212" s="89" t="str">
        <f>VLOOKUP(A212,'prod-mongo'!A:B,2,FALSE)</f>
        <v>595f813d935f65002110077b</v>
      </c>
      <c r="C212" s="91">
        <f>IFERROR(VLOOKUP(A212,'Item Database'!A:CC,4,FALSE), -1)</f>
        <v>136</v>
      </c>
      <c r="D212" s="91">
        <f>IFERROR(VLOOKUP(C212,'product-map'!A:B,2,FALSE), -1)</f>
        <v>274</v>
      </c>
      <c r="E212" s="89" t="s">
        <v>5329</v>
      </c>
    </row>
    <row r="213" spans="1:5">
      <c r="A213" s="41">
        <v>150200</v>
      </c>
      <c r="B213" s="89" t="str">
        <f>VLOOKUP(A213,'prod-mongo'!A:B,2,FALSE)</f>
        <v>595f813d935f65002110077c</v>
      </c>
      <c r="C213" s="91">
        <f>IFERROR(VLOOKUP(A213,'Item Database'!A:CC,4,FALSE), -1)</f>
        <v>136</v>
      </c>
      <c r="D213" s="91">
        <f>IFERROR(VLOOKUP(C213,'product-map'!A:B,2,FALSE), -1)</f>
        <v>274</v>
      </c>
      <c r="E213" s="89" t="s">
        <v>5329</v>
      </c>
    </row>
    <row r="214" spans="1:5">
      <c r="A214" s="41">
        <v>200887</v>
      </c>
      <c r="B214" s="89" t="str">
        <f>VLOOKUP(A214,'prod-mongo'!A:B,2,FALSE)</f>
        <v>595f813d935f65002110077d</v>
      </c>
      <c r="C214" s="91">
        <f>IFERROR(VLOOKUP(A214,'Item Database'!A:CC,4,FALSE), -1)</f>
        <v>136</v>
      </c>
      <c r="D214" s="91">
        <f>IFERROR(VLOOKUP(C214,'product-map'!A:B,2,FALSE), -1)</f>
        <v>274</v>
      </c>
      <c r="E214" s="89" t="s">
        <v>5329</v>
      </c>
    </row>
    <row r="215" spans="1:5">
      <c r="A215" s="41">
        <v>111757</v>
      </c>
      <c r="B215" s="89" t="str">
        <f>VLOOKUP(A215,'prod-mongo'!A:B,2,FALSE)</f>
        <v>595f813d935f65002110077e</v>
      </c>
      <c r="C215" s="91">
        <f>IFERROR(VLOOKUP(A215,'Item Database'!A:CC,4,FALSE), -1)</f>
        <v>136</v>
      </c>
      <c r="D215" s="91">
        <f>IFERROR(VLOOKUP(C215,'product-map'!A:B,2,FALSE), -1)</f>
        <v>274</v>
      </c>
      <c r="E215" s="89" t="s">
        <v>5329</v>
      </c>
    </row>
    <row r="216" spans="1:5">
      <c r="A216" s="41">
        <v>140647</v>
      </c>
      <c r="B216" s="89" t="str">
        <f>VLOOKUP(A216,'prod-mongo'!A:B,2,FALSE)</f>
        <v>595f813d935f65002110077f</v>
      </c>
      <c r="C216" s="91">
        <f>IFERROR(VLOOKUP(A216,'Item Database'!A:CC,4,FALSE), -1)</f>
        <v>136</v>
      </c>
      <c r="D216" s="91">
        <f>IFERROR(VLOOKUP(C216,'product-map'!A:B,2,FALSE), -1)</f>
        <v>274</v>
      </c>
      <c r="E216" s="89" t="s">
        <v>5329</v>
      </c>
    </row>
    <row r="217" spans="1:5">
      <c r="A217" s="41">
        <v>182997</v>
      </c>
      <c r="B217" s="89" t="str">
        <f>VLOOKUP(A217,'prod-mongo'!A:B,2,FALSE)</f>
        <v>595f813d935f650021100780</v>
      </c>
      <c r="C217" s="91">
        <f>IFERROR(VLOOKUP(A217,'Item Database'!A:CC,4,FALSE), -1)</f>
        <v>136</v>
      </c>
      <c r="D217" s="91">
        <f>IFERROR(VLOOKUP(C217,'product-map'!A:B,2,FALSE), -1)</f>
        <v>274</v>
      </c>
      <c r="E217" s="89" t="s">
        <v>5329</v>
      </c>
    </row>
    <row r="218" spans="1:5">
      <c r="A218" s="41">
        <v>111642</v>
      </c>
      <c r="B218" s="89" t="str">
        <f>VLOOKUP(A218,'prod-mongo'!A:B,2,FALSE)</f>
        <v>595f813e935f650021100781</v>
      </c>
      <c r="C218" s="91">
        <f>IFERROR(VLOOKUP(A218,'Item Database'!A:CC,4,FALSE), -1)</f>
        <v>138</v>
      </c>
      <c r="D218" s="91">
        <f>IFERROR(VLOOKUP(C218,'product-map'!A:B,2,FALSE), -1)</f>
        <v>276</v>
      </c>
      <c r="E218" s="89" t="s">
        <v>5329</v>
      </c>
    </row>
    <row r="219" spans="1:5">
      <c r="A219" s="41">
        <v>58851</v>
      </c>
      <c r="B219" s="89" t="str">
        <f>VLOOKUP(A219,'prod-mongo'!A:B,2,FALSE)</f>
        <v>595f813e935f650021100782</v>
      </c>
      <c r="C219" s="91">
        <f>IFERROR(VLOOKUP(A219,'Item Database'!A:CC,4,FALSE), -1)</f>
        <v>138</v>
      </c>
      <c r="D219" s="91">
        <f>IFERROR(VLOOKUP(C219,'product-map'!A:B,2,FALSE), -1)</f>
        <v>276</v>
      </c>
      <c r="E219" s="89" t="s">
        <v>5329</v>
      </c>
    </row>
    <row r="220" spans="1:5">
      <c r="A220" s="41">
        <v>99281</v>
      </c>
      <c r="B220" s="89" t="str">
        <f>VLOOKUP(A220,'prod-mongo'!A:B,2,FALSE)</f>
        <v>595f813e935f650021100783</v>
      </c>
      <c r="C220" s="91">
        <f>IFERROR(VLOOKUP(A220,'Item Database'!A:CC,4,FALSE), -1)</f>
        <v>139</v>
      </c>
      <c r="D220" s="91">
        <f>IFERROR(VLOOKUP(C220,'product-map'!A:B,2,FALSE), -1)</f>
        <v>277</v>
      </c>
      <c r="E220" s="89" t="s">
        <v>5329</v>
      </c>
    </row>
    <row r="221" spans="1:5">
      <c r="A221" s="41">
        <v>45344</v>
      </c>
      <c r="B221" s="89" t="str">
        <f>VLOOKUP(A221,'prod-mongo'!A:B,2,FALSE)</f>
        <v>595f813e935f650021100784</v>
      </c>
      <c r="C221" s="91">
        <f>IFERROR(VLOOKUP(A221,'Item Database'!A:CC,4,FALSE), -1)</f>
        <v>143</v>
      </c>
      <c r="D221" s="91">
        <f>IFERROR(VLOOKUP(C221,'product-map'!A:B,2,FALSE), -1)</f>
        <v>281</v>
      </c>
      <c r="E221" s="89" t="s">
        <v>5329</v>
      </c>
    </row>
    <row r="222" spans="1:5">
      <c r="A222" s="41">
        <v>162753</v>
      </c>
      <c r="B222" s="89" t="str">
        <f>VLOOKUP(A222,'prod-mongo'!A:B,2,FALSE)</f>
        <v>595f813e935f650021100785</v>
      </c>
      <c r="C222" s="91">
        <f>IFERROR(VLOOKUP(A222,'Item Database'!A:CC,4,FALSE), -1)</f>
        <v>143</v>
      </c>
      <c r="D222" s="91">
        <f>IFERROR(VLOOKUP(C222,'product-map'!A:B,2,FALSE), -1)</f>
        <v>281</v>
      </c>
      <c r="E222" s="89" t="s">
        <v>5329</v>
      </c>
    </row>
    <row r="223" spans="1:5">
      <c r="A223" s="41">
        <v>227651</v>
      </c>
      <c r="B223" s="89" t="str">
        <f>VLOOKUP(A223,'prod-mongo'!A:B,2,FALSE)</f>
        <v>595f813e935f650021100786</v>
      </c>
      <c r="C223" s="91">
        <f>IFERROR(VLOOKUP(A223,'Item Database'!A:CC,4,FALSE), -1)</f>
        <v>143</v>
      </c>
      <c r="D223" s="91">
        <f>IFERROR(VLOOKUP(C223,'product-map'!A:B,2,FALSE), -1)</f>
        <v>281</v>
      </c>
      <c r="E223" s="89" t="s">
        <v>5329</v>
      </c>
    </row>
    <row r="224" spans="1:5">
      <c r="A224" s="41">
        <v>164598</v>
      </c>
      <c r="B224" s="89" t="str">
        <f>VLOOKUP(A224,'prod-mongo'!A:B,2,FALSE)</f>
        <v>595f813e935f650021100787</v>
      </c>
      <c r="C224" s="91">
        <f>IFERROR(VLOOKUP(A224,'Item Database'!A:CC,4,FALSE), -1)</f>
        <v>143</v>
      </c>
      <c r="D224" s="91">
        <f>IFERROR(VLOOKUP(C224,'product-map'!A:B,2,FALSE), -1)</f>
        <v>281</v>
      </c>
      <c r="E224" s="89" t="s">
        <v>5329</v>
      </c>
    </row>
    <row r="225" spans="1:5">
      <c r="A225" s="41">
        <v>217985</v>
      </c>
      <c r="B225" s="89" t="str">
        <f>VLOOKUP(A225,'prod-mongo'!A:B,2,FALSE)</f>
        <v>595f813e935f650021100788</v>
      </c>
      <c r="C225" s="91">
        <f>IFERROR(VLOOKUP(A225,'Item Database'!A:CC,4,FALSE), -1)</f>
        <v>144</v>
      </c>
      <c r="D225" s="91">
        <f>IFERROR(VLOOKUP(C225,'product-map'!A:B,2,FALSE), -1)</f>
        <v>282</v>
      </c>
      <c r="E225" s="89" t="s">
        <v>5329</v>
      </c>
    </row>
    <row r="226" spans="1:5">
      <c r="A226" s="41">
        <v>226132</v>
      </c>
      <c r="B226" s="89" t="str">
        <f>VLOOKUP(A226,'prod-mongo'!A:B,2,FALSE)</f>
        <v>595f813e935f650021100789</v>
      </c>
      <c r="C226" s="91">
        <f>IFERROR(VLOOKUP(A226,'Item Database'!A:CC,4,FALSE), -1)</f>
        <v>144</v>
      </c>
      <c r="D226" s="91">
        <f>IFERROR(VLOOKUP(C226,'product-map'!A:B,2,FALSE), -1)</f>
        <v>282</v>
      </c>
      <c r="E226" s="89" t="s">
        <v>5329</v>
      </c>
    </row>
    <row r="227" spans="1:5">
      <c r="A227" s="41">
        <v>227737</v>
      </c>
      <c r="B227" s="89" t="str">
        <f>VLOOKUP(A227,'prod-mongo'!A:B,2,FALSE)</f>
        <v>595f813e935f65002110078a</v>
      </c>
      <c r="C227" s="91">
        <f>IFERROR(VLOOKUP(A227,'Item Database'!A:CC,4,FALSE), -1)</f>
        <v>144</v>
      </c>
      <c r="D227" s="91">
        <f>IFERROR(VLOOKUP(C227,'product-map'!A:B,2,FALSE), -1)</f>
        <v>282</v>
      </c>
      <c r="E227" s="89" t="s">
        <v>5329</v>
      </c>
    </row>
    <row r="228" spans="1:5">
      <c r="A228" s="41">
        <v>105656</v>
      </c>
      <c r="B228" s="89" t="str">
        <f>VLOOKUP(A228,'prod-mongo'!A:B,2,FALSE)</f>
        <v>595f813e935f65002110078b</v>
      </c>
      <c r="C228" s="91">
        <f>IFERROR(VLOOKUP(A228,'Item Database'!A:CC,4,FALSE), -1)</f>
        <v>145</v>
      </c>
      <c r="D228" s="91">
        <f>IFERROR(VLOOKUP(C228,'product-map'!A:B,2,FALSE), -1)</f>
        <v>283</v>
      </c>
      <c r="E228" s="89" t="s">
        <v>5329</v>
      </c>
    </row>
    <row r="229" spans="1:5">
      <c r="A229" s="41">
        <v>916071</v>
      </c>
      <c r="B229" s="89" t="str">
        <f>VLOOKUP(A229,'prod-mongo'!A:B,2,FALSE)</f>
        <v>595f813e935f65002110078c</v>
      </c>
      <c r="C229" s="91">
        <f>IFERROR(VLOOKUP(A229,'Item Database'!A:CC,4,FALSE), -1)</f>
        <v>145</v>
      </c>
      <c r="D229" s="91">
        <f>IFERROR(VLOOKUP(C229,'product-map'!A:B,2,FALSE), -1)</f>
        <v>283</v>
      </c>
      <c r="E229" s="89" t="s">
        <v>5329</v>
      </c>
    </row>
    <row r="230" spans="1:5">
      <c r="A230" s="41">
        <v>176565</v>
      </c>
      <c r="B230" s="89" t="str">
        <f>VLOOKUP(A230,'prod-mongo'!A:B,2,FALSE)</f>
        <v>595f813e935f65002110078d</v>
      </c>
      <c r="C230" s="91">
        <f>IFERROR(VLOOKUP(A230,'Item Database'!A:CC,4,FALSE), -1)</f>
        <v>145</v>
      </c>
      <c r="D230" s="91">
        <f>IFERROR(VLOOKUP(C230,'product-map'!A:B,2,FALSE), -1)</f>
        <v>283</v>
      </c>
      <c r="E230" s="89" t="s">
        <v>5329</v>
      </c>
    </row>
    <row r="231" spans="1:5">
      <c r="A231" s="41">
        <v>104418</v>
      </c>
      <c r="B231" s="89" t="str">
        <f>VLOOKUP(A231,'prod-mongo'!A:B,2,FALSE)</f>
        <v>595f813e935f65002110078e</v>
      </c>
      <c r="C231" s="91">
        <f>IFERROR(VLOOKUP(A231,'Item Database'!A:CC,4,FALSE), -1)</f>
        <v>145</v>
      </c>
      <c r="D231" s="91">
        <f>IFERROR(VLOOKUP(C231,'product-map'!A:B,2,FALSE), -1)</f>
        <v>283</v>
      </c>
      <c r="E231" s="89" t="s">
        <v>5329</v>
      </c>
    </row>
    <row r="232" spans="1:5">
      <c r="A232" s="41">
        <v>131050</v>
      </c>
      <c r="B232" s="89" t="str">
        <f>VLOOKUP(A232,'prod-mongo'!A:B,2,FALSE)</f>
        <v>595f813e935f65002110078f</v>
      </c>
      <c r="C232" s="91">
        <f>IFERROR(VLOOKUP(A232,'Item Database'!A:CC,4,FALSE), -1)</f>
        <v>146</v>
      </c>
      <c r="D232" s="91">
        <f>IFERROR(VLOOKUP(C232,'product-map'!A:B,2,FALSE), -1)</f>
        <v>284</v>
      </c>
      <c r="E232" s="89" t="s">
        <v>5329</v>
      </c>
    </row>
    <row r="233" spans="1:5">
      <c r="A233" s="41">
        <v>539760</v>
      </c>
      <c r="B233" s="89" t="str">
        <f>VLOOKUP(A233,'prod-mongo'!A:B,2,FALSE)</f>
        <v>595f813e935f650021100790</v>
      </c>
      <c r="C233" s="91">
        <f>IFERROR(VLOOKUP(A233,'Item Database'!A:CC,4,FALSE), -1)</f>
        <v>150</v>
      </c>
      <c r="D233" s="91">
        <f>IFERROR(VLOOKUP(C233,'product-map'!A:B,2,FALSE), -1)</f>
        <v>288</v>
      </c>
      <c r="E233" s="89" t="s">
        <v>5329</v>
      </c>
    </row>
    <row r="234" spans="1:5">
      <c r="A234" s="41">
        <v>328887</v>
      </c>
      <c r="B234" s="89" t="str">
        <f>VLOOKUP(A234,'prod-mongo'!A:B,2,FALSE)</f>
        <v>595f813e935f650021100791</v>
      </c>
      <c r="C234" s="91">
        <f>IFERROR(VLOOKUP(A234,'Item Database'!A:CC,4,FALSE), -1)</f>
        <v>150</v>
      </c>
      <c r="D234" s="91">
        <f>IFERROR(VLOOKUP(C234,'product-map'!A:B,2,FALSE), -1)</f>
        <v>288</v>
      </c>
      <c r="E234" s="89" t="s">
        <v>5329</v>
      </c>
    </row>
    <row r="235" spans="1:5">
      <c r="A235" s="41">
        <v>232376</v>
      </c>
      <c r="B235" s="89" t="str">
        <f>VLOOKUP(A235,'prod-mongo'!A:B,2,FALSE)</f>
        <v>595f813e935f650021100792</v>
      </c>
      <c r="C235" s="91">
        <f>IFERROR(VLOOKUP(A235,'Item Database'!A:CC,4,FALSE), -1)</f>
        <v>150</v>
      </c>
      <c r="D235" s="91">
        <f>IFERROR(VLOOKUP(C235,'product-map'!A:B,2,FALSE), -1)</f>
        <v>288</v>
      </c>
      <c r="E235" s="89" t="s">
        <v>5329</v>
      </c>
    </row>
    <row r="236" spans="1:5">
      <c r="A236" s="41">
        <v>818845</v>
      </c>
      <c r="B236" s="89" t="str">
        <f>VLOOKUP(A236,'prod-mongo'!A:B,2,FALSE)</f>
        <v>595f813e935f650021100793</v>
      </c>
      <c r="C236" s="91">
        <f>IFERROR(VLOOKUP(A236,'Item Database'!A:CC,4,FALSE), -1)</f>
        <v>150</v>
      </c>
      <c r="D236" s="91">
        <f>IFERROR(VLOOKUP(C236,'product-map'!A:B,2,FALSE), -1)</f>
        <v>288</v>
      </c>
      <c r="E236" s="89" t="s">
        <v>5329</v>
      </c>
    </row>
    <row r="237" spans="1:5">
      <c r="A237" s="41">
        <v>148440</v>
      </c>
      <c r="B237" s="89" t="str">
        <f>VLOOKUP(A237,'prod-mongo'!A:B,2,FALSE)</f>
        <v>595f813e935f650021100794</v>
      </c>
      <c r="C237" s="91">
        <f>IFERROR(VLOOKUP(A237,'Item Database'!A:CC,4,FALSE), -1)</f>
        <v>151</v>
      </c>
      <c r="D237" s="91">
        <f>IFERROR(VLOOKUP(C237,'product-map'!A:B,2,FALSE), -1)</f>
        <v>289</v>
      </c>
      <c r="E237" s="89" t="s">
        <v>5329</v>
      </c>
    </row>
    <row r="238" spans="1:5">
      <c r="A238" s="41">
        <v>806933</v>
      </c>
      <c r="B238" s="89" t="str">
        <f>VLOOKUP(A238,'prod-mongo'!A:B,2,FALSE)</f>
        <v>595f813e935f650021100795</v>
      </c>
      <c r="C238" s="91">
        <f>IFERROR(VLOOKUP(A238,'Item Database'!A:CC,4,FALSE), -1)</f>
        <v>151</v>
      </c>
      <c r="D238" s="91">
        <f>IFERROR(VLOOKUP(C238,'product-map'!A:B,2,FALSE), -1)</f>
        <v>289</v>
      </c>
      <c r="E238" s="89" t="s">
        <v>5329</v>
      </c>
    </row>
    <row r="239" spans="1:5">
      <c r="A239" s="41">
        <v>226141</v>
      </c>
      <c r="B239" s="89" t="str">
        <f>VLOOKUP(A239,'prod-mongo'!A:B,2,FALSE)</f>
        <v>595f813e935f650021100796</v>
      </c>
      <c r="C239" s="91">
        <f>IFERROR(VLOOKUP(A239,'Item Database'!A:CC,4,FALSE), -1)</f>
        <v>151</v>
      </c>
      <c r="D239" s="91">
        <f>IFERROR(VLOOKUP(C239,'product-map'!A:B,2,FALSE), -1)</f>
        <v>289</v>
      </c>
      <c r="E239" s="89" t="s">
        <v>5329</v>
      </c>
    </row>
    <row r="240" spans="1:5">
      <c r="A240" s="41">
        <v>217972</v>
      </c>
      <c r="B240" s="89" t="str">
        <f>VLOOKUP(A240,'prod-mongo'!A:B,2,FALSE)</f>
        <v>595f813e935f650021100797</v>
      </c>
      <c r="C240" s="91">
        <f>IFERROR(VLOOKUP(A240,'Item Database'!A:CC,4,FALSE), -1)</f>
        <v>153</v>
      </c>
      <c r="D240" s="91">
        <f>IFERROR(VLOOKUP(C240,'product-map'!A:B,2,FALSE), -1)</f>
        <v>291</v>
      </c>
      <c r="E240" s="89" t="s">
        <v>5329</v>
      </c>
    </row>
    <row r="241" spans="1:5">
      <c r="A241" s="41">
        <v>805327</v>
      </c>
      <c r="B241" s="89" t="str">
        <f>VLOOKUP(A241,'prod-mongo'!A:B,2,FALSE)</f>
        <v>595f813e935f650021100798</v>
      </c>
      <c r="C241" s="91">
        <f>IFERROR(VLOOKUP(A241,'Item Database'!A:CC,4,FALSE), -1)</f>
        <v>153</v>
      </c>
      <c r="D241" s="91">
        <f>IFERROR(VLOOKUP(C241,'product-map'!A:B,2,FALSE), -1)</f>
        <v>291</v>
      </c>
      <c r="E241" s="89" t="s">
        <v>5329</v>
      </c>
    </row>
    <row r="242" spans="1:5">
      <c r="A242" s="41">
        <v>819203</v>
      </c>
      <c r="B242" s="89" t="str">
        <f>VLOOKUP(A242,'prod-mongo'!A:B,2,FALSE)</f>
        <v>595f813e935f650021100799</v>
      </c>
      <c r="C242" s="91">
        <f>IFERROR(VLOOKUP(A242,'Item Database'!A:CC,4,FALSE), -1)</f>
        <v>153</v>
      </c>
      <c r="D242" s="91">
        <f>IFERROR(VLOOKUP(C242,'product-map'!A:B,2,FALSE), -1)</f>
        <v>291</v>
      </c>
      <c r="E242" s="89" t="s">
        <v>5329</v>
      </c>
    </row>
    <row r="243" spans="1:5">
      <c r="A243" s="41">
        <v>818789</v>
      </c>
      <c r="B243" s="89" t="str">
        <f>VLOOKUP(A243,'prod-mongo'!A:B,2,FALSE)</f>
        <v>595f813e935f65002110079a</v>
      </c>
      <c r="C243" s="91">
        <f>IFERROR(VLOOKUP(A243,'Item Database'!A:CC,4,FALSE), -1)</f>
        <v>153</v>
      </c>
      <c r="D243" s="91">
        <f>IFERROR(VLOOKUP(C243,'product-map'!A:B,2,FALSE), -1)</f>
        <v>291</v>
      </c>
      <c r="E243" s="89" t="s">
        <v>5329</v>
      </c>
    </row>
    <row r="244" spans="1:5">
      <c r="A244" s="41">
        <v>207826</v>
      </c>
      <c r="B244" s="89" t="str">
        <f>VLOOKUP(A244,'prod-mongo'!A:B,2,FALSE)</f>
        <v>595f813e935f65002110079b</v>
      </c>
      <c r="C244" s="91">
        <f>IFERROR(VLOOKUP(A244,'Item Database'!A:CC,4,FALSE), -1)</f>
        <v>154</v>
      </c>
      <c r="D244" s="91">
        <f>IFERROR(VLOOKUP(C244,'product-map'!A:B,2,FALSE), -1)</f>
        <v>292</v>
      </c>
      <c r="E244" s="89" t="s">
        <v>5329</v>
      </c>
    </row>
    <row r="245" spans="1:5">
      <c r="A245" s="41">
        <v>444092</v>
      </c>
      <c r="B245" s="89" t="str">
        <f>VLOOKUP(A245,'prod-mongo'!A:B,2,FALSE)</f>
        <v>595f813e935f65002110079c</v>
      </c>
      <c r="C245" s="91">
        <f>IFERROR(VLOOKUP(A245,'Item Database'!A:CC,4,FALSE), -1)</f>
        <v>154</v>
      </c>
      <c r="D245" s="91">
        <f>IFERROR(VLOOKUP(C245,'product-map'!A:B,2,FALSE), -1)</f>
        <v>292</v>
      </c>
      <c r="E245" s="89" t="s">
        <v>5329</v>
      </c>
    </row>
    <row r="246" spans="1:5">
      <c r="A246" s="41">
        <v>810335</v>
      </c>
      <c r="B246" s="89" t="str">
        <f>VLOOKUP(A246,'prod-mongo'!A:B,2,FALSE)</f>
        <v>595f813e935f65002110079d</v>
      </c>
      <c r="C246" s="91">
        <f>IFERROR(VLOOKUP(A246,'Item Database'!A:CC,4,FALSE), -1)</f>
        <v>154</v>
      </c>
      <c r="D246" s="91">
        <f>IFERROR(VLOOKUP(C246,'product-map'!A:B,2,FALSE), -1)</f>
        <v>292</v>
      </c>
      <c r="E246" s="89" t="s">
        <v>5329</v>
      </c>
    </row>
    <row r="247" spans="1:5">
      <c r="A247" s="41">
        <v>810336</v>
      </c>
      <c r="B247" s="89" t="str">
        <f>VLOOKUP(A247,'prod-mongo'!A:B,2,FALSE)</f>
        <v>595f813e935f65002110079e</v>
      </c>
      <c r="C247" s="91">
        <f>IFERROR(VLOOKUP(A247,'Item Database'!A:CC,4,FALSE), -1)</f>
        <v>154</v>
      </c>
      <c r="D247" s="91">
        <f>IFERROR(VLOOKUP(C247,'product-map'!A:B,2,FALSE), -1)</f>
        <v>292</v>
      </c>
      <c r="E247" s="89" t="s">
        <v>5329</v>
      </c>
    </row>
    <row r="248" spans="1:5">
      <c r="A248" s="41">
        <v>228851</v>
      </c>
      <c r="B248" s="89" t="str">
        <f>VLOOKUP(A248,'prod-mongo'!A:B,2,FALSE)</f>
        <v>595f813e935f65002110079f</v>
      </c>
      <c r="C248" s="91">
        <f>IFERROR(VLOOKUP(A248,'Item Database'!A:CC,4,FALSE), -1)</f>
        <v>154</v>
      </c>
      <c r="D248" s="91">
        <f>IFERROR(VLOOKUP(C248,'product-map'!A:B,2,FALSE), -1)</f>
        <v>292</v>
      </c>
      <c r="E248" s="89" t="s">
        <v>5329</v>
      </c>
    </row>
    <row r="249" spans="1:5">
      <c r="A249" s="41">
        <v>891891</v>
      </c>
      <c r="B249" s="89" t="str">
        <f>VLOOKUP(A249,'prod-mongo'!A:B,2,FALSE)</f>
        <v>595f813e935f6500211007a0</v>
      </c>
      <c r="C249" s="91">
        <f>IFERROR(VLOOKUP(A249,'Item Database'!A:CC,4,FALSE), -1)</f>
        <v>155</v>
      </c>
      <c r="D249" s="91">
        <f>IFERROR(VLOOKUP(C249,'product-map'!A:B,2,FALSE), -1)</f>
        <v>293</v>
      </c>
      <c r="E249" s="89" t="s">
        <v>5329</v>
      </c>
    </row>
    <row r="250" spans="1:5">
      <c r="A250" s="41">
        <v>152101</v>
      </c>
      <c r="B250" s="89" t="str">
        <f>VLOOKUP(A250,'prod-mongo'!A:B,2,FALSE)</f>
        <v>595f813e935f6500211007a1</v>
      </c>
      <c r="C250" s="91">
        <f>IFERROR(VLOOKUP(A250,'Item Database'!A:CC,4,FALSE), -1)</f>
        <v>155</v>
      </c>
      <c r="D250" s="91">
        <f>IFERROR(VLOOKUP(C250,'product-map'!A:B,2,FALSE), -1)</f>
        <v>293</v>
      </c>
      <c r="E250" s="89" t="s">
        <v>5329</v>
      </c>
    </row>
    <row r="251" spans="1:5">
      <c r="A251" s="41">
        <v>269775</v>
      </c>
      <c r="B251" s="89" t="str">
        <f>VLOOKUP(A251,'prod-mongo'!A:B,2,FALSE)</f>
        <v>595f813e935f6500211007a2</v>
      </c>
      <c r="C251" s="91">
        <f>IFERROR(VLOOKUP(A251,'Item Database'!A:CC,4,FALSE), -1)</f>
        <v>157</v>
      </c>
      <c r="D251" s="91">
        <f>IFERROR(VLOOKUP(C251,'product-map'!A:B,2,FALSE), -1)</f>
        <v>295</v>
      </c>
      <c r="E251" s="89" t="s">
        <v>5329</v>
      </c>
    </row>
    <row r="252" spans="1:5">
      <c r="A252" s="41">
        <v>269777</v>
      </c>
      <c r="B252" s="89" t="str">
        <f>VLOOKUP(A252,'prod-mongo'!A:B,2,FALSE)</f>
        <v>595f813e935f6500211007a3</v>
      </c>
      <c r="C252" s="91">
        <f>IFERROR(VLOOKUP(A252,'Item Database'!A:CC,4,FALSE), -1)</f>
        <v>157</v>
      </c>
      <c r="D252" s="91">
        <f>IFERROR(VLOOKUP(C252,'product-map'!A:B,2,FALSE), -1)</f>
        <v>295</v>
      </c>
      <c r="E252" s="89" t="s">
        <v>5329</v>
      </c>
    </row>
    <row r="253" spans="1:5">
      <c r="A253" s="41">
        <v>198499</v>
      </c>
      <c r="B253" s="89" t="str">
        <f>VLOOKUP(A253,'prod-mongo'!A:B,2,FALSE)</f>
        <v>595f813e935f6500211007a4</v>
      </c>
      <c r="C253" s="91">
        <f>IFERROR(VLOOKUP(A253,'Item Database'!A:CC,4,FALSE), -1)</f>
        <v>157</v>
      </c>
      <c r="D253" s="91">
        <f>IFERROR(VLOOKUP(C253,'product-map'!A:B,2,FALSE), -1)</f>
        <v>295</v>
      </c>
      <c r="E253" s="89" t="s">
        <v>5329</v>
      </c>
    </row>
    <row r="254" spans="1:5">
      <c r="A254" s="41">
        <v>923650</v>
      </c>
      <c r="B254" s="89" t="str">
        <f>VLOOKUP(A254,'prod-mongo'!A:B,2,FALSE)</f>
        <v>595f813e935f6500211007a5</v>
      </c>
      <c r="C254" s="91">
        <f>IFERROR(VLOOKUP(A254,'Item Database'!A:CC,4,FALSE), -1)</f>
        <v>159</v>
      </c>
      <c r="D254" s="91">
        <f>IFERROR(VLOOKUP(C254,'product-map'!A:B,2,FALSE), -1)</f>
        <v>297</v>
      </c>
      <c r="E254" s="89" t="s">
        <v>5329</v>
      </c>
    </row>
    <row r="255" spans="1:5">
      <c r="A255" s="41">
        <v>818707</v>
      </c>
      <c r="B255" s="89" t="str">
        <f>VLOOKUP(A255,'prod-mongo'!A:B,2,FALSE)</f>
        <v>595f813e935f6500211007a6</v>
      </c>
      <c r="C255" s="91">
        <f>IFERROR(VLOOKUP(A255,'Item Database'!A:CC,4,FALSE), -1)</f>
        <v>160</v>
      </c>
      <c r="D255" s="91">
        <f>IFERROR(VLOOKUP(C255,'product-map'!A:B,2,FALSE), -1)</f>
        <v>298</v>
      </c>
      <c r="E255" s="89" t="s">
        <v>5329</v>
      </c>
    </row>
    <row r="256" spans="1:5">
      <c r="A256" s="41">
        <v>777672</v>
      </c>
      <c r="B256" s="89" t="str">
        <f>VLOOKUP(A256,'prod-mongo'!A:B,2,FALSE)</f>
        <v>595f813e935f6500211007a7</v>
      </c>
      <c r="C256" s="91">
        <f>IFERROR(VLOOKUP(A256,'Item Database'!A:CC,4,FALSE), -1)</f>
        <v>160</v>
      </c>
      <c r="D256" s="91">
        <f>IFERROR(VLOOKUP(C256,'product-map'!A:B,2,FALSE), -1)</f>
        <v>298</v>
      </c>
      <c r="E256" s="89" t="s">
        <v>5329</v>
      </c>
    </row>
    <row r="257" spans="1:5">
      <c r="A257" s="41">
        <v>777301</v>
      </c>
      <c r="B257" s="89" t="str">
        <f>VLOOKUP(A257,'prod-mongo'!A:B,2,FALSE)</f>
        <v>595f813e935f6500211007a8</v>
      </c>
      <c r="C257" s="91">
        <f>IFERROR(VLOOKUP(A257,'Item Database'!A:CC,4,FALSE), -1)</f>
        <v>160</v>
      </c>
      <c r="D257" s="91">
        <f>IFERROR(VLOOKUP(C257,'product-map'!A:B,2,FALSE), -1)</f>
        <v>298</v>
      </c>
      <c r="E257" s="89" t="s">
        <v>5329</v>
      </c>
    </row>
    <row r="258" spans="1:5">
      <c r="A258" s="41">
        <v>777851</v>
      </c>
      <c r="B258" s="89" t="str">
        <f>VLOOKUP(A258,'prod-mongo'!A:B,2,FALSE)</f>
        <v>595f813e935f6500211007a9</v>
      </c>
      <c r="C258" s="91">
        <f>IFERROR(VLOOKUP(A258,'Item Database'!A:CC,4,FALSE), -1)</f>
        <v>160</v>
      </c>
      <c r="D258" s="91">
        <f>IFERROR(VLOOKUP(C258,'product-map'!A:B,2,FALSE), -1)</f>
        <v>298</v>
      </c>
      <c r="E258" s="89" t="s">
        <v>5329</v>
      </c>
    </row>
    <row r="259" spans="1:5">
      <c r="A259" s="41">
        <v>777759</v>
      </c>
      <c r="B259" s="89" t="str">
        <f>VLOOKUP(A259,'prod-mongo'!A:B,2,FALSE)</f>
        <v>595f813e935f6500211007aa</v>
      </c>
      <c r="C259" s="91">
        <f>IFERROR(VLOOKUP(A259,'Item Database'!A:CC,4,FALSE), -1)</f>
        <v>160</v>
      </c>
      <c r="D259" s="91">
        <f>IFERROR(VLOOKUP(C259,'product-map'!A:B,2,FALSE), -1)</f>
        <v>298</v>
      </c>
      <c r="E259" s="89" t="s">
        <v>5329</v>
      </c>
    </row>
    <row r="260" spans="1:5">
      <c r="A260" s="41">
        <v>804140</v>
      </c>
      <c r="B260" s="89" t="str">
        <f>VLOOKUP(A260,'prod-mongo'!A:B,2,FALSE)</f>
        <v>595f813e935f6500211007ab</v>
      </c>
      <c r="C260" s="91">
        <f>IFERROR(VLOOKUP(A260,'Item Database'!A:CC,4,FALSE), -1)</f>
        <v>161</v>
      </c>
      <c r="D260" s="91">
        <f>IFERROR(VLOOKUP(C260,'product-map'!A:B,2,FALSE), -1)</f>
        <v>299</v>
      </c>
      <c r="E260" s="89" t="s">
        <v>5329</v>
      </c>
    </row>
    <row r="261" spans="1:5">
      <c r="A261" s="41">
        <v>804141</v>
      </c>
      <c r="B261" s="89" t="str">
        <f>VLOOKUP(A261,'prod-mongo'!A:B,2,FALSE)</f>
        <v>595f813e935f6500211007ac</v>
      </c>
      <c r="C261" s="91">
        <f>IFERROR(VLOOKUP(A261,'Item Database'!A:CC,4,FALSE), -1)</f>
        <v>161</v>
      </c>
      <c r="D261" s="91">
        <f>IFERROR(VLOOKUP(C261,'product-map'!A:B,2,FALSE), -1)</f>
        <v>299</v>
      </c>
      <c r="E261" s="89" t="s">
        <v>5329</v>
      </c>
    </row>
    <row r="262" spans="1:5">
      <c r="A262" s="41">
        <v>106855</v>
      </c>
      <c r="B262" s="89" t="str">
        <f>VLOOKUP(A262,'prod-mongo'!A:B,2,FALSE)</f>
        <v>595f813e935f6500211007ad</v>
      </c>
      <c r="C262" s="91">
        <f>IFERROR(VLOOKUP(A262,'Item Database'!A:CC,4,FALSE), -1)</f>
        <v>166</v>
      </c>
      <c r="D262" s="91">
        <f>IFERROR(VLOOKUP(C262,'product-map'!A:B,2,FALSE), -1)</f>
        <v>304</v>
      </c>
      <c r="E262" s="89" t="s">
        <v>5329</v>
      </c>
    </row>
    <row r="263" spans="1:5">
      <c r="A263" s="41">
        <v>163720</v>
      </c>
      <c r="B263" s="89" t="str">
        <f>VLOOKUP(A263,'prod-mongo'!A:B,2,FALSE)</f>
        <v>595f813e935f6500211007ae</v>
      </c>
      <c r="C263" s="91">
        <f>IFERROR(VLOOKUP(A263,'Item Database'!A:CC,4,FALSE), -1)</f>
        <v>166</v>
      </c>
      <c r="D263" s="91">
        <f>IFERROR(VLOOKUP(C263,'product-map'!A:B,2,FALSE), -1)</f>
        <v>304</v>
      </c>
      <c r="E263" s="89" t="s">
        <v>5329</v>
      </c>
    </row>
    <row r="264" spans="1:5">
      <c r="A264" s="41">
        <v>163721</v>
      </c>
      <c r="B264" s="89" t="str">
        <f>VLOOKUP(A264,'prod-mongo'!A:B,2,FALSE)</f>
        <v>595f813e935f6500211007af</v>
      </c>
      <c r="C264" s="91">
        <f>IFERROR(VLOOKUP(A264,'Item Database'!A:CC,4,FALSE), -1)</f>
        <v>166</v>
      </c>
      <c r="D264" s="91">
        <f>IFERROR(VLOOKUP(C264,'product-map'!A:B,2,FALSE), -1)</f>
        <v>304</v>
      </c>
      <c r="E264" s="89" t="s">
        <v>5329</v>
      </c>
    </row>
    <row r="265" spans="1:5">
      <c r="A265" s="41">
        <v>126790</v>
      </c>
      <c r="B265" s="89" t="str">
        <f>VLOOKUP(A265,'prod-mongo'!A:B,2,FALSE)</f>
        <v>595f813e935f6500211007b0</v>
      </c>
      <c r="C265" s="91">
        <f>IFERROR(VLOOKUP(A265,'Item Database'!A:CC,4,FALSE), -1)</f>
        <v>166</v>
      </c>
      <c r="D265" s="91">
        <f>IFERROR(VLOOKUP(C265,'product-map'!A:B,2,FALSE), -1)</f>
        <v>304</v>
      </c>
      <c r="E265" s="89" t="s">
        <v>5329</v>
      </c>
    </row>
    <row r="266" spans="1:5">
      <c r="A266" s="41">
        <v>148700</v>
      </c>
      <c r="B266" s="89" t="str">
        <f>VLOOKUP(A266,'prod-mongo'!A:B,2,FALSE)</f>
        <v>595f813e935f6500211007b1</v>
      </c>
      <c r="C266" s="91">
        <f>IFERROR(VLOOKUP(A266,'Item Database'!A:CC,4,FALSE), -1)</f>
        <v>166</v>
      </c>
      <c r="D266" s="91">
        <f>IFERROR(VLOOKUP(C266,'product-map'!A:B,2,FALSE), -1)</f>
        <v>304</v>
      </c>
      <c r="E266" s="89" t="s">
        <v>5329</v>
      </c>
    </row>
    <row r="267" spans="1:5">
      <c r="A267" s="41">
        <v>198882</v>
      </c>
      <c r="B267" s="89" t="str">
        <f>VLOOKUP(A267,'prod-mongo'!A:B,2,FALSE)</f>
        <v>595f813e935f6500211007b2</v>
      </c>
      <c r="C267" s="91">
        <f>IFERROR(VLOOKUP(A267,'Item Database'!A:CC,4,FALSE), -1)</f>
        <v>166</v>
      </c>
      <c r="D267" s="91">
        <f>IFERROR(VLOOKUP(C267,'product-map'!A:B,2,FALSE), -1)</f>
        <v>304</v>
      </c>
      <c r="E267" s="89" t="s">
        <v>5329</v>
      </c>
    </row>
    <row r="268" spans="1:5">
      <c r="A268" s="41">
        <v>110462</v>
      </c>
      <c r="B268" s="89" t="str">
        <f>VLOOKUP(A268,'prod-mongo'!A:B,2,FALSE)</f>
        <v>595f813e935f6500211007b3</v>
      </c>
      <c r="C268" s="91">
        <f>IFERROR(VLOOKUP(A268,'Item Database'!A:CC,4,FALSE), -1)</f>
        <v>166</v>
      </c>
      <c r="D268" s="91">
        <f>IFERROR(VLOOKUP(C268,'product-map'!A:B,2,FALSE), -1)</f>
        <v>304</v>
      </c>
      <c r="E268" s="89" t="s">
        <v>5329</v>
      </c>
    </row>
    <row r="269" spans="1:5">
      <c r="A269" s="41">
        <v>180321</v>
      </c>
      <c r="B269" s="89" t="str">
        <f>VLOOKUP(A269,'prod-mongo'!A:B,2,FALSE)</f>
        <v>595f813e935f6500211007b4</v>
      </c>
      <c r="C269" s="91">
        <f>IFERROR(VLOOKUP(A269,'Item Database'!A:CC,4,FALSE), -1)</f>
        <v>166</v>
      </c>
      <c r="D269" s="91">
        <f>IFERROR(VLOOKUP(C269,'product-map'!A:B,2,FALSE), -1)</f>
        <v>304</v>
      </c>
      <c r="E269" s="89" t="s">
        <v>5329</v>
      </c>
    </row>
    <row r="270" spans="1:5">
      <c r="A270" s="41">
        <v>40651</v>
      </c>
      <c r="B270" s="89" t="str">
        <f>VLOOKUP(A270,'prod-mongo'!A:B,2,FALSE)</f>
        <v>595f813e935f6500211007b5</v>
      </c>
      <c r="C270" s="91">
        <f>IFERROR(VLOOKUP(A270,'Item Database'!A:CC,4,FALSE), -1)</f>
        <v>168</v>
      </c>
      <c r="D270" s="91">
        <f>IFERROR(VLOOKUP(C270,'product-map'!A:B,2,FALSE), -1)</f>
        <v>306</v>
      </c>
      <c r="E270" s="89" t="s">
        <v>5329</v>
      </c>
    </row>
    <row r="271" spans="1:5">
      <c r="A271" s="41">
        <v>157729</v>
      </c>
      <c r="B271" s="89" t="str">
        <f>VLOOKUP(A271,'prod-mongo'!A:B,2,FALSE)</f>
        <v>595f813e935f6500211007b6</v>
      </c>
      <c r="C271" s="91">
        <f>IFERROR(VLOOKUP(A271,'Item Database'!A:CC,4,FALSE), -1)</f>
        <v>170</v>
      </c>
      <c r="D271" s="91">
        <f>IFERROR(VLOOKUP(C271,'product-map'!A:B,2,FALSE), -1)</f>
        <v>308</v>
      </c>
      <c r="E271" s="89" t="s">
        <v>5329</v>
      </c>
    </row>
    <row r="272" spans="1:5">
      <c r="A272" s="41">
        <v>136818</v>
      </c>
      <c r="B272" s="89" t="str">
        <f>VLOOKUP(A272,'prod-mongo'!A:B,2,FALSE)</f>
        <v>595f813e935f6500211007b7</v>
      </c>
      <c r="C272" s="91">
        <f>IFERROR(VLOOKUP(A272,'Item Database'!A:CC,4,FALSE), -1)</f>
        <v>171</v>
      </c>
      <c r="D272" s="91">
        <f>IFERROR(VLOOKUP(C272,'product-map'!A:B,2,FALSE), -1)</f>
        <v>309</v>
      </c>
      <c r="E272" s="89" t="s">
        <v>5329</v>
      </c>
    </row>
    <row r="273" spans="1:5">
      <c r="A273" s="41">
        <v>127011</v>
      </c>
      <c r="B273" s="89" t="str">
        <f>VLOOKUP(A273,'prod-mongo'!A:B,2,FALSE)</f>
        <v>595f813e935f6500211007b8</v>
      </c>
      <c r="C273" s="91">
        <f>IFERROR(VLOOKUP(A273,'Item Database'!A:CC,4,FALSE), -1)</f>
        <v>171</v>
      </c>
      <c r="D273" s="91">
        <f>IFERROR(VLOOKUP(C273,'product-map'!A:B,2,FALSE), -1)</f>
        <v>309</v>
      </c>
      <c r="E273" s="89" t="s">
        <v>5329</v>
      </c>
    </row>
    <row r="274" spans="1:5">
      <c r="A274" s="41">
        <v>803943</v>
      </c>
      <c r="B274" s="89" t="str">
        <f>VLOOKUP(A274,'prod-mongo'!A:B,2,FALSE)</f>
        <v>595f813e935f6500211007b9</v>
      </c>
      <c r="C274" s="91">
        <f>IFERROR(VLOOKUP(A274,'Item Database'!A:CC,4,FALSE), -1)</f>
        <v>171</v>
      </c>
      <c r="D274" s="91">
        <f>IFERROR(VLOOKUP(C274,'product-map'!A:B,2,FALSE), -1)</f>
        <v>309</v>
      </c>
      <c r="E274" s="89" t="s">
        <v>5329</v>
      </c>
    </row>
    <row r="275" spans="1:5">
      <c r="A275" s="41">
        <v>803945</v>
      </c>
      <c r="B275" s="89" t="str">
        <f>VLOOKUP(A275,'prod-mongo'!A:B,2,FALSE)</f>
        <v>595f813e935f6500211007ba</v>
      </c>
      <c r="C275" s="91">
        <f>IFERROR(VLOOKUP(A275,'Item Database'!A:CC,4,FALSE), -1)</f>
        <v>171</v>
      </c>
      <c r="D275" s="91">
        <f>IFERROR(VLOOKUP(C275,'product-map'!A:B,2,FALSE), -1)</f>
        <v>309</v>
      </c>
      <c r="E275" s="89" t="s">
        <v>5329</v>
      </c>
    </row>
    <row r="276" spans="1:5">
      <c r="A276" s="41">
        <v>163724</v>
      </c>
      <c r="B276" s="89" t="str">
        <f>VLOOKUP(A276,'prod-mongo'!A:B,2,FALSE)</f>
        <v>595f813e935f6500211007bb</v>
      </c>
      <c r="C276" s="91">
        <f>IFERROR(VLOOKUP(A276,'Item Database'!A:CC,4,FALSE), -1)</f>
        <v>171</v>
      </c>
      <c r="D276" s="91">
        <f>IFERROR(VLOOKUP(C276,'product-map'!A:B,2,FALSE), -1)</f>
        <v>309</v>
      </c>
      <c r="E276" s="89" t="s">
        <v>5329</v>
      </c>
    </row>
    <row r="277" spans="1:5">
      <c r="A277" s="41">
        <v>374933</v>
      </c>
      <c r="B277" s="89" t="str">
        <f>VLOOKUP(A277,'prod-mongo'!A:B,2,FALSE)</f>
        <v>595f813e935f6500211007bc</v>
      </c>
      <c r="C277" s="91">
        <f>IFERROR(VLOOKUP(A277,'Item Database'!A:CC,4,FALSE), -1)</f>
        <v>172</v>
      </c>
      <c r="D277" s="91">
        <f>IFERROR(VLOOKUP(C277,'product-map'!A:B,2,FALSE), -1)</f>
        <v>310</v>
      </c>
      <c r="E277" s="89" t="s">
        <v>5329</v>
      </c>
    </row>
    <row r="278" spans="1:5">
      <c r="A278" s="41">
        <v>198417</v>
      </c>
      <c r="B278" s="89" t="str">
        <f>VLOOKUP(A278,'prod-mongo'!A:B,2,FALSE)</f>
        <v>595f813e935f6500211007bd</v>
      </c>
      <c r="C278" s="91">
        <f>IFERROR(VLOOKUP(A278,'Item Database'!A:CC,4,FALSE), -1)</f>
        <v>173</v>
      </c>
      <c r="D278" s="91">
        <f>IFERROR(VLOOKUP(C278,'product-map'!A:B,2,FALSE), -1)</f>
        <v>311</v>
      </c>
      <c r="E278" s="89" t="s">
        <v>5329</v>
      </c>
    </row>
    <row r="279" spans="1:5">
      <c r="A279" s="41">
        <v>144241</v>
      </c>
      <c r="B279" s="89" t="str">
        <f>VLOOKUP(A279,'prod-mongo'!A:B,2,FALSE)</f>
        <v>595f813e935f6500211007be</v>
      </c>
      <c r="C279" s="91">
        <f>IFERROR(VLOOKUP(A279,'Item Database'!A:CC,4,FALSE), -1)</f>
        <v>173</v>
      </c>
      <c r="D279" s="91">
        <f>IFERROR(VLOOKUP(C279,'product-map'!A:B,2,FALSE), -1)</f>
        <v>311</v>
      </c>
      <c r="E279" s="89" t="s">
        <v>5329</v>
      </c>
    </row>
    <row r="280" spans="1:5">
      <c r="A280" s="41">
        <v>144245</v>
      </c>
      <c r="B280" s="89" t="str">
        <f>VLOOKUP(A280,'prod-mongo'!A:B,2,FALSE)</f>
        <v>595f813e935f6500211007bf</v>
      </c>
      <c r="C280" s="91">
        <f>IFERROR(VLOOKUP(A280,'Item Database'!A:CC,4,FALSE), -1)</f>
        <v>173</v>
      </c>
      <c r="D280" s="91">
        <f>IFERROR(VLOOKUP(C280,'product-map'!A:B,2,FALSE), -1)</f>
        <v>311</v>
      </c>
      <c r="E280" s="89" t="s">
        <v>5329</v>
      </c>
    </row>
    <row r="281" spans="1:5">
      <c r="A281" s="41">
        <v>123182</v>
      </c>
      <c r="B281" s="89" t="str">
        <f>VLOOKUP(A281,'prod-mongo'!A:B,2,FALSE)</f>
        <v>59141fc6b21a1d00824f5180</v>
      </c>
      <c r="C281" s="91">
        <f>IFERROR(VLOOKUP(A281,'Item Database'!A:CC,4,FALSE), -1)</f>
        <v>173</v>
      </c>
      <c r="D281" s="91">
        <f>IFERROR(VLOOKUP(C281,'product-map'!A:B,2,FALSE), -1)</f>
        <v>311</v>
      </c>
      <c r="E281" s="89" t="s">
        <v>5329</v>
      </c>
    </row>
    <row r="282" spans="1:5">
      <c r="A282" s="41">
        <v>123184</v>
      </c>
      <c r="B282" s="89" t="str">
        <f>VLOOKUP(A282,'prod-mongo'!A:B,2,FALSE)</f>
        <v>5914201fb21a1d00824f64ef</v>
      </c>
      <c r="C282" s="91">
        <f>IFERROR(VLOOKUP(A282,'Item Database'!A:CC,4,FALSE), -1)</f>
        <v>173</v>
      </c>
      <c r="D282" s="91">
        <f>IFERROR(VLOOKUP(C282,'product-map'!A:B,2,FALSE), -1)</f>
        <v>311</v>
      </c>
      <c r="E282" s="89" t="s">
        <v>5329</v>
      </c>
    </row>
    <row r="283" spans="1:5">
      <c r="A283" s="41">
        <v>106251</v>
      </c>
      <c r="B283" s="89" t="str">
        <f>VLOOKUP(A283,'prod-mongo'!A:B,2,FALSE)</f>
        <v>595f813e935f6500211007c0</v>
      </c>
      <c r="C283" s="91">
        <f>IFERROR(VLOOKUP(A283,'Item Database'!A:CC,4,FALSE), -1)</f>
        <v>173</v>
      </c>
      <c r="D283" s="91">
        <f>IFERROR(VLOOKUP(C283,'product-map'!A:B,2,FALSE), -1)</f>
        <v>311</v>
      </c>
      <c r="E283" s="89" t="s">
        <v>5329</v>
      </c>
    </row>
    <row r="284" spans="1:5">
      <c r="A284" s="41">
        <v>106250</v>
      </c>
      <c r="B284" s="89" t="str">
        <f>VLOOKUP(A284,'prod-mongo'!A:B,2,FALSE)</f>
        <v>595f813e935f6500211007c1</v>
      </c>
      <c r="C284" s="91">
        <f>IFERROR(VLOOKUP(A284,'Item Database'!A:CC,4,FALSE), -1)</f>
        <v>173</v>
      </c>
      <c r="D284" s="91">
        <f>IFERROR(VLOOKUP(C284,'product-map'!A:B,2,FALSE), -1)</f>
        <v>311</v>
      </c>
      <c r="E284" s="89" t="s">
        <v>5329</v>
      </c>
    </row>
    <row r="285" spans="1:5">
      <c r="A285" s="41">
        <v>161691</v>
      </c>
      <c r="B285" s="89" t="str">
        <f>VLOOKUP(A285,'prod-mongo'!A:B,2,FALSE)</f>
        <v>595f813e935f6500211007c2</v>
      </c>
      <c r="C285" s="91">
        <f>IFERROR(VLOOKUP(A285,'Item Database'!A:CC,4,FALSE), -1)</f>
        <v>173</v>
      </c>
      <c r="D285" s="91">
        <f>IFERROR(VLOOKUP(C285,'product-map'!A:B,2,FALSE), -1)</f>
        <v>311</v>
      </c>
      <c r="E285" s="89" t="s">
        <v>5329</v>
      </c>
    </row>
    <row r="286" spans="1:5">
      <c r="A286" s="41">
        <v>107326</v>
      </c>
      <c r="B286" s="89" t="str">
        <f>VLOOKUP(A286,'prod-mongo'!A:B,2,FALSE)</f>
        <v>59142009b21a1d00824f60a3</v>
      </c>
      <c r="C286" s="91">
        <f>IFERROR(VLOOKUP(A286,'Item Database'!A:CC,4,FALSE), -1)</f>
        <v>173</v>
      </c>
      <c r="D286" s="91">
        <f>IFERROR(VLOOKUP(C286,'product-map'!A:B,2,FALSE), -1)</f>
        <v>311</v>
      </c>
      <c r="E286" s="89" t="s">
        <v>5329</v>
      </c>
    </row>
    <row r="287" spans="1:5">
      <c r="A287" s="41">
        <v>107325</v>
      </c>
      <c r="B287" s="89" t="str">
        <f>VLOOKUP(A287,'prod-mongo'!A:B,2,FALSE)</f>
        <v>59141fffb21a1d00824f5ef3</v>
      </c>
      <c r="C287" s="91">
        <f>IFERROR(VLOOKUP(A287,'Item Database'!A:CC,4,FALSE), -1)</f>
        <v>173</v>
      </c>
      <c r="D287" s="91">
        <f>IFERROR(VLOOKUP(C287,'product-map'!A:B,2,FALSE), -1)</f>
        <v>311</v>
      </c>
      <c r="E287" s="89" t="s">
        <v>5329</v>
      </c>
    </row>
    <row r="288" spans="1:5">
      <c r="A288" s="41">
        <v>114011</v>
      </c>
      <c r="B288" s="89" t="str">
        <f>VLOOKUP(A288,'prod-mongo'!A:B,2,FALSE)</f>
        <v>59141fd7b21a1d00824f5531</v>
      </c>
      <c r="C288" s="91">
        <f>IFERROR(VLOOKUP(A288,'Item Database'!A:CC,4,FALSE), -1)</f>
        <v>173</v>
      </c>
      <c r="D288" s="91">
        <f>IFERROR(VLOOKUP(C288,'product-map'!A:B,2,FALSE), -1)</f>
        <v>311</v>
      </c>
      <c r="E288" s="89" t="s">
        <v>5329</v>
      </c>
    </row>
    <row r="289" spans="1:5">
      <c r="A289" s="41">
        <v>113969</v>
      </c>
      <c r="B289" s="89" t="str">
        <f>VLOOKUP(A289,'prod-mongo'!A:B,2,FALSE)</f>
        <v>59141fc5b21a1d00824f516a</v>
      </c>
      <c r="C289" s="91">
        <f>IFERROR(VLOOKUP(A289,'Item Database'!A:CC,4,FALSE), -1)</f>
        <v>173</v>
      </c>
      <c r="D289" s="91">
        <f>IFERROR(VLOOKUP(C289,'product-map'!A:B,2,FALSE), -1)</f>
        <v>311</v>
      </c>
      <c r="E289" s="89" t="s">
        <v>5329</v>
      </c>
    </row>
    <row r="290" spans="1:5">
      <c r="A290" s="41">
        <v>37817</v>
      </c>
      <c r="B290" s="89" t="str">
        <f>VLOOKUP(A290,'prod-mongo'!A:B,2,FALSE)</f>
        <v>595f813e935f6500211007c3</v>
      </c>
      <c r="C290" s="91">
        <f>IFERROR(VLOOKUP(A290,'Item Database'!A:CC,4,FALSE), -1)</f>
        <v>175</v>
      </c>
      <c r="D290" s="91">
        <f>IFERROR(VLOOKUP(C290,'product-map'!A:B,2,FALSE), -1)</f>
        <v>313</v>
      </c>
      <c r="E290" s="89" t="s">
        <v>5329</v>
      </c>
    </row>
    <row r="291" spans="1:5">
      <c r="A291" s="41">
        <v>161259</v>
      </c>
      <c r="B291" s="89" t="str">
        <f>VLOOKUP(A291,'prod-mongo'!A:B,2,FALSE)</f>
        <v>595f813e935f6500211007c4</v>
      </c>
      <c r="C291" s="91">
        <f>IFERROR(VLOOKUP(A291,'Item Database'!A:CC,4,FALSE), -1)</f>
        <v>175</v>
      </c>
      <c r="D291" s="91">
        <f>IFERROR(VLOOKUP(C291,'product-map'!A:B,2,FALSE), -1)</f>
        <v>313</v>
      </c>
      <c r="E291" s="89" t="s">
        <v>5329</v>
      </c>
    </row>
    <row r="292" spans="1:5">
      <c r="A292" s="41">
        <v>146447</v>
      </c>
      <c r="B292" s="89" t="str">
        <f>VLOOKUP(A292,'prod-mongo'!A:B,2,FALSE)</f>
        <v>595f813e935f6500211007c5</v>
      </c>
      <c r="C292" s="91">
        <f>IFERROR(VLOOKUP(A292,'Item Database'!A:CC,4,FALSE), -1)</f>
        <v>175</v>
      </c>
      <c r="D292" s="91">
        <f>IFERROR(VLOOKUP(C292,'product-map'!A:B,2,FALSE), -1)</f>
        <v>313</v>
      </c>
      <c r="E292" s="89" t="s">
        <v>5329</v>
      </c>
    </row>
    <row r="293" spans="1:5">
      <c r="A293" s="41">
        <v>194766</v>
      </c>
      <c r="B293" s="89" t="str">
        <f>VLOOKUP(A293,'prod-mongo'!A:B,2,FALSE)</f>
        <v>5914200fb21a1d00824f61fd</v>
      </c>
      <c r="C293" s="91">
        <f>IFERROR(VLOOKUP(A293,'Item Database'!A:CC,4,FALSE), -1)</f>
        <v>175</v>
      </c>
      <c r="D293" s="91">
        <f>IFERROR(VLOOKUP(C293,'product-map'!A:B,2,FALSE), -1)</f>
        <v>313</v>
      </c>
      <c r="E293" s="89" t="s">
        <v>5329</v>
      </c>
    </row>
    <row r="294" spans="1:5">
      <c r="A294" s="41">
        <v>147361</v>
      </c>
      <c r="B294" s="89" t="str">
        <f>VLOOKUP(A294,'prod-mongo'!A:B,2,FALSE)</f>
        <v>59141fcdb21a1d00824f52bf</v>
      </c>
      <c r="C294" s="91">
        <f>IFERROR(VLOOKUP(A294,'Item Database'!A:CC,4,FALSE), -1)</f>
        <v>175</v>
      </c>
      <c r="D294" s="91">
        <f>IFERROR(VLOOKUP(C294,'product-map'!A:B,2,FALSE), -1)</f>
        <v>313</v>
      </c>
      <c r="E294" s="89" t="s">
        <v>5329</v>
      </c>
    </row>
    <row r="295" spans="1:5">
      <c r="A295" s="41">
        <v>902837</v>
      </c>
      <c r="B295" s="89" t="str">
        <f>VLOOKUP(A295,'prod-mongo'!A:B,2,FALSE)</f>
        <v>59142019b21a1d00824f63a5</v>
      </c>
      <c r="C295" s="91">
        <f>IFERROR(VLOOKUP(A295,'Item Database'!A:CC,4,FALSE), -1)</f>
        <v>175</v>
      </c>
      <c r="D295" s="91">
        <f>IFERROR(VLOOKUP(C295,'product-map'!A:B,2,FALSE), -1)</f>
        <v>313</v>
      </c>
      <c r="E295" s="89" t="s">
        <v>5329</v>
      </c>
    </row>
    <row r="296" spans="1:5">
      <c r="A296" s="41">
        <v>125537</v>
      </c>
      <c r="B296" s="89" t="str">
        <f>VLOOKUP(A296,'prod-mongo'!A:B,2,FALSE)</f>
        <v>595f813e935f6500211007c6</v>
      </c>
      <c r="C296" s="91">
        <f>IFERROR(VLOOKUP(A296,'Item Database'!A:CC,4,FALSE), -1)</f>
        <v>175</v>
      </c>
      <c r="D296" s="91">
        <f>IFERROR(VLOOKUP(C296,'product-map'!A:B,2,FALSE), -1)</f>
        <v>313</v>
      </c>
      <c r="E296" s="89" t="s">
        <v>5329</v>
      </c>
    </row>
    <row r="297" spans="1:5">
      <c r="A297" s="41">
        <v>147395</v>
      </c>
      <c r="B297" s="89" t="str">
        <f>VLOOKUP(A297,'prod-mongo'!A:B,2,FALSE)</f>
        <v>595f813e935f6500211007c7</v>
      </c>
      <c r="C297" s="91">
        <f>IFERROR(VLOOKUP(A297,'Item Database'!A:CC,4,FALSE), -1)</f>
        <v>175</v>
      </c>
      <c r="D297" s="91">
        <f>IFERROR(VLOOKUP(C297,'product-map'!A:B,2,FALSE), -1)</f>
        <v>313</v>
      </c>
      <c r="E297" s="89" t="s">
        <v>5329</v>
      </c>
    </row>
    <row r="298" spans="1:5">
      <c r="A298" s="41">
        <v>109609</v>
      </c>
      <c r="B298" s="89" t="str">
        <f>VLOOKUP(A298,'prod-mongo'!A:B,2,FALSE)</f>
        <v>59142010b21a1d00824f6241</v>
      </c>
      <c r="C298" s="91">
        <f>IFERROR(VLOOKUP(A298,'Item Database'!A:CC,4,FALSE), -1)</f>
        <v>176</v>
      </c>
      <c r="D298" s="91">
        <f>IFERROR(VLOOKUP(C298,'product-map'!A:B,2,FALSE), -1)</f>
        <v>314</v>
      </c>
      <c r="E298" s="89" t="s">
        <v>5329</v>
      </c>
    </row>
    <row r="299" spans="1:5">
      <c r="A299" s="41">
        <v>75972</v>
      </c>
      <c r="B299" s="89" t="str">
        <f>VLOOKUP(A299,'prod-mongo'!A:B,2,FALSE)</f>
        <v>595f813f935f6500211007c8</v>
      </c>
      <c r="C299" s="91">
        <f>IFERROR(VLOOKUP(A299,'Item Database'!A:CC,4,FALSE), -1)</f>
        <v>176</v>
      </c>
      <c r="D299" s="91">
        <f>IFERROR(VLOOKUP(C299,'product-map'!A:B,2,FALSE), -1)</f>
        <v>314</v>
      </c>
      <c r="E299" s="89" t="s">
        <v>5329</v>
      </c>
    </row>
    <row r="300" spans="1:5">
      <c r="A300" s="41">
        <v>114083</v>
      </c>
      <c r="B300" s="89" t="str">
        <f>VLOOKUP(A300,'prod-mongo'!A:B,2,FALSE)</f>
        <v>59142009b21a1d00824f6099</v>
      </c>
      <c r="C300" s="91">
        <f>IFERROR(VLOOKUP(A300,'Item Database'!A:CC,4,FALSE), -1)</f>
        <v>176</v>
      </c>
      <c r="D300" s="91">
        <f>IFERROR(VLOOKUP(C300,'product-map'!A:B,2,FALSE), -1)</f>
        <v>314</v>
      </c>
      <c r="E300" s="89" t="s">
        <v>5329</v>
      </c>
    </row>
    <row r="301" spans="1:5">
      <c r="A301" s="41">
        <v>148794</v>
      </c>
      <c r="B301" s="89" t="str">
        <f>VLOOKUP(A301,'prod-mongo'!A:B,2,FALSE)</f>
        <v>59141fffb21a1d00824f5f00</v>
      </c>
      <c r="C301" s="91">
        <f>IFERROR(VLOOKUP(A301,'Item Database'!A:CC,4,FALSE), -1)</f>
        <v>177</v>
      </c>
      <c r="D301" s="91">
        <f>IFERROR(VLOOKUP(C301,'product-map'!A:B,2,FALSE), -1)</f>
        <v>315</v>
      </c>
      <c r="E301" s="89" t="s">
        <v>5329</v>
      </c>
    </row>
    <row r="302" spans="1:5">
      <c r="A302" s="41">
        <v>156524</v>
      </c>
      <c r="B302" s="89" t="str">
        <f>VLOOKUP(A302,'prod-mongo'!A:B,2,FALSE)</f>
        <v>595f813f935f6500211007c9</v>
      </c>
      <c r="C302" s="91">
        <f>IFERROR(VLOOKUP(A302,'Item Database'!A:CC,4,FALSE), -1)</f>
        <v>179</v>
      </c>
      <c r="D302" s="91">
        <f>IFERROR(VLOOKUP(C302,'product-map'!A:B,2,FALSE), -1)</f>
        <v>317</v>
      </c>
      <c r="E302" s="89" t="s">
        <v>5329</v>
      </c>
    </row>
    <row r="303" spans="1:5">
      <c r="A303" s="41">
        <v>185841</v>
      </c>
      <c r="B303" s="89" t="str">
        <f>VLOOKUP(A303,'prod-mongo'!A:B,2,FALSE)</f>
        <v>595f813f935f6500211007ca</v>
      </c>
      <c r="C303" s="91">
        <f>IFERROR(VLOOKUP(A303,'Item Database'!A:CC,4,FALSE), -1)</f>
        <v>179</v>
      </c>
      <c r="D303" s="91">
        <f>IFERROR(VLOOKUP(C303,'product-map'!A:B,2,FALSE), -1)</f>
        <v>317</v>
      </c>
      <c r="E303" s="89" t="s">
        <v>5329</v>
      </c>
    </row>
    <row r="304" spans="1:5">
      <c r="A304" s="41">
        <v>185844</v>
      </c>
      <c r="B304" s="89" t="str">
        <f>VLOOKUP(A304,'prod-mongo'!A:B,2,FALSE)</f>
        <v>595f813f935f6500211007cb</v>
      </c>
      <c r="C304" s="91">
        <f>IFERROR(VLOOKUP(A304,'Item Database'!A:CC,4,FALSE), -1)</f>
        <v>179</v>
      </c>
      <c r="D304" s="91">
        <f>IFERROR(VLOOKUP(C304,'product-map'!A:B,2,FALSE), -1)</f>
        <v>317</v>
      </c>
      <c r="E304" s="89" t="s">
        <v>5329</v>
      </c>
    </row>
    <row r="305" spans="1:5">
      <c r="A305" s="41">
        <v>819253</v>
      </c>
      <c r="B305" s="89" t="str">
        <f>VLOOKUP(A305,'prod-mongo'!A:B,2,FALSE)</f>
        <v>595f813f935f6500211007cc</v>
      </c>
      <c r="C305" s="91">
        <f>IFERROR(VLOOKUP(A305,'Item Database'!A:CC,4,FALSE), -1)</f>
        <v>179</v>
      </c>
      <c r="D305" s="91">
        <f>IFERROR(VLOOKUP(C305,'product-map'!A:B,2,FALSE), -1)</f>
        <v>317</v>
      </c>
      <c r="E305" s="89" t="s">
        <v>5329</v>
      </c>
    </row>
    <row r="306" spans="1:5">
      <c r="A306" s="41">
        <v>148797</v>
      </c>
      <c r="B306" s="89" t="str">
        <f>VLOOKUP(A306,'prod-mongo'!A:B,2,FALSE)</f>
        <v>595f813f935f6500211007cd</v>
      </c>
      <c r="C306" s="91">
        <f>IFERROR(VLOOKUP(A306,'Item Database'!A:CC,4,FALSE), -1)</f>
        <v>180</v>
      </c>
      <c r="D306" s="91">
        <f>IFERROR(VLOOKUP(C306,'product-map'!A:B,2,FALSE), -1)</f>
        <v>318</v>
      </c>
      <c r="E306" s="89" t="s">
        <v>5329</v>
      </c>
    </row>
    <row r="307" spans="1:5">
      <c r="A307" s="41">
        <v>48620</v>
      </c>
      <c r="B307" s="89" t="str">
        <f>VLOOKUP(A307,'prod-mongo'!A:B,2,FALSE)</f>
        <v>595f813f935f6500211007ce</v>
      </c>
      <c r="C307" s="91">
        <f>IFERROR(VLOOKUP(A307,'Item Database'!A:CC,4,FALSE), -1)</f>
        <v>180</v>
      </c>
      <c r="D307" s="91">
        <f>IFERROR(VLOOKUP(C307,'product-map'!A:B,2,FALSE), -1)</f>
        <v>318</v>
      </c>
      <c r="E307" s="89" t="s">
        <v>5329</v>
      </c>
    </row>
    <row r="308" spans="1:5">
      <c r="A308" s="41">
        <v>91858</v>
      </c>
      <c r="B308" s="89" t="str">
        <f>VLOOKUP(A308,'prod-mongo'!A:B,2,FALSE)</f>
        <v>59141fd6b21a1d00824f5506</v>
      </c>
      <c r="C308" s="91">
        <f>IFERROR(VLOOKUP(A308,'Item Database'!A:CC,4,FALSE), -1)</f>
        <v>180</v>
      </c>
      <c r="D308" s="91">
        <f>IFERROR(VLOOKUP(C308,'product-map'!A:B,2,FALSE), -1)</f>
        <v>318</v>
      </c>
      <c r="E308" s="89" t="s">
        <v>5329</v>
      </c>
    </row>
    <row r="309" spans="1:5">
      <c r="A309" s="41">
        <v>124213</v>
      </c>
      <c r="B309" s="89" t="str">
        <f>VLOOKUP(A309,'prod-mongo'!A:B,2,FALSE)</f>
        <v>5914201fb21a1d00824f64f7</v>
      </c>
      <c r="C309" s="91">
        <f>IFERROR(VLOOKUP(A309,'Item Database'!A:CC,4,FALSE), -1)</f>
        <v>181</v>
      </c>
      <c r="D309" s="91">
        <f>IFERROR(VLOOKUP(C309,'product-map'!A:B,2,FALSE), -1)</f>
        <v>319</v>
      </c>
      <c r="E309" s="89" t="s">
        <v>5329</v>
      </c>
    </row>
    <row r="310" spans="1:5">
      <c r="A310" s="41">
        <v>24908</v>
      </c>
      <c r="B310" s="89" t="str">
        <f>VLOOKUP(A310,'prod-mongo'!A:B,2,FALSE)</f>
        <v>595f813f935f6500211007cf</v>
      </c>
      <c r="C310" s="91">
        <f>IFERROR(VLOOKUP(A310,'Item Database'!A:CC,4,FALSE), -1)</f>
        <v>182</v>
      </c>
      <c r="D310" s="91">
        <f>IFERROR(VLOOKUP(C310,'product-map'!A:B,2,FALSE), -1)</f>
        <v>320</v>
      </c>
      <c r="E310" s="89" t="s">
        <v>5329</v>
      </c>
    </row>
    <row r="311" spans="1:5">
      <c r="A311" s="41">
        <v>206297</v>
      </c>
      <c r="B311" s="89" t="str">
        <f>VLOOKUP(A311,'prod-mongo'!A:B,2,FALSE)</f>
        <v>59141fcab21a1d00824f524d</v>
      </c>
      <c r="C311" s="91">
        <f>IFERROR(VLOOKUP(A311,'Item Database'!A:CC,4,FALSE), -1)</f>
        <v>182</v>
      </c>
      <c r="D311" s="91">
        <f>IFERROR(VLOOKUP(C311,'product-map'!A:B,2,FALSE), -1)</f>
        <v>320</v>
      </c>
      <c r="E311" s="89" t="s">
        <v>5329</v>
      </c>
    </row>
    <row r="312" spans="1:5">
      <c r="A312" s="41">
        <v>110597</v>
      </c>
      <c r="B312" s="89" t="str">
        <f>VLOOKUP(A312,'prod-mongo'!A:B,2,FALSE)</f>
        <v>595f813f935f6500211007d0</v>
      </c>
      <c r="C312" s="91">
        <f>IFERROR(VLOOKUP(A312,'Item Database'!A:CC,4,FALSE), -1)</f>
        <v>182</v>
      </c>
      <c r="D312" s="91">
        <f>IFERROR(VLOOKUP(C312,'product-map'!A:B,2,FALSE), -1)</f>
        <v>320</v>
      </c>
      <c r="E312" s="89" t="s">
        <v>5329</v>
      </c>
    </row>
    <row r="313" spans="1:5">
      <c r="A313" s="41">
        <v>140316</v>
      </c>
      <c r="B313" s="89" t="str">
        <f>VLOOKUP(A313,'prod-mongo'!A:B,2,FALSE)</f>
        <v>595f813f935f6500211007d1</v>
      </c>
      <c r="C313" s="91">
        <f>IFERROR(VLOOKUP(A313,'Item Database'!A:CC,4,FALSE), -1)</f>
        <v>182</v>
      </c>
      <c r="D313" s="91">
        <f>IFERROR(VLOOKUP(C313,'product-map'!A:B,2,FALSE), -1)</f>
        <v>320</v>
      </c>
      <c r="E313" s="89" t="s">
        <v>5329</v>
      </c>
    </row>
    <row r="314" spans="1:5">
      <c r="A314" s="41">
        <v>108096</v>
      </c>
      <c r="B314" s="89" t="str">
        <f>VLOOKUP(A314,'prod-mongo'!A:B,2,FALSE)</f>
        <v>595f813f935f6500211007d2</v>
      </c>
      <c r="C314" s="91">
        <f>IFERROR(VLOOKUP(A314,'Item Database'!A:CC,4,FALSE), -1)</f>
        <v>182</v>
      </c>
      <c r="D314" s="91">
        <f>IFERROR(VLOOKUP(C314,'product-map'!A:B,2,FALSE), -1)</f>
        <v>320</v>
      </c>
      <c r="E314" s="89" t="s">
        <v>5329</v>
      </c>
    </row>
    <row r="315" spans="1:5">
      <c r="A315" s="41">
        <v>145864</v>
      </c>
      <c r="B315" s="89" t="str">
        <f>VLOOKUP(A315,'prod-mongo'!A:B,2,FALSE)</f>
        <v>59141ff6b21a1d00824f5c9c</v>
      </c>
      <c r="C315" s="91">
        <f>IFERROR(VLOOKUP(A315,'Item Database'!A:CC,4,FALSE), -1)</f>
        <v>182</v>
      </c>
      <c r="D315" s="91">
        <f>IFERROR(VLOOKUP(C315,'product-map'!A:B,2,FALSE), -1)</f>
        <v>320</v>
      </c>
      <c r="E315" s="89" t="s">
        <v>5329</v>
      </c>
    </row>
    <row r="316" spans="1:5">
      <c r="A316" s="41">
        <v>150719</v>
      </c>
      <c r="B316" s="89" t="str">
        <f>VLOOKUP(A316,'prod-mongo'!A:B,2,FALSE)</f>
        <v>59141fd7b21a1d00824f5540</v>
      </c>
      <c r="C316" s="91">
        <f>IFERROR(VLOOKUP(A316,'Item Database'!A:CC,4,FALSE), -1)</f>
        <v>182</v>
      </c>
      <c r="D316" s="91">
        <f>IFERROR(VLOOKUP(C316,'product-map'!A:B,2,FALSE), -1)</f>
        <v>320</v>
      </c>
      <c r="E316" s="89" t="s">
        <v>5329</v>
      </c>
    </row>
    <row r="317" spans="1:5">
      <c r="A317" s="41">
        <v>115833</v>
      </c>
      <c r="B317" s="89" t="str">
        <f>VLOOKUP(A317,'prod-mongo'!A:B,2,FALSE)</f>
        <v>595f813f935f6500211007d3</v>
      </c>
      <c r="C317" s="91">
        <f>IFERROR(VLOOKUP(A317,'Item Database'!A:CC,4,FALSE), -1)</f>
        <v>182</v>
      </c>
      <c r="D317" s="91">
        <f>IFERROR(VLOOKUP(C317,'product-map'!A:B,2,FALSE), -1)</f>
        <v>320</v>
      </c>
      <c r="E317" s="89" t="s">
        <v>5329</v>
      </c>
    </row>
    <row r="318" spans="1:5">
      <c r="A318" s="41">
        <v>220840</v>
      </c>
      <c r="B318" s="89" t="str">
        <f>VLOOKUP(A318,'prod-mongo'!A:B,2,FALSE)</f>
        <v>595f813f935f6500211007d4</v>
      </c>
      <c r="C318" s="91">
        <f>IFERROR(VLOOKUP(A318,'Item Database'!A:CC,4,FALSE), -1)</f>
        <v>184</v>
      </c>
      <c r="D318" s="91">
        <f>IFERROR(VLOOKUP(C318,'product-map'!A:B,2,FALSE), -1)</f>
        <v>322</v>
      </c>
      <c r="E318" s="89" t="s">
        <v>5329</v>
      </c>
    </row>
    <row r="319" spans="1:5">
      <c r="A319" s="41">
        <v>985296</v>
      </c>
      <c r="B319" s="89" t="str">
        <f>VLOOKUP(A319,'prod-mongo'!A:B,2,FALSE)</f>
        <v>595f813f935f6500211007d5</v>
      </c>
      <c r="C319" s="91">
        <f>IFERROR(VLOOKUP(A319,'Item Database'!A:CC,4,FALSE), -1)</f>
        <v>184</v>
      </c>
      <c r="D319" s="91">
        <f>IFERROR(VLOOKUP(C319,'product-map'!A:B,2,FALSE), -1)</f>
        <v>322</v>
      </c>
      <c r="E319" s="89" t="s">
        <v>5329</v>
      </c>
    </row>
    <row r="320" spans="1:5">
      <c r="A320" s="41">
        <v>159224</v>
      </c>
      <c r="B320" s="89" t="str">
        <f>VLOOKUP(A320,'prod-mongo'!A:B,2,FALSE)</f>
        <v>595f813f935f6500211007d6</v>
      </c>
      <c r="C320" s="91">
        <f>IFERROR(VLOOKUP(A320,'Item Database'!A:CC,4,FALSE), -1)</f>
        <v>184</v>
      </c>
      <c r="D320" s="91">
        <f>IFERROR(VLOOKUP(C320,'product-map'!A:B,2,FALSE), -1)</f>
        <v>322</v>
      </c>
      <c r="E320" s="89" t="s">
        <v>5329</v>
      </c>
    </row>
    <row r="321" spans="1:5">
      <c r="A321" s="41">
        <v>812552</v>
      </c>
      <c r="B321" s="89" t="str">
        <f>VLOOKUP(A321,'prod-mongo'!A:B,2,FALSE)</f>
        <v>595f813f935f6500211007d7</v>
      </c>
      <c r="C321" s="91">
        <f>IFERROR(VLOOKUP(A321,'Item Database'!A:CC,4,FALSE), -1)</f>
        <v>184</v>
      </c>
      <c r="D321" s="91">
        <f>IFERROR(VLOOKUP(C321,'product-map'!A:B,2,FALSE), -1)</f>
        <v>322</v>
      </c>
      <c r="E321" s="89" t="s">
        <v>5329</v>
      </c>
    </row>
    <row r="322" spans="1:5">
      <c r="A322" s="41">
        <v>104083</v>
      </c>
      <c r="B322" s="89" t="str">
        <f>VLOOKUP(A322,'prod-mongo'!A:B,2,FALSE)</f>
        <v>595f813f935f6500211007d8</v>
      </c>
      <c r="C322" s="91">
        <f>IFERROR(VLOOKUP(A322,'Item Database'!A:CC,4,FALSE), -1)</f>
        <v>186</v>
      </c>
      <c r="D322" s="91">
        <f>IFERROR(VLOOKUP(C322,'product-map'!A:B,2,FALSE), -1)</f>
        <v>324</v>
      </c>
      <c r="E322" s="89" t="s">
        <v>5329</v>
      </c>
    </row>
    <row r="323" spans="1:5">
      <c r="A323" s="41">
        <v>3198</v>
      </c>
      <c r="B323" s="89" t="str">
        <f>VLOOKUP(A323,'prod-mongo'!A:B,2,FALSE)</f>
        <v>595f813f935f6500211007d9</v>
      </c>
      <c r="C323" s="91">
        <f>IFERROR(VLOOKUP(A323,'Item Database'!A:CC,4,FALSE), -1)</f>
        <v>190</v>
      </c>
      <c r="D323" s="91">
        <f>IFERROR(VLOOKUP(C323,'product-map'!A:B,2,FALSE), -1)</f>
        <v>328</v>
      </c>
      <c r="E323" s="89" t="s">
        <v>5329</v>
      </c>
    </row>
    <row r="324" spans="1:5">
      <c r="A324" s="41">
        <v>191268</v>
      </c>
      <c r="B324" s="89" t="str">
        <f>VLOOKUP(A324,'prod-mongo'!A:B,2,FALSE)</f>
        <v>595f813f935f6500211007da</v>
      </c>
      <c r="C324" s="91">
        <f>IFERROR(VLOOKUP(A324,'Item Database'!A:CC,4,FALSE), -1)</f>
        <v>190</v>
      </c>
      <c r="D324" s="91">
        <f>IFERROR(VLOOKUP(C324,'product-map'!A:B,2,FALSE), -1)</f>
        <v>328</v>
      </c>
      <c r="E324" s="89" t="s">
        <v>5329</v>
      </c>
    </row>
    <row r="325" spans="1:5">
      <c r="A325" s="41">
        <v>191269</v>
      </c>
      <c r="B325" s="89" t="str">
        <f>VLOOKUP(A325,'prod-mongo'!A:B,2,FALSE)</f>
        <v>595f813f935f6500211007db</v>
      </c>
      <c r="C325" s="91">
        <f>IFERROR(VLOOKUP(A325,'Item Database'!A:CC,4,FALSE), -1)</f>
        <v>190</v>
      </c>
      <c r="D325" s="91">
        <f>IFERROR(VLOOKUP(C325,'product-map'!A:B,2,FALSE), -1)</f>
        <v>328</v>
      </c>
      <c r="E325" s="89" t="s">
        <v>5329</v>
      </c>
    </row>
    <row r="326" spans="1:5">
      <c r="A326" s="41">
        <v>191270</v>
      </c>
      <c r="B326" s="89" t="str">
        <f>VLOOKUP(A326,'prod-mongo'!A:B,2,FALSE)</f>
        <v>595f813f935f6500211007dc</v>
      </c>
      <c r="C326" s="91">
        <f>IFERROR(VLOOKUP(A326,'Item Database'!A:CC,4,FALSE), -1)</f>
        <v>190</v>
      </c>
      <c r="D326" s="91">
        <f>IFERROR(VLOOKUP(C326,'product-map'!A:B,2,FALSE), -1)</f>
        <v>328</v>
      </c>
      <c r="E326" s="89" t="s">
        <v>5329</v>
      </c>
    </row>
    <row r="327" spans="1:5">
      <c r="A327" s="41">
        <v>191282</v>
      </c>
      <c r="B327" s="89" t="str">
        <f>VLOOKUP(A327,'prod-mongo'!A:B,2,FALSE)</f>
        <v>595f813f935f6500211007dd</v>
      </c>
      <c r="C327" s="91">
        <f>IFERROR(VLOOKUP(A327,'Item Database'!A:CC,4,FALSE), -1)</f>
        <v>190</v>
      </c>
      <c r="D327" s="91">
        <f>IFERROR(VLOOKUP(C327,'product-map'!A:B,2,FALSE), -1)</f>
        <v>328</v>
      </c>
      <c r="E327" s="89" t="s">
        <v>5329</v>
      </c>
    </row>
    <row r="328" spans="1:5">
      <c r="A328" s="41">
        <v>166966</v>
      </c>
      <c r="B328" s="89" t="str">
        <f>VLOOKUP(A328,'prod-mongo'!A:B,2,FALSE)</f>
        <v>595f813f935f6500211007de</v>
      </c>
      <c r="C328" s="91">
        <f>IFERROR(VLOOKUP(A328,'Item Database'!A:CC,4,FALSE), -1)</f>
        <v>191</v>
      </c>
      <c r="D328" s="91">
        <f>IFERROR(VLOOKUP(C328,'product-map'!A:B,2,FALSE), -1)</f>
        <v>329</v>
      </c>
      <c r="E328" s="89" t="s">
        <v>5329</v>
      </c>
    </row>
    <row r="329" spans="1:5">
      <c r="A329" s="41">
        <v>213602</v>
      </c>
      <c r="B329" s="89" t="str">
        <f>VLOOKUP(A329,'prod-mongo'!A:B,2,FALSE)</f>
        <v>59141ff3b21a1d00824f5bbf</v>
      </c>
      <c r="C329" s="91">
        <f>IFERROR(VLOOKUP(A329,'Item Database'!A:CC,4,FALSE), -1)</f>
        <v>194</v>
      </c>
      <c r="D329" s="91">
        <f>IFERROR(VLOOKUP(C329,'product-map'!A:B,2,FALSE), -1)</f>
        <v>332</v>
      </c>
      <c r="E329" s="89" t="s">
        <v>5329</v>
      </c>
    </row>
    <row r="330" spans="1:5">
      <c r="A330" s="41">
        <v>237085</v>
      </c>
      <c r="B330" s="89" t="str">
        <f>VLOOKUP(A330,'prod-mongo'!A:B,2,FALSE)</f>
        <v>595f813f935f6500211007df</v>
      </c>
      <c r="C330" s="91">
        <f>IFERROR(VLOOKUP(A330,'Item Database'!A:CC,4,FALSE), -1)</f>
        <v>194</v>
      </c>
      <c r="D330" s="91">
        <f>IFERROR(VLOOKUP(C330,'product-map'!A:B,2,FALSE), -1)</f>
        <v>332</v>
      </c>
      <c r="E330" s="89" t="s">
        <v>5329</v>
      </c>
    </row>
    <row r="331" spans="1:5">
      <c r="A331" s="41">
        <v>47177</v>
      </c>
      <c r="B331" s="89" t="str">
        <f>VLOOKUP(A331,'prod-mongo'!A:B,2,FALSE)</f>
        <v>595f813f935f6500211007e0</v>
      </c>
      <c r="C331" s="91">
        <f>IFERROR(VLOOKUP(A331,'Item Database'!A:CC,4,FALSE), -1)</f>
        <v>194</v>
      </c>
      <c r="D331" s="91">
        <f>IFERROR(VLOOKUP(C331,'product-map'!A:B,2,FALSE), -1)</f>
        <v>332</v>
      </c>
      <c r="E331" s="89" t="s">
        <v>5329</v>
      </c>
    </row>
    <row r="332" spans="1:5">
      <c r="A332" s="41">
        <v>182798</v>
      </c>
      <c r="B332" s="89" t="str">
        <f>VLOOKUP(A332,'prod-mongo'!A:B,2,FALSE)</f>
        <v>595f813f935f6500211007e1</v>
      </c>
      <c r="C332" s="91">
        <f>IFERROR(VLOOKUP(A332,'Item Database'!A:CC,4,FALSE), -1)</f>
        <v>194</v>
      </c>
      <c r="D332" s="91">
        <f>IFERROR(VLOOKUP(C332,'product-map'!A:B,2,FALSE), -1)</f>
        <v>332</v>
      </c>
      <c r="E332" s="89" t="s">
        <v>5329</v>
      </c>
    </row>
    <row r="333" spans="1:5">
      <c r="A333" s="41">
        <v>132322</v>
      </c>
      <c r="B333" s="89" t="str">
        <f>VLOOKUP(A333,'prod-mongo'!A:B,2,FALSE)</f>
        <v>595f813f935f6500211007e2</v>
      </c>
      <c r="C333" s="91">
        <f>IFERROR(VLOOKUP(A333,'Item Database'!A:CC,4,FALSE), -1)</f>
        <v>194</v>
      </c>
      <c r="D333" s="91">
        <f>IFERROR(VLOOKUP(C333,'product-map'!A:B,2,FALSE), -1)</f>
        <v>332</v>
      </c>
      <c r="E333" s="89" t="s">
        <v>5329</v>
      </c>
    </row>
    <row r="334" spans="1:5">
      <c r="A334" s="41">
        <v>146569</v>
      </c>
      <c r="B334" s="89" t="str">
        <f>VLOOKUP(A334,'prod-mongo'!A:B,2,FALSE)</f>
        <v>5914201fb21a1d00824f64dd</v>
      </c>
      <c r="C334" s="91">
        <f>IFERROR(VLOOKUP(A334,'Item Database'!A:CC,4,FALSE), -1)</f>
        <v>194</v>
      </c>
      <c r="D334" s="91">
        <f>IFERROR(VLOOKUP(C334,'product-map'!A:B,2,FALSE), -1)</f>
        <v>332</v>
      </c>
      <c r="E334" s="89" t="s">
        <v>5329</v>
      </c>
    </row>
    <row r="335" spans="1:5">
      <c r="A335" s="41">
        <v>438256</v>
      </c>
      <c r="B335" s="89" t="str">
        <f>VLOOKUP(A335,'prod-mongo'!A:B,2,FALSE)</f>
        <v>59142008b21a1d00824f6073</v>
      </c>
      <c r="C335" s="91">
        <f>IFERROR(VLOOKUP(A335,'Item Database'!A:CC,4,FALSE), -1)</f>
        <v>197</v>
      </c>
      <c r="D335" s="91">
        <f>IFERROR(VLOOKUP(C335,'product-map'!A:B,2,FALSE), -1)</f>
        <v>335</v>
      </c>
      <c r="E335" s="89" t="s">
        <v>5329</v>
      </c>
    </row>
    <row r="336" spans="1:5">
      <c r="A336" s="41">
        <v>756132</v>
      </c>
      <c r="B336" s="89" t="str">
        <f>VLOOKUP(A336,'prod-mongo'!A:B,2,FALSE)</f>
        <v>595f813f935f6500211007e3</v>
      </c>
      <c r="C336" s="91">
        <f>IFERROR(VLOOKUP(A336,'Item Database'!A:CC,4,FALSE), -1)</f>
        <v>199</v>
      </c>
      <c r="D336" s="91">
        <f>IFERROR(VLOOKUP(C336,'product-map'!A:B,2,FALSE), -1)</f>
        <v>337</v>
      </c>
      <c r="E336" s="89" t="s">
        <v>5329</v>
      </c>
    </row>
    <row r="337" spans="1:5">
      <c r="A337" s="41">
        <v>148798</v>
      </c>
      <c r="B337" s="89" t="str">
        <f>VLOOKUP(A337,'prod-mongo'!A:B,2,FALSE)</f>
        <v>595f813f935f6500211007e4</v>
      </c>
      <c r="C337" s="91">
        <f>IFERROR(VLOOKUP(A337,'Item Database'!A:CC,4,FALSE), -1)</f>
        <v>199</v>
      </c>
      <c r="D337" s="91">
        <f>IFERROR(VLOOKUP(C337,'product-map'!A:B,2,FALSE), -1)</f>
        <v>337</v>
      </c>
      <c r="E337" s="89" t="s">
        <v>5329</v>
      </c>
    </row>
    <row r="338" spans="1:5">
      <c r="A338" s="41">
        <v>817583</v>
      </c>
      <c r="B338" s="89" t="str">
        <f>VLOOKUP(A338,'prod-mongo'!A:B,2,FALSE)</f>
        <v>595f813f935f6500211007e5</v>
      </c>
      <c r="C338" s="91">
        <f>IFERROR(VLOOKUP(A338,'Item Database'!A:CC,4,FALSE), -1)</f>
        <v>199</v>
      </c>
      <c r="D338" s="91">
        <f>IFERROR(VLOOKUP(C338,'product-map'!A:B,2,FALSE), -1)</f>
        <v>337</v>
      </c>
      <c r="E338" s="89" t="s">
        <v>5329</v>
      </c>
    </row>
    <row r="339" spans="1:5">
      <c r="A339" s="41">
        <v>148929</v>
      </c>
      <c r="B339" s="89" t="str">
        <f>VLOOKUP(A339,'prod-mongo'!A:B,2,FALSE)</f>
        <v>595f813f935f6500211007e6</v>
      </c>
      <c r="C339" s="91">
        <f>IFERROR(VLOOKUP(A339,'Item Database'!A:CC,4,FALSE), -1)</f>
        <v>199</v>
      </c>
      <c r="D339" s="91">
        <f>IFERROR(VLOOKUP(C339,'product-map'!A:B,2,FALSE), -1)</f>
        <v>337</v>
      </c>
      <c r="E339" s="89" t="s">
        <v>5329</v>
      </c>
    </row>
    <row r="340" spans="1:5">
      <c r="A340" s="41">
        <v>148930</v>
      </c>
      <c r="B340" s="89" t="str">
        <f>VLOOKUP(A340,'prod-mongo'!A:B,2,FALSE)</f>
        <v>595f813f935f6500211007e7</v>
      </c>
      <c r="C340" s="91">
        <f>IFERROR(VLOOKUP(A340,'Item Database'!A:CC,4,FALSE), -1)</f>
        <v>199</v>
      </c>
      <c r="D340" s="91">
        <f>IFERROR(VLOOKUP(C340,'product-map'!A:B,2,FALSE), -1)</f>
        <v>337</v>
      </c>
      <c r="E340" s="89" t="s">
        <v>5329</v>
      </c>
    </row>
    <row r="341" spans="1:5">
      <c r="A341" s="41">
        <v>160365</v>
      </c>
      <c r="B341" s="89" t="str">
        <f>VLOOKUP(A341,'prod-mongo'!A:B,2,FALSE)</f>
        <v>595f813f935f6500211007e8</v>
      </c>
      <c r="C341" s="91">
        <f>IFERROR(VLOOKUP(A341,'Item Database'!A:CC,4,FALSE), -1)</f>
        <v>199</v>
      </c>
      <c r="D341" s="91">
        <f>IFERROR(VLOOKUP(C341,'product-map'!A:B,2,FALSE), -1)</f>
        <v>337</v>
      </c>
      <c r="E341" s="89" t="s">
        <v>5329</v>
      </c>
    </row>
    <row r="342" spans="1:5">
      <c r="A342" s="41">
        <v>144591</v>
      </c>
      <c r="B342" s="89" t="str">
        <f>VLOOKUP(A342,'prod-mongo'!A:B,2,FALSE)</f>
        <v>595f813f935f6500211007e9</v>
      </c>
      <c r="C342" s="91">
        <f>IFERROR(VLOOKUP(A342,'Item Database'!A:CC,4,FALSE), -1)</f>
        <v>201</v>
      </c>
      <c r="D342" s="91">
        <f>IFERROR(VLOOKUP(C342,'product-map'!A:B,2,FALSE), -1)</f>
        <v>339</v>
      </c>
      <c r="E342" s="89" t="s">
        <v>5329</v>
      </c>
    </row>
    <row r="343" spans="1:5">
      <c r="A343" s="41">
        <v>144758</v>
      </c>
      <c r="B343" s="89" t="str">
        <f>VLOOKUP(A343,'prod-mongo'!A:B,2,FALSE)</f>
        <v>595f813f935f6500211007ea</v>
      </c>
      <c r="C343" s="91">
        <f>IFERROR(VLOOKUP(A343,'Item Database'!A:CC,4,FALSE), -1)</f>
        <v>201</v>
      </c>
      <c r="D343" s="91">
        <f>IFERROR(VLOOKUP(C343,'product-map'!A:B,2,FALSE), -1)</f>
        <v>339</v>
      </c>
      <c r="E343" s="89" t="s">
        <v>5329</v>
      </c>
    </row>
    <row r="344" spans="1:5">
      <c r="A344" s="41">
        <v>180864</v>
      </c>
      <c r="B344" s="89" t="str">
        <f>VLOOKUP(A344,'prod-mongo'!A:B,2,FALSE)</f>
        <v>595f813f935f6500211007eb</v>
      </c>
      <c r="C344" s="91">
        <f>IFERROR(VLOOKUP(A344,'Item Database'!A:CC,4,FALSE), -1)</f>
        <v>201</v>
      </c>
      <c r="D344" s="91">
        <f>IFERROR(VLOOKUP(C344,'product-map'!A:B,2,FALSE), -1)</f>
        <v>339</v>
      </c>
      <c r="E344" s="89" t="s">
        <v>5329</v>
      </c>
    </row>
    <row r="345" spans="1:5">
      <c r="A345" s="41">
        <v>167622</v>
      </c>
      <c r="B345" s="89" t="str">
        <f>VLOOKUP(A345,'prod-mongo'!A:B,2,FALSE)</f>
        <v>595f813f935f6500211007ec</v>
      </c>
      <c r="C345" s="91">
        <f>IFERROR(VLOOKUP(A345,'Item Database'!A:CC,4,FALSE), -1)</f>
        <v>201</v>
      </c>
      <c r="D345" s="91">
        <f>IFERROR(VLOOKUP(C345,'product-map'!A:B,2,FALSE), -1)</f>
        <v>339</v>
      </c>
      <c r="E345" s="89" t="s">
        <v>5329</v>
      </c>
    </row>
    <row r="346" spans="1:5">
      <c r="A346" s="41">
        <v>105328</v>
      </c>
      <c r="B346" s="89" t="str">
        <f>VLOOKUP(A346,'prod-mongo'!A:B,2,FALSE)</f>
        <v>595f813f935f6500211007ed</v>
      </c>
      <c r="C346" s="91">
        <f>IFERROR(VLOOKUP(A346,'Item Database'!A:CC,4,FALSE), -1)</f>
        <v>202</v>
      </c>
      <c r="D346" s="91">
        <f>IFERROR(VLOOKUP(C346,'product-map'!A:B,2,FALSE), -1)</f>
        <v>340</v>
      </c>
      <c r="E346" s="89" t="s">
        <v>5329</v>
      </c>
    </row>
    <row r="347" spans="1:5">
      <c r="A347" s="41">
        <v>105329</v>
      </c>
      <c r="B347" s="89" t="str">
        <f>VLOOKUP(A347,'prod-mongo'!A:B,2,FALSE)</f>
        <v>595f813f935f6500211007ee</v>
      </c>
      <c r="C347" s="91">
        <f>IFERROR(VLOOKUP(A347,'Item Database'!A:CC,4,FALSE), -1)</f>
        <v>202</v>
      </c>
      <c r="D347" s="91">
        <f>IFERROR(VLOOKUP(C347,'product-map'!A:B,2,FALSE), -1)</f>
        <v>340</v>
      </c>
      <c r="E347" s="89" t="s">
        <v>5329</v>
      </c>
    </row>
    <row r="348" spans="1:5">
      <c r="A348" s="41">
        <v>165217</v>
      </c>
      <c r="B348" s="89" t="str">
        <f>VLOOKUP(A348,'prod-mongo'!A:B,2,FALSE)</f>
        <v>595f813f935f6500211007ef</v>
      </c>
      <c r="C348" s="91">
        <f>IFERROR(VLOOKUP(A348,'Item Database'!A:CC,4,FALSE), -1)</f>
        <v>202</v>
      </c>
      <c r="D348" s="91">
        <f>IFERROR(VLOOKUP(C348,'product-map'!A:B,2,FALSE), -1)</f>
        <v>340</v>
      </c>
      <c r="E348" s="89" t="s">
        <v>5329</v>
      </c>
    </row>
    <row r="349" spans="1:5">
      <c r="A349" s="41">
        <v>227026</v>
      </c>
      <c r="B349" s="89" t="str">
        <f>VLOOKUP(A349,'prod-mongo'!A:B,2,FALSE)</f>
        <v>595f813f935f6500211007f0</v>
      </c>
      <c r="C349" s="91">
        <f>IFERROR(VLOOKUP(A349,'Item Database'!A:CC,4,FALSE), -1)</f>
        <v>205</v>
      </c>
      <c r="D349" s="91">
        <f>IFERROR(VLOOKUP(C349,'product-map'!A:B,2,FALSE), -1)</f>
        <v>343</v>
      </c>
      <c r="E349" s="89" t="s">
        <v>5329</v>
      </c>
    </row>
    <row r="350" spans="1:5">
      <c r="A350" s="41">
        <v>202025</v>
      </c>
      <c r="B350" s="89" t="str">
        <f>VLOOKUP(A350,'prod-mongo'!A:B,2,FALSE)</f>
        <v>595f813f935f6500211007f1</v>
      </c>
      <c r="C350" s="91">
        <f>IFERROR(VLOOKUP(A350,'Item Database'!A:CC,4,FALSE), -1)</f>
        <v>205</v>
      </c>
      <c r="D350" s="91">
        <f>IFERROR(VLOOKUP(C350,'product-map'!A:B,2,FALSE), -1)</f>
        <v>343</v>
      </c>
      <c r="E350" s="89" t="s">
        <v>5329</v>
      </c>
    </row>
    <row r="351" spans="1:5">
      <c r="A351" s="41">
        <v>316602</v>
      </c>
      <c r="B351" s="89" t="str">
        <f>VLOOKUP(A351,'prod-mongo'!A:B,2,FALSE)</f>
        <v>595f813f935f6500211007f2</v>
      </c>
      <c r="C351" s="91">
        <f>IFERROR(VLOOKUP(A351,'Item Database'!A:CC,4,FALSE), -1)</f>
        <v>205</v>
      </c>
      <c r="D351" s="91">
        <f>IFERROR(VLOOKUP(C351,'product-map'!A:B,2,FALSE), -1)</f>
        <v>343</v>
      </c>
      <c r="E351" s="89" t="s">
        <v>5329</v>
      </c>
    </row>
    <row r="352" spans="1:5">
      <c r="A352" s="41">
        <v>227025</v>
      </c>
      <c r="B352" s="89" t="str">
        <f>VLOOKUP(A352,'prod-mongo'!A:B,2,FALSE)</f>
        <v>595f813f935f6500211007f3</v>
      </c>
      <c r="C352" s="91">
        <f>IFERROR(VLOOKUP(A352,'Item Database'!A:CC,4,FALSE), -1)</f>
        <v>205</v>
      </c>
      <c r="D352" s="91">
        <f>IFERROR(VLOOKUP(C352,'product-map'!A:B,2,FALSE), -1)</f>
        <v>343</v>
      </c>
      <c r="E352" s="89" t="s">
        <v>5329</v>
      </c>
    </row>
    <row r="353" spans="1:5">
      <c r="A353" s="41">
        <v>170291</v>
      </c>
      <c r="B353" s="89" t="str">
        <f>VLOOKUP(A353,'prod-mongo'!A:B,2,FALSE)</f>
        <v>595f813f935f6500211007f4</v>
      </c>
      <c r="C353" s="91">
        <f>IFERROR(VLOOKUP(A353,'Item Database'!A:CC,4,FALSE), -1)</f>
        <v>205</v>
      </c>
      <c r="D353" s="91">
        <f>IFERROR(VLOOKUP(C353,'product-map'!A:B,2,FALSE), -1)</f>
        <v>343</v>
      </c>
      <c r="E353" s="89" t="s">
        <v>5329</v>
      </c>
    </row>
    <row r="354" spans="1:5">
      <c r="A354" s="41">
        <v>102206</v>
      </c>
      <c r="B354" s="89" t="str">
        <f>VLOOKUP(A354,'prod-mongo'!A:B,2,FALSE)</f>
        <v>59141fc5b21a1d00824f515f</v>
      </c>
      <c r="C354" s="91">
        <f>IFERROR(VLOOKUP(A354,'Item Database'!A:CC,4,FALSE), -1)</f>
        <v>207</v>
      </c>
      <c r="D354" s="91">
        <f>IFERROR(VLOOKUP(C354,'product-map'!A:B,2,FALSE), -1)</f>
        <v>345</v>
      </c>
      <c r="E354" s="89" t="s">
        <v>5329</v>
      </c>
    </row>
    <row r="355" spans="1:5">
      <c r="A355" s="41">
        <v>165867</v>
      </c>
      <c r="B355" s="89" t="str">
        <f>VLOOKUP(A355,'prod-mongo'!A:B,2,FALSE)</f>
        <v>595f813f935f6500211007f5</v>
      </c>
      <c r="C355" s="91">
        <f>IFERROR(VLOOKUP(A355,'Item Database'!A:CC,4,FALSE), -1)</f>
        <v>210</v>
      </c>
      <c r="D355" s="91">
        <f>IFERROR(VLOOKUP(C355,'product-map'!A:B,2,FALSE), -1)</f>
        <v>348</v>
      </c>
      <c r="E355" s="89" t="s">
        <v>5329</v>
      </c>
    </row>
    <row r="356" spans="1:5">
      <c r="A356" s="41">
        <v>235994</v>
      </c>
      <c r="B356" s="89" t="str">
        <f>VLOOKUP(A356,'prod-mongo'!A:B,2,FALSE)</f>
        <v>595f813f935f6500211007f6</v>
      </c>
      <c r="C356" s="91">
        <f>IFERROR(VLOOKUP(A356,'Item Database'!A:CC,4,FALSE), -1)</f>
        <v>210</v>
      </c>
      <c r="D356" s="91">
        <f>IFERROR(VLOOKUP(C356,'product-map'!A:B,2,FALSE), -1)</f>
        <v>348</v>
      </c>
      <c r="E356" s="89" t="s">
        <v>5329</v>
      </c>
    </row>
    <row r="357" spans="1:5">
      <c r="A357" s="41">
        <v>810412</v>
      </c>
      <c r="B357" s="89" t="str">
        <f>VLOOKUP(A357,'prod-mongo'!A:B,2,FALSE)</f>
        <v>595f813f935f6500211007f7</v>
      </c>
      <c r="C357" s="91">
        <f>IFERROR(VLOOKUP(A357,'Item Database'!A:CC,4,FALSE), -1)</f>
        <v>210</v>
      </c>
      <c r="D357" s="91">
        <f>IFERROR(VLOOKUP(C357,'product-map'!A:B,2,FALSE), -1)</f>
        <v>348</v>
      </c>
      <c r="E357" s="89" t="s">
        <v>5329</v>
      </c>
    </row>
    <row r="358" spans="1:5">
      <c r="A358" s="41">
        <v>810413</v>
      </c>
      <c r="B358" s="89" t="str">
        <f>VLOOKUP(A358,'prod-mongo'!A:B,2,FALSE)</f>
        <v>595f813f935f6500211007f8</v>
      </c>
      <c r="C358" s="91">
        <f>IFERROR(VLOOKUP(A358,'Item Database'!A:CC,4,FALSE), -1)</f>
        <v>210</v>
      </c>
      <c r="D358" s="91">
        <f>IFERROR(VLOOKUP(C358,'product-map'!A:B,2,FALSE), -1)</f>
        <v>348</v>
      </c>
      <c r="E358" s="89" t="s">
        <v>5329</v>
      </c>
    </row>
    <row r="359" spans="1:5">
      <c r="A359" s="41">
        <v>810414</v>
      </c>
      <c r="B359" s="89" t="str">
        <f>VLOOKUP(A359,'prod-mongo'!A:B,2,FALSE)</f>
        <v>595f813f935f6500211007f9</v>
      </c>
      <c r="C359" s="91">
        <f>IFERROR(VLOOKUP(A359,'Item Database'!A:CC,4,FALSE), -1)</f>
        <v>210</v>
      </c>
      <c r="D359" s="91">
        <f>IFERROR(VLOOKUP(C359,'product-map'!A:B,2,FALSE), -1)</f>
        <v>348</v>
      </c>
      <c r="E359" s="89" t="s">
        <v>5329</v>
      </c>
    </row>
    <row r="360" spans="1:5">
      <c r="A360" s="41">
        <v>810415</v>
      </c>
      <c r="B360" s="89" t="str">
        <f>VLOOKUP(A360,'prod-mongo'!A:B,2,FALSE)</f>
        <v>595f813f935f6500211007fa</v>
      </c>
      <c r="C360" s="91">
        <f>IFERROR(VLOOKUP(A360,'Item Database'!A:CC,4,FALSE), -1)</f>
        <v>210</v>
      </c>
      <c r="D360" s="91">
        <f>IFERROR(VLOOKUP(C360,'product-map'!A:B,2,FALSE), -1)</f>
        <v>348</v>
      </c>
      <c r="E360" s="89" t="s">
        <v>5329</v>
      </c>
    </row>
    <row r="361" spans="1:5">
      <c r="A361" s="41">
        <v>810416</v>
      </c>
      <c r="B361" s="89" t="str">
        <f>VLOOKUP(A361,'prod-mongo'!A:B,2,FALSE)</f>
        <v>595f813f935f6500211007fb</v>
      </c>
      <c r="C361" s="91">
        <f>IFERROR(VLOOKUP(A361,'Item Database'!A:CC,4,FALSE), -1)</f>
        <v>210</v>
      </c>
      <c r="D361" s="91">
        <f>IFERROR(VLOOKUP(C361,'product-map'!A:B,2,FALSE), -1)</f>
        <v>348</v>
      </c>
      <c r="E361" s="89" t="s">
        <v>5329</v>
      </c>
    </row>
    <row r="362" spans="1:5">
      <c r="A362" s="41">
        <v>810417</v>
      </c>
      <c r="B362" s="89" t="str">
        <f>VLOOKUP(A362,'prod-mongo'!A:B,2,FALSE)</f>
        <v>595f813f935f6500211007fc</v>
      </c>
      <c r="C362" s="91">
        <f>IFERROR(VLOOKUP(A362,'Item Database'!A:CC,4,FALSE), -1)</f>
        <v>210</v>
      </c>
      <c r="D362" s="91">
        <f>IFERROR(VLOOKUP(C362,'product-map'!A:B,2,FALSE), -1)</f>
        <v>348</v>
      </c>
      <c r="E362" s="89" t="s">
        <v>5329</v>
      </c>
    </row>
    <row r="363" spans="1:5">
      <c r="A363" s="41">
        <v>810418</v>
      </c>
      <c r="B363" s="89" t="str">
        <f>VLOOKUP(A363,'prod-mongo'!A:B,2,FALSE)</f>
        <v>595f813f935f6500211007fd</v>
      </c>
      <c r="C363" s="91">
        <f>IFERROR(VLOOKUP(A363,'Item Database'!A:CC,4,FALSE), -1)</f>
        <v>210</v>
      </c>
      <c r="D363" s="91">
        <f>IFERROR(VLOOKUP(C363,'product-map'!A:B,2,FALSE), -1)</f>
        <v>348</v>
      </c>
      <c r="E363" s="89" t="s">
        <v>5329</v>
      </c>
    </row>
    <row r="364" spans="1:5">
      <c r="A364" s="41">
        <v>810419</v>
      </c>
      <c r="B364" s="89" t="str">
        <f>VLOOKUP(A364,'prod-mongo'!A:B,2,FALSE)</f>
        <v>595f813f935f6500211007fe</v>
      </c>
      <c r="C364" s="91">
        <f>IFERROR(VLOOKUP(A364,'Item Database'!A:CC,4,FALSE), -1)</f>
        <v>210</v>
      </c>
      <c r="D364" s="91">
        <f>IFERROR(VLOOKUP(C364,'product-map'!A:B,2,FALSE), -1)</f>
        <v>348</v>
      </c>
      <c r="E364" s="89" t="s">
        <v>5329</v>
      </c>
    </row>
    <row r="365" spans="1:5">
      <c r="A365" s="41">
        <v>810420</v>
      </c>
      <c r="B365" s="89" t="str">
        <f>VLOOKUP(A365,'prod-mongo'!A:B,2,FALSE)</f>
        <v>595f813f935f6500211007ff</v>
      </c>
      <c r="C365" s="91">
        <f>IFERROR(VLOOKUP(A365,'Item Database'!A:CC,4,FALSE), -1)</f>
        <v>210</v>
      </c>
      <c r="D365" s="91">
        <f>IFERROR(VLOOKUP(C365,'product-map'!A:B,2,FALSE), -1)</f>
        <v>348</v>
      </c>
      <c r="E365" s="89" t="s">
        <v>5329</v>
      </c>
    </row>
    <row r="366" spans="1:5">
      <c r="A366" s="41">
        <v>814334</v>
      </c>
      <c r="B366" s="89" t="str">
        <f>VLOOKUP(A366,'prod-mongo'!A:B,2,FALSE)</f>
        <v>595f813f935f650021100800</v>
      </c>
      <c r="C366" s="91">
        <f>IFERROR(VLOOKUP(A366,'Item Database'!A:CC,4,FALSE), -1)</f>
        <v>210</v>
      </c>
      <c r="D366" s="91">
        <f>IFERROR(VLOOKUP(C366,'product-map'!A:B,2,FALSE), -1)</f>
        <v>348</v>
      </c>
      <c r="E366" s="89" t="s">
        <v>5329</v>
      </c>
    </row>
    <row r="367" spans="1:5">
      <c r="A367" s="41">
        <v>810422</v>
      </c>
      <c r="B367" s="89" t="str">
        <f>VLOOKUP(A367,'prod-mongo'!A:B,2,FALSE)</f>
        <v>595f813f935f650021100801</v>
      </c>
      <c r="C367" s="91">
        <f>IFERROR(VLOOKUP(A367,'Item Database'!A:CC,4,FALSE), -1)</f>
        <v>210</v>
      </c>
      <c r="D367" s="91">
        <f>IFERROR(VLOOKUP(C367,'product-map'!A:B,2,FALSE), -1)</f>
        <v>348</v>
      </c>
      <c r="E367" s="89" t="s">
        <v>5329</v>
      </c>
    </row>
    <row r="368" spans="1:5">
      <c r="A368" s="41">
        <v>810423</v>
      </c>
      <c r="B368" s="89" t="str">
        <f>VLOOKUP(A368,'prod-mongo'!A:B,2,FALSE)</f>
        <v>595f813f935f650021100802</v>
      </c>
      <c r="C368" s="91">
        <f>IFERROR(VLOOKUP(A368,'Item Database'!A:CC,4,FALSE), -1)</f>
        <v>210</v>
      </c>
      <c r="D368" s="91">
        <f>IFERROR(VLOOKUP(C368,'product-map'!A:B,2,FALSE), -1)</f>
        <v>348</v>
      </c>
      <c r="E368" s="89" t="s">
        <v>5329</v>
      </c>
    </row>
    <row r="369" spans="1:5">
      <c r="A369" s="41">
        <v>810424</v>
      </c>
      <c r="B369" s="89" t="str">
        <f>VLOOKUP(A369,'prod-mongo'!A:B,2,FALSE)</f>
        <v>595f813f935f650021100803</v>
      </c>
      <c r="C369" s="91">
        <f>IFERROR(VLOOKUP(A369,'Item Database'!A:CC,4,FALSE), -1)</f>
        <v>210</v>
      </c>
      <c r="D369" s="91">
        <f>IFERROR(VLOOKUP(C369,'product-map'!A:B,2,FALSE), -1)</f>
        <v>348</v>
      </c>
      <c r="E369" s="89" t="s">
        <v>5329</v>
      </c>
    </row>
    <row r="370" spans="1:5">
      <c r="A370" s="41">
        <v>229772</v>
      </c>
      <c r="B370" s="89" t="str">
        <f>VLOOKUP(A370,'prod-mongo'!A:B,2,FALSE)</f>
        <v>595f813f935f650021100804</v>
      </c>
      <c r="C370" s="91">
        <f>IFERROR(VLOOKUP(A370,'Item Database'!A:CC,4,FALSE), -1)</f>
        <v>0</v>
      </c>
      <c r="D370" s="91">
        <f>IFERROR(VLOOKUP(C370,'product-map'!A:B,2,FALSE), -1)</f>
        <v>-1</v>
      </c>
      <c r="E370" s="89" t="s">
        <v>5329</v>
      </c>
    </row>
    <row r="371" spans="1:5">
      <c r="A371" s="41">
        <v>168639</v>
      </c>
      <c r="B371" s="89" t="str">
        <f>VLOOKUP(A371,'prod-mongo'!A:B,2,FALSE)</f>
        <v>595f813f935f650021100805</v>
      </c>
      <c r="C371" s="91">
        <f>IFERROR(VLOOKUP(A371,'Item Database'!A:CC,4,FALSE), -1)</f>
        <v>0</v>
      </c>
      <c r="D371" s="91">
        <f>IFERROR(VLOOKUP(C371,'product-map'!A:B,2,FALSE), -1)</f>
        <v>-1</v>
      </c>
      <c r="E371" s="89" t="s">
        <v>5329</v>
      </c>
    </row>
    <row r="372" spans="1:5">
      <c r="A372" s="41">
        <v>112881</v>
      </c>
      <c r="B372" s="89" t="str">
        <f>VLOOKUP(A372,'prod-mongo'!A:B,2,FALSE)</f>
        <v>595f813f935f650021100806</v>
      </c>
      <c r="C372" s="91">
        <f>IFERROR(VLOOKUP(A372,'Item Database'!A:CC,4,FALSE), -1)</f>
        <v>0</v>
      </c>
      <c r="D372" s="91">
        <f>IFERROR(VLOOKUP(C372,'product-map'!A:B,2,FALSE), -1)</f>
        <v>-1</v>
      </c>
      <c r="E372" s="89" t="s">
        <v>5329</v>
      </c>
    </row>
    <row r="373" spans="1:5">
      <c r="A373" s="41">
        <v>91624</v>
      </c>
      <c r="B373" s="89" t="str">
        <f>VLOOKUP(A373,'prod-mongo'!A:B,2,FALSE)</f>
        <v>595f813f935f650021100807</v>
      </c>
      <c r="C373" s="91">
        <f>IFERROR(VLOOKUP(A373,'Item Database'!A:CC,4,FALSE), -1)</f>
        <v>0</v>
      </c>
      <c r="D373" s="91">
        <f>IFERROR(VLOOKUP(C373,'product-map'!A:B,2,FALSE), -1)</f>
        <v>-1</v>
      </c>
      <c r="E373" s="89" t="s">
        <v>5329</v>
      </c>
    </row>
    <row r="374" spans="1:5">
      <c r="A374" s="41">
        <v>171790</v>
      </c>
      <c r="B374" s="89" t="str">
        <f>VLOOKUP(A374,'prod-mongo'!A:B,2,FALSE)</f>
        <v>595f813f935f650021100808</v>
      </c>
      <c r="C374" s="91">
        <f>IFERROR(VLOOKUP(A374,'Item Database'!A:CC,4,FALSE), -1)</f>
        <v>0</v>
      </c>
      <c r="D374" s="91">
        <f>IFERROR(VLOOKUP(C374,'product-map'!A:B,2,FALSE), -1)</f>
        <v>-1</v>
      </c>
      <c r="E374" s="89" t="s">
        <v>5329</v>
      </c>
    </row>
    <row r="375" spans="1:5">
      <c r="A375" s="41">
        <v>146642</v>
      </c>
      <c r="B375" s="89" t="str">
        <f>VLOOKUP(A375,'prod-mongo'!A:B,2,FALSE)</f>
        <v>595f813f935f650021100809</v>
      </c>
      <c r="C375" s="91">
        <f>IFERROR(VLOOKUP(A375,'Item Database'!A:CC,4,FALSE), -1)</f>
        <v>0</v>
      </c>
      <c r="D375" s="91">
        <f>IFERROR(VLOOKUP(C375,'product-map'!A:B,2,FALSE), -1)</f>
        <v>-1</v>
      </c>
      <c r="E375" s="89" t="s">
        <v>5329</v>
      </c>
    </row>
    <row r="376" spans="1:5">
      <c r="A376" s="41">
        <v>821151</v>
      </c>
      <c r="B376" s="89" t="str">
        <f>VLOOKUP(A376,'prod-mongo'!A:B,2,FALSE)</f>
        <v>595f813f935f65002110080a</v>
      </c>
      <c r="C376" s="91">
        <f>IFERROR(VLOOKUP(A376,'Item Database'!A:CC,4,FALSE), -1)</f>
        <v>0</v>
      </c>
      <c r="D376" s="91">
        <f>IFERROR(VLOOKUP(C376,'product-map'!A:B,2,FALSE), -1)</f>
        <v>-1</v>
      </c>
      <c r="E376" s="89" t="s">
        <v>5329</v>
      </c>
    </row>
    <row r="377" spans="1:5">
      <c r="A377" s="41">
        <v>333981</v>
      </c>
      <c r="B377" s="89" t="str">
        <f>VLOOKUP(A377,'prod-mongo'!A:B,2,FALSE)</f>
        <v>595f813f935f65002110080b</v>
      </c>
      <c r="C377" s="91">
        <f>IFERROR(VLOOKUP(A377,'Item Database'!A:CC,4,FALSE), -1)</f>
        <v>0</v>
      </c>
      <c r="D377" s="91">
        <f>IFERROR(VLOOKUP(C377,'product-map'!A:B,2,FALSE), -1)</f>
        <v>-1</v>
      </c>
      <c r="E377" s="89" t="s">
        <v>5329</v>
      </c>
    </row>
    <row r="378" spans="1:5">
      <c r="A378" s="41">
        <v>220354</v>
      </c>
      <c r="B378" s="89" t="str">
        <f>VLOOKUP(A378,'prod-mongo'!A:B,2,FALSE)</f>
        <v>595f813f935f65002110080c</v>
      </c>
      <c r="C378" s="91">
        <f>IFERROR(VLOOKUP(A378,'Item Database'!A:CC,4,FALSE), -1)</f>
        <v>0</v>
      </c>
      <c r="D378" s="91">
        <f>IFERROR(VLOOKUP(C378,'product-map'!A:B,2,FALSE), -1)</f>
        <v>-1</v>
      </c>
      <c r="E378" s="89" t="s">
        <v>5329</v>
      </c>
    </row>
    <row r="379" spans="1:5">
      <c r="A379" s="41">
        <v>112863</v>
      </c>
      <c r="B379" s="89" t="str">
        <f>VLOOKUP(A379,'prod-mongo'!A:B,2,FALSE)</f>
        <v>595f813f935f65002110080d</v>
      </c>
      <c r="C379" s="91">
        <f>IFERROR(VLOOKUP(A379,'Item Database'!A:CC,4,FALSE), -1)</f>
        <v>0</v>
      </c>
      <c r="D379" s="91">
        <f>IFERROR(VLOOKUP(C379,'product-map'!A:B,2,FALSE), -1)</f>
        <v>-1</v>
      </c>
      <c r="E379" s="89" t="s">
        <v>5329</v>
      </c>
    </row>
    <row r="380" spans="1:5">
      <c r="A380" s="41">
        <v>197584</v>
      </c>
      <c r="B380" s="89" t="str">
        <f>VLOOKUP(A380,'prod-mongo'!A:B,2,FALSE)</f>
        <v>595f813f935f65002110080e</v>
      </c>
      <c r="C380" s="91">
        <f>IFERROR(VLOOKUP(A380,'Item Database'!A:CC,4,FALSE), -1)</f>
        <v>0</v>
      </c>
      <c r="D380" s="91">
        <f>IFERROR(VLOOKUP(C380,'product-map'!A:B,2,FALSE), -1)</f>
        <v>-1</v>
      </c>
      <c r="E380" s="89" t="s">
        <v>5329</v>
      </c>
    </row>
    <row r="381" spans="1:5">
      <c r="A381" s="41">
        <v>222187</v>
      </c>
      <c r="B381" s="89" t="str">
        <f>VLOOKUP(A381,'prod-mongo'!A:B,2,FALSE)</f>
        <v>595f8140935f65002110080f</v>
      </c>
      <c r="C381" s="91">
        <f>IFERROR(VLOOKUP(A381,'Item Database'!A:CC,4,FALSE), -1)</f>
        <v>0</v>
      </c>
      <c r="D381" s="91">
        <f>IFERROR(VLOOKUP(C381,'product-map'!A:B,2,FALSE), -1)</f>
        <v>-1</v>
      </c>
      <c r="E381" s="89" t="s">
        <v>5329</v>
      </c>
    </row>
    <row r="382" spans="1:5">
      <c r="A382" s="41">
        <v>55198</v>
      </c>
      <c r="B382" s="89" t="str">
        <f>VLOOKUP(A382,'prod-mongo'!A:B,2,FALSE)</f>
        <v>595f8140935f650021100810</v>
      </c>
      <c r="C382" s="91">
        <f>IFERROR(VLOOKUP(A382,'Item Database'!A:CC,4,FALSE), -1)</f>
        <v>0</v>
      </c>
      <c r="D382" s="91">
        <f>IFERROR(VLOOKUP(C382,'product-map'!A:B,2,FALSE), -1)</f>
        <v>-1</v>
      </c>
      <c r="E382" s="89" t="s">
        <v>5329</v>
      </c>
    </row>
    <row r="383" spans="1:5">
      <c r="A383" s="41">
        <v>7462</v>
      </c>
      <c r="B383" s="89" t="str">
        <f>VLOOKUP(A383,'prod-mongo'!A:B,2,FALSE)</f>
        <v>595f8140935f650021100811</v>
      </c>
      <c r="C383" s="91">
        <f>IFERROR(VLOOKUP(A383,'Item Database'!A:CC,4,FALSE), -1)</f>
        <v>0</v>
      </c>
      <c r="D383" s="91">
        <f>IFERROR(VLOOKUP(C383,'product-map'!A:B,2,FALSE), -1)</f>
        <v>-1</v>
      </c>
      <c r="E383" s="89" t="s">
        <v>5329</v>
      </c>
    </row>
    <row r="384" spans="1:5">
      <c r="A384" s="41">
        <v>7618</v>
      </c>
      <c r="B384" s="89" t="str">
        <f>VLOOKUP(A384,'prod-mongo'!A:B,2,FALSE)</f>
        <v>595f8140935f650021100812</v>
      </c>
      <c r="C384" s="91">
        <f>IFERROR(VLOOKUP(A384,'Item Database'!A:CC,4,FALSE), -1)</f>
        <v>0</v>
      </c>
      <c r="D384" s="91">
        <f>IFERROR(VLOOKUP(C384,'product-map'!A:B,2,FALSE), -1)</f>
        <v>-1</v>
      </c>
      <c r="E384" s="89" t="s">
        <v>5329</v>
      </c>
    </row>
    <row r="385" spans="1:5">
      <c r="A385" s="41">
        <v>219518</v>
      </c>
      <c r="B385" s="89" t="str">
        <f>VLOOKUP(A385,'prod-mongo'!A:B,2,FALSE)</f>
        <v>595f8140935f650021100813</v>
      </c>
      <c r="C385" s="91">
        <f>IFERROR(VLOOKUP(A385,'Item Database'!A:CC,4,FALSE), -1)</f>
        <v>0</v>
      </c>
      <c r="D385" s="91">
        <f>IFERROR(VLOOKUP(C385,'product-map'!A:B,2,FALSE), -1)</f>
        <v>-1</v>
      </c>
      <c r="E385" s="89" t="s">
        <v>5329</v>
      </c>
    </row>
    <row r="386" spans="1:5">
      <c r="A386" s="41">
        <v>117713</v>
      </c>
      <c r="B386" s="89" t="str">
        <f>VLOOKUP(A386,'prod-mongo'!A:B,2,FALSE)</f>
        <v>595f8140935f650021100814</v>
      </c>
      <c r="C386" s="91">
        <f>IFERROR(VLOOKUP(A386,'Item Database'!A:CC,4,FALSE), -1)</f>
        <v>0</v>
      </c>
      <c r="D386" s="91">
        <f>IFERROR(VLOOKUP(C386,'product-map'!A:B,2,FALSE), -1)</f>
        <v>-1</v>
      </c>
      <c r="E386" s="89" t="s">
        <v>5329</v>
      </c>
    </row>
    <row r="387" spans="1:5">
      <c r="A387" s="41">
        <v>806603</v>
      </c>
      <c r="B387" s="89" t="str">
        <f>VLOOKUP(A387,'prod-mongo'!A:B,2,FALSE)</f>
        <v>595f8140935f650021100815</v>
      </c>
      <c r="C387" s="91">
        <f>IFERROR(VLOOKUP(A387,'Item Database'!A:CC,4,FALSE), -1)</f>
        <v>0</v>
      </c>
      <c r="D387" s="91">
        <f>IFERROR(VLOOKUP(C387,'product-map'!A:B,2,FALSE), -1)</f>
        <v>-1</v>
      </c>
      <c r="E387" s="89" t="s">
        <v>5329</v>
      </c>
    </row>
    <row r="388" spans="1:5">
      <c r="A388" s="41">
        <v>111952</v>
      </c>
      <c r="B388" s="89" t="str">
        <f>VLOOKUP(A388,'prod-mongo'!A:B,2,FALSE)</f>
        <v>595f8140935f650021100816</v>
      </c>
      <c r="C388" s="91">
        <f>IFERROR(VLOOKUP(A388,'Item Database'!A:CC,4,FALSE), -1)</f>
        <v>0</v>
      </c>
      <c r="D388" s="91">
        <f>IFERROR(VLOOKUP(C388,'product-map'!A:B,2,FALSE), -1)</f>
        <v>-1</v>
      </c>
      <c r="E388" s="89" t="s">
        <v>5329</v>
      </c>
    </row>
    <row r="389" spans="1:5">
      <c r="A389" s="41">
        <v>111718</v>
      </c>
      <c r="B389" s="89" t="str">
        <f>VLOOKUP(A389,'prod-mongo'!A:B,2,FALSE)</f>
        <v>595f8140935f650021100817</v>
      </c>
      <c r="C389" s="91">
        <f>IFERROR(VLOOKUP(A389,'Item Database'!A:CC,4,FALSE), -1)</f>
        <v>0</v>
      </c>
      <c r="D389" s="91">
        <f>IFERROR(VLOOKUP(C389,'product-map'!A:B,2,FALSE), -1)</f>
        <v>-1</v>
      </c>
      <c r="E389" s="89" t="s">
        <v>5329</v>
      </c>
    </row>
    <row r="390" spans="1:5">
      <c r="A390" s="41">
        <v>160355</v>
      </c>
      <c r="B390" s="89" t="str">
        <f>VLOOKUP(A390,'prod-mongo'!A:B,2,FALSE)</f>
        <v>595f8140935f650021100818</v>
      </c>
      <c r="C390" s="91">
        <f>IFERROR(VLOOKUP(A390,'Item Database'!A:CC,4,FALSE), -1)</f>
        <v>0</v>
      </c>
      <c r="D390" s="91">
        <f>IFERROR(VLOOKUP(C390,'product-map'!A:B,2,FALSE), -1)</f>
        <v>-1</v>
      </c>
      <c r="E390" s="89" t="s">
        <v>5329</v>
      </c>
    </row>
    <row r="391" spans="1:5">
      <c r="A391" s="41">
        <v>160341</v>
      </c>
      <c r="B391" s="89" t="str">
        <f>VLOOKUP(A391,'prod-mongo'!A:B,2,FALSE)</f>
        <v>595f8140935f650021100819</v>
      </c>
      <c r="C391" s="91">
        <f>IFERROR(VLOOKUP(A391,'Item Database'!A:CC,4,FALSE), -1)</f>
        <v>0</v>
      </c>
      <c r="D391" s="91">
        <f>IFERROR(VLOOKUP(C391,'product-map'!A:B,2,FALSE), -1)</f>
        <v>-1</v>
      </c>
      <c r="E391" s="89" t="s">
        <v>5329</v>
      </c>
    </row>
    <row r="392" spans="1:5">
      <c r="A392" s="41">
        <v>199233</v>
      </c>
      <c r="B392" s="89" t="str">
        <f>VLOOKUP(A392,'prod-mongo'!A:B,2,FALSE)</f>
        <v>595f8140935f65002110081a</v>
      </c>
      <c r="C392" s="91">
        <f>IFERROR(VLOOKUP(A392,'Item Database'!A:CC,4,FALSE), -1)</f>
        <v>0</v>
      </c>
      <c r="D392" s="91">
        <f>IFERROR(VLOOKUP(C392,'product-map'!A:B,2,FALSE), -1)</f>
        <v>-1</v>
      </c>
      <c r="E392" s="89" t="s">
        <v>5329</v>
      </c>
    </row>
    <row r="393" spans="1:5">
      <c r="A393" s="41">
        <v>126779</v>
      </c>
      <c r="B393" s="89" t="str">
        <f>VLOOKUP(A393,'prod-mongo'!A:B,2,FALSE)</f>
        <v>595f8140935f65002110081b</v>
      </c>
      <c r="C393" s="91">
        <f>IFERROR(VLOOKUP(A393,'Item Database'!A:CC,4,FALSE), -1)</f>
        <v>0</v>
      </c>
      <c r="D393" s="91">
        <f>IFERROR(VLOOKUP(C393,'product-map'!A:B,2,FALSE), -1)</f>
        <v>-1</v>
      </c>
      <c r="E393" s="89" t="s">
        <v>5329</v>
      </c>
    </row>
    <row r="394" spans="1:5">
      <c r="A394" s="41">
        <v>820677</v>
      </c>
      <c r="B394" s="89" t="str">
        <f>VLOOKUP(A394,'prod-mongo'!A:B,2,FALSE)</f>
        <v>595f8140935f65002110081c</v>
      </c>
      <c r="C394" s="91">
        <f>IFERROR(VLOOKUP(A394,'Item Database'!A:CC,4,FALSE), -1)</f>
        <v>0</v>
      </c>
      <c r="D394" s="91">
        <f>IFERROR(VLOOKUP(C394,'product-map'!A:B,2,FALSE), -1)</f>
        <v>-1</v>
      </c>
      <c r="E394" s="89" t="s">
        <v>5329</v>
      </c>
    </row>
    <row r="395" spans="1:5">
      <c r="A395" s="41">
        <v>817651</v>
      </c>
      <c r="B395" s="89" t="str">
        <f>VLOOKUP(A395,'prod-mongo'!A:B,2,FALSE)</f>
        <v>595f8140935f65002110081d</v>
      </c>
      <c r="C395" s="91">
        <f>IFERROR(VLOOKUP(A395,'Item Database'!A:CC,4,FALSE), -1)</f>
        <v>0</v>
      </c>
      <c r="D395" s="91">
        <f>IFERROR(VLOOKUP(C395,'product-map'!A:B,2,FALSE), -1)</f>
        <v>-1</v>
      </c>
      <c r="E395" s="89" t="s">
        <v>5329</v>
      </c>
    </row>
    <row r="396" spans="1:5">
      <c r="A396" s="41">
        <v>140215</v>
      </c>
      <c r="B396" s="89" t="str">
        <f>VLOOKUP(A396,'prod-mongo'!A:B,2,FALSE)</f>
        <v>595f8140935f65002110081e</v>
      </c>
      <c r="C396" s="91">
        <f>IFERROR(VLOOKUP(A396,'Item Database'!A:CC,4,FALSE), -1)</f>
        <v>0</v>
      </c>
      <c r="D396" s="91">
        <f>IFERROR(VLOOKUP(C396,'product-map'!A:B,2,FALSE), -1)</f>
        <v>-1</v>
      </c>
      <c r="E396" s="89" t="s">
        <v>5329</v>
      </c>
    </row>
    <row r="397" spans="1:5">
      <c r="A397" s="41">
        <v>805176</v>
      </c>
      <c r="B397" s="89" t="str">
        <f>VLOOKUP(A397,'prod-mongo'!A:B,2,FALSE)</f>
        <v>595f8140935f65002110081f</v>
      </c>
      <c r="C397" s="91">
        <f>IFERROR(VLOOKUP(A397,'Item Database'!A:CC,4,FALSE), -1)</f>
        <v>0</v>
      </c>
      <c r="D397" s="91">
        <f>IFERROR(VLOOKUP(C397,'product-map'!A:B,2,FALSE), -1)</f>
        <v>-1</v>
      </c>
      <c r="E397" s="89" t="s">
        <v>5329</v>
      </c>
    </row>
    <row r="398" spans="1:5">
      <c r="A398" s="41">
        <v>821184</v>
      </c>
      <c r="B398" s="89" t="str">
        <f>VLOOKUP(A398,'prod-mongo'!A:B,2,FALSE)</f>
        <v>595f8140935f650021100820</v>
      </c>
      <c r="C398" s="91">
        <f>IFERROR(VLOOKUP(A398,'Item Database'!A:CC,4,FALSE), -1)</f>
        <v>0</v>
      </c>
      <c r="D398" s="91">
        <f>IFERROR(VLOOKUP(C398,'product-map'!A:B,2,FALSE), -1)</f>
        <v>-1</v>
      </c>
      <c r="E398" s="89" t="s">
        <v>5329</v>
      </c>
    </row>
    <row r="399" spans="1:5">
      <c r="A399" s="41">
        <v>223806</v>
      </c>
      <c r="B399" s="89" t="str">
        <f>VLOOKUP(A399,'prod-mongo'!A:B,2,FALSE)</f>
        <v>595f8140935f650021100821</v>
      </c>
      <c r="C399" s="91">
        <f>IFERROR(VLOOKUP(A399,'Item Database'!A:CC,4,FALSE), -1)</f>
        <v>0</v>
      </c>
      <c r="D399" s="91">
        <f>IFERROR(VLOOKUP(C399,'product-map'!A:B,2,FALSE), -1)</f>
        <v>-1</v>
      </c>
      <c r="E399" s="89" t="s">
        <v>5329</v>
      </c>
    </row>
    <row r="400" spans="1:5">
      <c r="A400" s="41">
        <v>143699</v>
      </c>
      <c r="B400" s="89" t="str">
        <f>VLOOKUP(A400,'prod-mongo'!A:B,2,FALSE)</f>
        <v>595f8140935f650021100822</v>
      </c>
      <c r="C400" s="91">
        <f>IFERROR(VLOOKUP(A400,'Item Database'!A:CC,4,FALSE), -1)</f>
        <v>0</v>
      </c>
      <c r="D400" s="91">
        <f>IFERROR(VLOOKUP(C400,'product-map'!A:B,2,FALSE), -1)</f>
        <v>-1</v>
      </c>
      <c r="E400" s="89" t="s">
        <v>5329</v>
      </c>
    </row>
    <row r="401" spans="1:5">
      <c r="A401" s="41">
        <v>108814</v>
      </c>
      <c r="B401" s="89" t="str">
        <f>VLOOKUP(A401,'prod-mongo'!A:B,2,FALSE)</f>
        <v>595f8140935f650021100823</v>
      </c>
      <c r="C401" s="91">
        <f>IFERROR(VLOOKUP(A401,'Item Database'!A:CC,4,FALSE), -1)</f>
        <v>0</v>
      </c>
      <c r="D401" s="91">
        <f>IFERROR(VLOOKUP(C401,'product-map'!A:B,2,FALSE), -1)</f>
        <v>-1</v>
      </c>
      <c r="E401" s="89" t="s">
        <v>5329</v>
      </c>
    </row>
    <row r="402" spans="1:5">
      <c r="A402" s="41">
        <v>549718</v>
      </c>
      <c r="B402" s="89" t="str">
        <f>VLOOKUP(A402,'prod-mongo'!A:B,2,FALSE)</f>
        <v>595f8140935f650021100824</v>
      </c>
      <c r="C402" s="91">
        <f>IFERROR(VLOOKUP(A402,'Item Database'!A:CC,4,FALSE), -1)</f>
        <v>0</v>
      </c>
      <c r="D402" s="91">
        <f>IFERROR(VLOOKUP(C402,'product-map'!A:B,2,FALSE), -1)</f>
        <v>-1</v>
      </c>
      <c r="E402" s="89" t="s">
        <v>5329</v>
      </c>
    </row>
    <row r="403" spans="1:5">
      <c r="A403" s="41">
        <v>802616</v>
      </c>
      <c r="B403" s="89" t="str">
        <f>VLOOKUP(A403,'prod-mongo'!A:B,2,FALSE)</f>
        <v>595f8140935f650021100825</v>
      </c>
      <c r="C403" s="91">
        <f>IFERROR(VLOOKUP(A403,'Item Database'!A:CC,4,FALSE), -1)</f>
        <v>0</v>
      </c>
      <c r="D403" s="91">
        <f>IFERROR(VLOOKUP(C403,'product-map'!A:B,2,FALSE), -1)</f>
        <v>-1</v>
      </c>
      <c r="E403" s="89" t="s">
        <v>5329</v>
      </c>
    </row>
    <row r="404" spans="1:5">
      <c r="A404" s="41">
        <v>215798</v>
      </c>
      <c r="B404" s="89" t="str">
        <f>VLOOKUP(A404,'prod-mongo'!A:B,2,FALSE)</f>
        <v>595f8140935f650021100826</v>
      </c>
      <c r="C404" s="91">
        <f>IFERROR(VLOOKUP(A404,'Item Database'!A:CC,4,FALSE), -1)</f>
        <v>0</v>
      </c>
      <c r="D404" s="91">
        <f>IFERROR(VLOOKUP(C404,'product-map'!A:B,2,FALSE), -1)</f>
        <v>-1</v>
      </c>
      <c r="E404" s="89" t="s">
        <v>5329</v>
      </c>
    </row>
    <row r="405" spans="1:5">
      <c r="A405" s="41">
        <v>809961</v>
      </c>
      <c r="B405" s="89" t="str">
        <f>VLOOKUP(A405,'prod-mongo'!A:B,2,FALSE)</f>
        <v>595f8140935f650021100827</v>
      </c>
      <c r="C405" s="91">
        <f>IFERROR(VLOOKUP(A405,'Item Database'!A:CC,4,FALSE), -1)</f>
        <v>0</v>
      </c>
      <c r="D405" s="91">
        <f>IFERROR(VLOOKUP(C405,'product-map'!A:B,2,FALSE), -1)</f>
        <v>-1</v>
      </c>
      <c r="E405" s="89" t="s">
        <v>5329</v>
      </c>
    </row>
    <row r="406" spans="1:5">
      <c r="A406" s="41">
        <v>147866</v>
      </c>
      <c r="B406" s="89" t="str">
        <f>VLOOKUP(A406,'prod-mongo'!A:B,2,FALSE)</f>
        <v>595f8140935f650021100828</v>
      </c>
      <c r="C406" s="91">
        <f>IFERROR(VLOOKUP(A406,'Item Database'!A:CC,4,FALSE), -1)</f>
        <v>0</v>
      </c>
      <c r="D406" s="91">
        <f>IFERROR(VLOOKUP(C406,'product-map'!A:B,2,FALSE), -1)</f>
        <v>-1</v>
      </c>
      <c r="E406" s="89" t="s">
        <v>5329</v>
      </c>
    </row>
    <row r="407" spans="1:5">
      <c r="A407" s="41">
        <v>835172</v>
      </c>
      <c r="B407" s="89" t="str">
        <f>VLOOKUP(A407,'prod-mongo'!A:B,2,FALSE)</f>
        <v>595f8140935f650021100829</v>
      </c>
      <c r="C407" s="91">
        <f>IFERROR(VLOOKUP(A407,'Item Database'!A:CC,4,FALSE), -1)</f>
        <v>0</v>
      </c>
      <c r="D407" s="91">
        <f>IFERROR(VLOOKUP(C407,'product-map'!A:B,2,FALSE), -1)</f>
        <v>-1</v>
      </c>
      <c r="E407" s="89" t="s">
        <v>5329</v>
      </c>
    </row>
    <row r="408" spans="1:5">
      <c r="A408" s="41">
        <v>224003</v>
      </c>
      <c r="B408" s="89" t="str">
        <f>VLOOKUP(A408,'prod-mongo'!A:B,2,FALSE)</f>
        <v>595f8140935f65002110082a</v>
      </c>
      <c r="C408" s="91">
        <f>IFERROR(VLOOKUP(A408,'Item Database'!A:CC,4,FALSE), -1)</f>
        <v>0</v>
      </c>
      <c r="D408" s="91">
        <f>IFERROR(VLOOKUP(C408,'product-map'!A:B,2,FALSE), -1)</f>
        <v>-1</v>
      </c>
      <c r="E408" s="89" t="s">
        <v>5329</v>
      </c>
    </row>
    <row r="409" spans="1:5">
      <c r="A409" s="41">
        <v>463619</v>
      </c>
      <c r="B409" s="89" t="str">
        <f>VLOOKUP(A409,'prod-mongo'!A:B,2,FALSE)</f>
        <v>595f8140935f65002110082b</v>
      </c>
      <c r="C409" s="91">
        <f>IFERROR(VLOOKUP(A409,'Item Database'!A:CC,4,FALSE), -1)</f>
        <v>0</v>
      </c>
      <c r="D409" s="91">
        <f>IFERROR(VLOOKUP(C409,'product-map'!A:B,2,FALSE), -1)</f>
        <v>-1</v>
      </c>
      <c r="E409" s="89" t="s">
        <v>5329</v>
      </c>
    </row>
    <row r="410" spans="1:5">
      <c r="A410" s="41">
        <v>818088</v>
      </c>
      <c r="B410" s="89" t="str">
        <f>VLOOKUP(A410,'prod-mongo'!A:B,2,FALSE)</f>
        <v>595f8140935f65002110082c</v>
      </c>
      <c r="C410" s="91">
        <f>IFERROR(VLOOKUP(A410,'Item Database'!A:CC,4,FALSE), -1)</f>
        <v>0</v>
      </c>
      <c r="D410" s="91">
        <f>IFERROR(VLOOKUP(C410,'product-map'!A:B,2,FALSE), -1)</f>
        <v>-1</v>
      </c>
      <c r="E410" s="89" t="s">
        <v>5329</v>
      </c>
    </row>
    <row r="411" spans="1:5">
      <c r="A411" s="41">
        <v>818635</v>
      </c>
      <c r="B411" s="89" t="str">
        <f>VLOOKUP(A411,'prod-mongo'!A:B,2,FALSE)</f>
        <v>595f8140935f65002110082d</v>
      </c>
      <c r="C411" s="91">
        <f>IFERROR(VLOOKUP(A411,'Item Database'!A:CC,4,FALSE), -1)</f>
        <v>0</v>
      </c>
      <c r="D411" s="91">
        <f>IFERROR(VLOOKUP(C411,'product-map'!A:B,2,FALSE), -1)</f>
        <v>-1</v>
      </c>
      <c r="E411" s="89" t="s">
        <v>5329</v>
      </c>
    </row>
    <row r="412" spans="1:5">
      <c r="A412" s="41">
        <v>200072</v>
      </c>
      <c r="B412" s="89" t="str">
        <f>VLOOKUP(A412,'prod-mongo'!A:B,2,FALSE)</f>
        <v>595f8140935f65002110082e</v>
      </c>
      <c r="C412" s="91">
        <f>IFERROR(VLOOKUP(A412,'Item Database'!A:CC,4,FALSE), -1)</f>
        <v>0</v>
      </c>
      <c r="D412" s="91">
        <f>IFERROR(VLOOKUP(C412,'product-map'!A:B,2,FALSE), -1)</f>
        <v>-1</v>
      </c>
      <c r="E412" s="89" t="s">
        <v>5329</v>
      </c>
    </row>
    <row r="413" spans="1:5">
      <c r="A413" s="41">
        <v>138804</v>
      </c>
      <c r="B413" s="89" t="str">
        <f>VLOOKUP(A413,'prod-mongo'!A:B,2,FALSE)</f>
        <v>595f8140935f65002110082f</v>
      </c>
      <c r="C413" s="91">
        <f>IFERROR(VLOOKUP(A413,'Item Database'!A:CC,4,FALSE), -1)</f>
        <v>0</v>
      </c>
      <c r="D413" s="91">
        <f>IFERROR(VLOOKUP(C413,'product-map'!A:B,2,FALSE), -1)</f>
        <v>-1</v>
      </c>
      <c r="E413" s="89" t="s">
        <v>5329</v>
      </c>
    </row>
    <row r="414" spans="1:5">
      <c r="A414" s="41">
        <v>216333</v>
      </c>
      <c r="B414" s="89" t="str">
        <f>VLOOKUP(A414,'prod-mongo'!A:B,2,FALSE)</f>
        <v>595f8140935f650021100830</v>
      </c>
      <c r="C414" s="91">
        <f>IFERROR(VLOOKUP(A414,'Item Database'!A:CC,4,FALSE), -1)</f>
        <v>0</v>
      </c>
      <c r="D414" s="91">
        <f>IFERROR(VLOOKUP(C414,'product-map'!A:B,2,FALSE), -1)</f>
        <v>-1</v>
      </c>
      <c r="E414" s="89" t="s">
        <v>5329</v>
      </c>
    </row>
    <row r="415" spans="1:5">
      <c r="A415" s="41">
        <v>811575</v>
      </c>
      <c r="B415" s="89" t="str">
        <f>VLOOKUP(A415,'prod-mongo'!A:B,2,FALSE)</f>
        <v>595f8140935f650021100831</v>
      </c>
      <c r="C415" s="91">
        <f>IFERROR(VLOOKUP(A415,'Item Database'!A:CC,4,FALSE), -1)</f>
        <v>0</v>
      </c>
      <c r="D415" s="91">
        <f>IFERROR(VLOOKUP(C415,'product-map'!A:B,2,FALSE), -1)</f>
        <v>-1</v>
      </c>
      <c r="E415" s="89" t="s">
        <v>5329</v>
      </c>
    </row>
    <row r="416" spans="1:5">
      <c r="A416" s="41">
        <v>144958</v>
      </c>
      <c r="B416" s="89" t="str">
        <f>VLOOKUP(A416,'prod-mongo'!A:B,2,FALSE)</f>
        <v>595f8140935f650021100832</v>
      </c>
      <c r="C416" s="91">
        <f>IFERROR(VLOOKUP(A416,'Item Database'!A:CC,4,FALSE), -1)</f>
        <v>0</v>
      </c>
      <c r="D416" s="91">
        <f>IFERROR(VLOOKUP(C416,'product-map'!A:B,2,FALSE), -1)</f>
        <v>-1</v>
      </c>
      <c r="E416" s="89" t="s">
        <v>5329</v>
      </c>
    </row>
    <row r="417" spans="1:5">
      <c r="A417" s="41">
        <v>315991</v>
      </c>
      <c r="B417" s="89" t="str">
        <f>VLOOKUP(A417,'prod-mongo'!A:B,2,FALSE)</f>
        <v>595f8140935f650021100833</v>
      </c>
      <c r="C417" s="91">
        <f>IFERROR(VLOOKUP(A417,'Item Database'!A:CC,4,FALSE), -1)</f>
        <v>0</v>
      </c>
      <c r="D417" s="91">
        <f>IFERROR(VLOOKUP(C417,'product-map'!A:B,2,FALSE), -1)</f>
        <v>-1</v>
      </c>
      <c r="E417" s="89" t="s">
        <v>5329</v>
      </c>
    </row>
    <row r="418" spans="1:5">
      <c r="A418" s="41">
        <v>146114</v>
      </c>
      <c r="B418" s="89" t="str">
        <f>VLOOKUP(A418,'prod-mongo'!A:B,2,FALSE)</f>
        <v>595f8140935f650021100834</v>
      </c>
      <c r="C418" s="91">
        <f>IFERROR(VLOOKUP(A418,'Item Database'!A:CC,4,FALSE), -1)</f>
        <v>0</v>
      </c>
      <c r="D418" s="91">
        <f>IFERROR(VLOOKUP(C418,'product-map'!A:B,2,FALSE), -1)</f>
        <v>-1</v>
      </c>
      <c r="E418" s="89" t="s">
        <v>5329</v>
      </c>
    </row>
    <row r="419" spans="1:5">
      <c r="A419" s="41">
        <v>218732</v>
      </c>
      <c r="B419" s="89" t="str">
        <f>VLOOKUP(A419,'prod-mongo'!A:B,2,FALSE)</f>
        <v>595f8140935f650021100835</v>
      </c>
      <c r="C419" s="91">
        <f>IFERROR(VLOOKUP(A419,'Item Database'!A:CC,4,FALSE), -1)</f>
        <v>0</v>
      </c>
      <c r="D419" s="91">
        <f>IFERROR(VLOOKUP(C419,'product-map'!A:B,2,FALSE), -1)</f>
        <v>-1</v>
      </c>
      <c r="E419" s="89" t="s">
        <v>5329</v>
      </c>
    </row>
    <row r="420" spans="1:5">
      <c r="A420" s="41">
        <v>149864</v>
      </c>
      <c r="B420" s="89" t="str">
        <f>VLOOKUP(A420,'prod-mongo'!A:B,2,FALSE)</f>
        <v>595f8140935f650021100836</v>
      </c>
      <c r="C420" s="91">
        <f>IFERROR(VLOOKUP(A420,'Item Database'!A:CC,4,FALSE), -1)</f>
        <v>0</v>
      </c>
      <c r="D420" s="91">
        <f>IFERROR(VLOOKUP(C420,'product-map'!A:B,2,FALSE), -1)</f>
        <v>-1</v>
      </c>
      <c r="E420" s="89" t="s">
        <v>5329</v>
      </c>
    </row>
    <row r="421" spans="1:5">
      <c r="A421" s="41">
        <v>150522</v>
      </c>
      <c r="B421" s="89" t="str">
        <f>VLOOKUP(A421,'prod-mongo'!A:B,2,FALSE)</f>
        <v>595f8140935f650021100837</v>
      </c>
      <c r="C421" s="91">
        <f>IFERROR(VLOOKUP(A421,'Item Database'!A:CC,4,FALSE), -1)</f>
        <v>0</v>
      </c>
      <c r="D421" s="91">
        <f>IFERROR(VLOOKUP(C421,'product-map'!A:B,2,FALSE), -1)</f>
        <v>-1</v>
      </c>
      <c r="E421" s="89" t="s">
        <v>5329</v>
      </c>
    </row>
    <row r="422" spans="1:5">
      <c r="A422" s="41">
        <v>809830</v>
      </c>
      <c r="B422" s="89" t="str">
        <f>VLOOKUP(A422,'prod-mongo'!A:B,2,FALSE)</f>
        <v>595f8140935f650021100838</v>
      </c>
      <c r="C422" s="91">
        <f>IFERROR(VLOOKUP(A422,'Item Database'!A:CC,4,FALSE), -1)</f>
        <v>0</v>
      </c>
      <c r="D422" s="91">
        <f>IFERROR(VLOOKUP(C422,'product-map'!A:B,2,FALSE), -1)</f>
        <v>-1</v>
      </c>
      <c r="E422" s="89" t="s">
        <v>5329</v>
      </c>
    </row>
    <row r="423" spans="1:5">
      <c r="A423" s="41">
        <v>197876</v>
      </c>
      <c r="B423" s="89" t="str">
        <f>VLOOKUP(A423,'prod-mongo'!A:B,2,FALSE)</f>
        <v>595f8140935f650021100839</v>
      </c>
      <c r="C423" s="91">
        <f>IFERROR(VLOOKUP(A423,'Item Database'!A:CC,4,FALSE), -1)</f>
        <v>0</v>
      </c>
      <c r="D423" s="91">
        <f>IFERROR(VLOOKUP(C423,'product-map'!A:B,2,FALSE), -1)</f>
        <v>-1</v>
      </c>
      <c r="E423" s="89" t="s">
        <v>5329</v>
      </c>
    </row>
    <row r="424" spans="1:5">
      <c r="A424" s="41">
        <v>107109</v>
      </c>
      <c r="B424" s="89" t="str">
        <f>VLOOKUP(A424,'prod-mongo'!A:B,2,FALSE)</f>
        <v>595f8140935f65002110083a</v>
      </c>
      <c r="C424" s="91">
        <f>IFERROR(VLOOKUP(A424,'Item Database'!A:CC,4,FALSE), -1)</f>
        <v>0</v>
      </c>
      <c r="D424" s="91">
        <f>IFERROR(VLOOKUP(C424,'product-map'!A:B,2,FALSE), -1)</f>
        <v>-1</v>
      </c>
      <c r="E424" s="89" t="s">
        <v>5329</v>
      </c>
    </row>
    <row r="425" spans="1:5">
      <c r="A425" s="41">
        <v>144533</v>
      </c>
      <c r="B425" s="89" t="str">
        <f>VLOOKUP(A425,'prod-mongo'!A:B,2,FALSE)</f>
        <v>595f8140935f65002110083b</v>
      </c>
      <c r="C425" s="91">
        <f>IFERROR(VLOOKUP(A425,'Item Database'!A:CC,4,FALSE), -1)</f>
        <v>0</v>
      </c>
      <c r="D425" s="91">
        <f>IFERROR(VLOOKUP(C425,'product-map'!A:B,2,FALSE), -1)</f>
        <v>-1</v>
      </c>
      <c r="E425" s="89" t="s">
        <v>5329</v>
      </c>
    </row>
    <row r="426" spans="1:5">
      <c r="A426" s="41">
        <v>224330</v>
      </c>
      <c r="B426" s="89" t="str">
        <f>VLOOKUP(A426,'prod-mongo'!A:B,2,FALSE)</f>
        <v>595f8140935f65002110083c</v>
      </c>
      <c r="C426" s="91">
        <f>IFERROR(VLOOKUP(A426,'Item Database'!A:CC,4,FALSE), -1)</f>
        <v>0</v>
      </c>
      <c r="D426" s="91">
        <f>IFERROR(VLOOKUP(C426,'product-map'!A:B,2,FALSE), -1)</f>
        <v>-1</v>
      </c>
      <c r="E426" s="89" t="s">
        <v>5329</v>
      </c>
    </row>
    <row r="427" spans="1:5">
      <c r="A427" s="41">
        <v>818783</v>
      </c>
      <c r="B427" s="89" t="str">
        <f>VLOOKUP(A427,'prod-mongo'!A:B,2,FALSE)</f>
        <v>595f8140935f65002110083d</v>
      </c>
      <c r="C427" s="91">
        <f>IFERROR(VLOOKUP(A427,'Item Database'!A:CC,4,FALSE), -1)</f>
        <v>0</v>
      </c>
      <c r="D427" s="91">
        <f>IFERROR(VLOOKUP(C427,'product-map'!A:B,2,FALSE), -1)</f>
        <v>-1</v>
      </c>
      <c r="E427" s="89" t="s">
        <v>5329</v>
      </c>
    </row>
    <row r="428" spans="1:5">
      <c r="A428" s="41">
        <v>805991</v>
      </c>
      <c r="B428" s="89" t="str">
        <f>VLOOKUP(A428,'prod-mongo'!A:B,2,FALSE)</f>
        <v>595f8140935f65002110083e</v>
      </c>
      <c r="C428" s="91">
        <f>IFERROR(VLOOKUP(A428,'Item Database'!A:CC,4,FALSE), -1)</f>
        <v>0</v>
      </c>
      <c r="D428" s="91">
        <f>IFERROR(VLOOKUP(C428,'product-map'!A:B,2,FALSE), -1)</f>
        <v>-1</v>
      </c>
      <c r="E428" s="89" t="s">
        <v>5329</v>
      </c>
    </row>
    <row r="429" spans="1:5">
      <c r="A429" s="41">
        <v>223670</v>
      </c>
      <c r="B429" s="89" t="str">
        <f>VLOOKUP(A429,'prod-mongo'!A:B,2,FALSE)</f>
        <v>595f8140935f65002110083f</v>
      </c>
      <c r="C429" s="91">
        <f>IFERROR(VLOOKUP(A429,'Item Database'!A:CC,4,FALSE), -1)</f>
        <v>0</v>
      </c>
      <c r="D429" s="91">
        <f>IFERROR(VLOOKUP(C429,'product-map'!A:B,2,FALSE), -1)</f>
        <v>-1</v>
      </c>
      <c r="E429" s="89" t="s">
        <v>5329</v>
      </c>
    </row>
    <row r="430" spans="1:5">
      <c r="A430" s="41">
        <v>172957</v>
      </c>
      <c r="B430" s="89" t="str">
        <f>VLOOKUP(A430,'prod-mongo'!A:B,2,FALSE)</f>
        <v>595f8140935f650021100840</v>
      </c>
      <c r="C430" s="91">
        <f>IFERROR(VLOOKUP(A430,'Item Database'!A:CC,4,FALSE), -1)</f>
        <v>0</v>
      </c>
      <c r="D430" s="91">
        <f>IFERROR(VLOOKUP(C430,'product-map'!A:B,2,FALSE), -1)</f>
        <v>-1</v>
      </c>
      <c r="E430" s="89" t="s">
        <v>5329</v>
      </c>
    </row>
    <row r="431" spans="1:5">
      <c r="A431" s="41">
        <v>813197</v>
      </c>
      <c r="B431" s="89" t="str">
        <f>VLOOKUP(A431,'prod-mongo'!A:B,2,FALSE)</f>
        <v>595f8140935f650021100841</v>
      </c>
      <c r="C431" s="91">
        <f>IFERROR(VLOOKUP(A431,'Item Database'!A:CC,4,FALSE), -1)</f>
        <v>0</v>
      </c>
      <c r="D431" s="91">
        <f>IFERROR(VLOOKUP(C431,'product-map'!A:B,2,FALSE), -1)</f>
        <v>-1</v>
      </c>
      <c r="E431" s="89" t="s">
        <v>5329</v>
      </c>
    </row>
    <row r="432" spans="1:5">
      <c r="A432" s="41">
        <v>108704</v>
      </c>
      <c r="B432" s="89" t="str">
        <f>VLOOKUP(A432,'prod-mongo'!A:B,2,FALSE)</f>
        <v>595f8140935f650021100842</v>
      </c>
      <c r="C432" s="91">
        <f>IFERROR(VLOOKUP(A432,'Item Database'!A:CC,4,FALSE), -1)</f>
        <v>0</v>
      </c>
      <c r="D432" s="91">
        <f>IFERROR(VLOOKUP(C432,'product-map'!A:B,2,FALSE), -1)</f>
        <v>-1</v>
      </c>
      <c r="E432" s="89" t="s">
        <v>5329</v>
      </c>
    </row>
    <row r="433" spans="1:5">
      <c r="A433" s="41">
        <v>146503</v>
      </c>
      <c r="B433" s="89" t="str">
        <f>VLOOKUP(A433,'prod-mongo'!A:B,2,FALSE)</f>
        <v>595f8140935f650021100843</v>
      </c>
      <c r="C433" s="91">
        <f>IFERROR(VLOOKUP(A433,'Item Database'!A:CC,4,FALSE), -1)</f>
        <v>0</v>
      </c>
      <c r="D433" s="91">
        <f>IFERROR(VLOOKUP(C433,'product-map'!A:B,2,FALSE), -1)</f>
        <v>-1</v>
      </c>
      <c r="E433" s="89" t="s">
        <v>5329</v>
      </c>
    </row>
    <row r="434" spans="1:5">
      <c r="A434" s="41">
        <v>108064</v>
      </c>
      <c r="B434" s="89" t="str">
        <f>VLOOKUP(A434,'prod-mongo'!A:B,2,FALSE)</f>
        <v>595f8140935f650021100844</v>
      </c>
      <c r="C434" s="91">
        <f>IFERROR(VLOOKUP(A434,'Item Database'!A:CC,4,FALSE), -1)</f>
        <v>0</v>
      </c>
      <c r="D434" s="91">
        <f>IFERROR(VLOOKUP(C434,'product-map'!A:B,2,FALSE), -1)</f>
        <v>-1</v>
      </c>
      <c r="E434" s="89" t="s">
        <v>5329</v>
      </c>
    </row>
    <row r="435" spans="1:5">
      <c r="A435" s="41">
        <v>169521</v>
      </c>
      <c r="B435" s="89" t="str">
        <f>VLOOKUP(A435,'prod-mongo'!A:B,2,FALSE)</f>
        <v>595f8140935f650021100845</v>
      </c>
      <c r="C435" s="91">
        <f>IFERROR(VLOOKUP(A435,'Item Database'!A:CC,4,FALSE), -1)</f>
        <v>0</v>
      </c>
      <c r="D435" s="91">
        <f>IFERROR(VLOOKUP(C435,'product-map'!A:B,2,FALSE), -1)</f>
        <v>-1</v>
      </c>
      <c r="E435" s="89" t="s">
        <v>5329</v>
      </c>
    </row>
    <row r="436" spans="1:5">
      <c r="A436" s="41">
        <v>169552</v>
      </c>
      <c r="B436" s="89" t="str">
        <f>VLOOKUP(A436,'prod-mongo'!A:B,2,FALSE)</f>
        <v>595f8140935f650021100846</v>
      </c>
      <c r="C436" s="91">
        <f>IFERROR(VLOOKUP(A436,'Item Database'!A:CC,4,FALSE), -1)</f>
        <v>0</v>
      </c>
      <c r="D436" s="91">
        <f>IFERROR(VLOOKUP(C436,'product-map'!A:B,2,FALSE), -1)</f>
        <v>-1</v>
      </c>
      <c r="E436" s="89" t="s">
        <v>5329</v>
      </c>
    </row>
    <row r="437" spans="1:5">
      <c r="A437" s="41">
        <v>818139</v>
      </c>
      <c r="B437" s="89" t="str">
        <f>VLOOKUP(A437,'prod-mongo'!A:B,2,FALSE)</f>
        <v>595f8140935f650021100847</v>
      </c>
      <c r="C437" s="91">
        <f>IFERROR(VLOOKUP(A437,'Item Database'!A:CC,4,FALSE), -1)</f>
        <v>0</v>
      </c>
      <c r="D437" s="91">
        <f>IFERROR(VLOOKUP(C437,'product-map'!A:B,2,FALSE), -1)</f>
        <v>-1</v>
      </c>
      <c r="E437" s="89" t="s">
        <v>5329</v>
      </c>
    </row>
    <row r="438" spans="1:5">
      <c r="A438" s="41">
        <v>25870</v>
      </c>
      <c r="B438" s="89" t="str">
        <f>VLOOKUP(A438,'prod-mongo'!A:B,2,FALSE)</f>
        <v>595f8140935f650021100848</v>
      </c>
      <c r="C438" s="91">
        <f>IFERROR(VLOOKUP(A438,'Item Database'!A:CC,4,FALSE), -1)</f>
        <v>0</v>
      </c>
      <c r="D438" s="91">
        <f>IFERROR(VLOOKUP(C438,'product-map'!A:B,2,FALSE), -1)</f>
        <v>-1</v>
      </c>
      <c r="E438" s="89" t="s">
        <v>5329</v>
      </c>
    </row>
    <row r="439" spans="1:5">
      <c r="A439" s="41">
        <v>805412</v>
      </c>
      <c r="B439" s="89" t="str">
        <f>VLOOKUP(A439,'prod-mongo'!A:B,2,FALSE)</f>
        <v>595f8140935f650021100849</v>
      </c>
      <c r="C439" s="91">
        <f>IFERROR(VLOOKUP(A439,'Item Database'!A:CC,4,FALSE), -1)</f>
        <v>0</v>
      </c>
      <c r="D439" s="91">
        <f>IFERROR(VLOOKUP(C439,'product-map'!A:B,2,FALSE), -1)</f>
        <v>-1</v>
      </c>
      <c r="E439" s="89" t="s">
        <v>5329</v>
      </c>
    </row>
    <row r="440" spans="1:5">
      <c r="A440" s="41">
        <v>66378</v>
      </c>
      <c r="B440" s="89" t="str">
        <f>VLOOKUP(A440,'prod-mongo'!A:B,2,FALSE)</f>
        <v>595f8140935f65002110084a</v>
      </c>
      <c r="C440" s="91">
        <f>IFERROR(VLOOKUP(A440,'Item Database'!A:CC,4,FALSE), -1)</f>
        <v>0</v>
      </c>
      <c r="D440" s="91">
        <f>IFERROR(VLOOKUP(C440,'product-map'!A:B,2,FALSE), -1)</f>
        <v>-1</v>
      </c>
      <c r="E440" s="89" t="s">
        <v>5329</v>
      </c>
    </row>
    <row r="441" spans="1:5">
      <c r="A441" s="41">
        <v>66534</v>
      </c>
      <c r="B441" s="89" t="str">
        <f>VLOOKUP(A441,'prod-mongo'!A:B,2,FALSE)</f>
        <v>595f8140935f65002110084b</v>
      </c>
      <c r="C441" s="91">
        <f>IFERROR(VLOOKUP(A441,'Item Database'!A:CC,4,FALSE), -1)</f>
        <v>0</v>
      </c>
      <c r="D441" s="91">
        <f>IFERROR(VLOOKUP(C441,'product-map'!A:B,2,FALSE), -1)</f>
        <v>-1</v>
      </c>
      <c r="E441" s="89" t="s">
        <v>5329</v>
      </c>
    </row>
    <row r="442" spans="1:5">
      <c r="A442" s="41">
        <v>15093</v>
      </c>
      <c r="B442" s="89" t="str">
        <f>VLOOKUP(A442,'prod-mongo'!A:B,2,FALSE)</f>
        <v>595f8140935f65002110084c</v>
      </c>
      <c r="C442" s="91">
        <f>IFERROR(VLOOKUP(A442,'Item Database'!A:CC,4,FALSE), -1)</f>
        <v>0</v>
      </c>
      <c r="D442" s="91">
        <f>IFERROR(VLOOKUP(C442,'product-map'!A:B,2,FALSE), -1)</f>
        <v>-1</v>
      </c>
      <c r="E442" s="89" t="s">
        <v>5329</v>
      </c>
    </row>
    <row r="443" spans="1:5">
      <c r="A443" s="41">
        <v>142131</v>
      </c>
      <c r="B443" s="89" t="str">
        <f>VLOOKUP(A443,'prod-mongo'!A:B,2,FALSE)</f>
        <v>595f8140935f65002110084d</v>
      </c>
      <c r="C443" s="91">
        <f>IFERROR(VLOOKUP(A443,'Item Database'!A:CC,4,FALSE), -1)</f>
        <v>0</v>
      </c>
      <c r="D443" s="91">
        <f>IFERROR(VLOOKUP(C443,'product-map'!A:B,2,FALSE), -1)</f>
        <v>-1</v>
      </c>
      <c r="E443" s="89" t="s">
        <v>5329</v>
      </c>
    </row>
    <row r="444" spans="1:5">
      <c r="A444" s="41">
        <v>543205</v>
      </c>
      <c r="B444" s="89" t="str">
        <f>VLOOKUP(A444,'prod-mongo'!A:B,2,FALSE)</f>
        <v>595f8140935f65002110084e</v>
      </c>
      <c r="C444" s="91">
        <f>IFERROR(VLOOKUP(A444,'Item Database'!A:CC,4,FALSE), -1)</f>
        <v>0</v>
      </c>
      <c r="D444" s="91">
        <f>IFERROR(VLOOKUP(C444,'product-map'!A:B,2,FALSE), -1)</f>
        <v>-1</v>
      </c>
      <c r="E444" s="89" t="s">
        <v>5329</v>
      </c>
    </row>
    <row r="445" spans="1:5">
      <c r="A445" s="41">
        <v>143703</v>
      </c>
      <c r="B445" s="89" t="str">
        <f>VLOOKUP(A445,'prod-mongo'!A:B,2,FALSE)</f>
        <v>595f8140935f65002110084f</v>
      </c>
      <c r="C445" s="91">
        <f>IFERROR(VLOOKUP(A445,'Item Database'!A:CC,4,FALSE), -1)</f>
        <v>0</v>
      </c>
      <c r="D445" s="91">
        <f>IFERROR(VLOOKUP(C445,'product-map'!A:B,2,FALSE), -1)</f>
        <v>-1</v>
      </c>
      <c r="E445" s="89" t="s">
        <v>5329</v>
      </c>
    </row>
    <row r="446" spans="1:5">
      <c r="A446" s="41">
        <v>151099</v>
      </c>
      <c r="B446" s="89" t="str">
        <f>VLOOKUP(A446,'prod-mongo'!A:B,2,FALSE)</f>
        <v>595f8140935f650021100850</v>
      </c>
      <c r="C446" s="91">
        <f>IFERROR(VLOOKUP(A446,'Item Database'!A:CC,4,FALSE), -1)</f>
        <v>0</v>
      </c>
      <c r="D446" s="91">
        <f>IFERROR(VLOOKUP(C446,'product-map'!A:B,2,FALSE), -1)</f>
        <v>-1</v>
      </c>
      <c r="E446" s="89" t="s">
        <v>5329</v>
      </c>
    </row>
    <row r="447" spans="1:5">
      <c r="A447" s="41">
        <v>805839</v>
      </c>
      <c r="B447" s="89" t="str">
        <f>VLOOKUP(A447,'prod-mongo'!A:B,2,FALSE)</f>
        <v>595f8140935f650021100851</v>
      </c>
      <c r="C447" s="91">
        <f>IFERROR(VLOOKUP(A447,'Item Database'!A:CC,4,FALSE), -1)</f>
        <v>0</v>
      </c>
      <c r="D447" s="91">
        <f>IFERROR(VLOOKUP(C447,'product-map'!A:B,2,FALSE), -1)</f>
        <v>-1</v>
      </c>
      <c r="E447" s="89" t="s">
        <v>5329</v>
      </c>
    </row>
    <row r="448" spans="1:5">
      <c r="A448" s="41">
        <v>805840</v>
      </c>
      <c r="B448" s="89" t="str">
        <f>VLOOKUP(A448,'prod-mongo'!A:B,2,FALSE)</f>
        <v>595f8140935f650021100852</v>
      </c>
      <c r="C448" s="91">
        <f>IFERROR(VLOOKUP(A448,'Item Database'!A:CC,4,FALSE), -1)</f>
        <v>0</v>
      </c>
      <c r="D448" s="91">
        <f>IFERROR(VLOOKUP(C448,'product-map'!A:B,2,FALSE), -1)</f>
        <v>-1</v>
      </c>
      <c r="E448" s="89" t="s">
        <v>5329</v>
      </c>
    </row>
    <row r="449" spans="1:5">
      <c r="A449" s="41">
        <v>805841</v>
      </c>
      <c r="B449" s="89" t="str">
        <f>VLOOKUP(A449,'prod-mongo'!A:B,2,FALSE)</f>
        <v>595f8140935f650021100853</v>
      </c>
      <c r="C449" s="91">
        <f>IFERROR(VLOOKUP(A449,'Item Database'!A:CC,4,FALSE), -1)</f>
        <v>0</v>
      </c>
      <c r="D449" s="91">
        <f>IFERROR(VLOOKUP(C449,'product-map'!A:B,2,FALSE), -1)</f>
        <v>-1</v>
      </c>
      <c r="E449" s="89" t="s">
        <v>5329</v>
      </c>
    </row>
    <row r="450" spans="1:5">
      <c r="A450" s="41">
        <v>160301</v>
      </c>
      <c r="B450" s="89" t="str">
        <f>VLOOKUP(A450,'prod-mongo'!A:B,2,FALSE)</f>
        <v>595f8140935f650021100854</v>
      </c>
      <c r="C450" s="91">
        <f>IFERROR(VLOOKUP(A450,'Item Database'!A:CC,4,FALSE), -1)</f>
        <v>0</v>
      </c>
      <c r="D450" s="91">
        <f>IFERROR(VLOOKUP(C450,'product-map'!A:B,2,FALSE), -1)</f>
        <v>-1</v>
      </c>
      <c r="E450" s="89" t="s">
        <v>5329</v>
      </c>
    </row>
    <row r="451" spans="1:5">
      <c r="A451" s="41">
        <v>160296</v>
      </c>
      <c r="B451" s="89" t="str">
        <f>VLOOKUP(A451,'prod-mongo'!A:B,2,FALSE)</f>
        <v>595f8140935f650021100855</v>
      </c>
      <c r="C451" s="91">
        <f>IFERROR(VLOOKUP(A451,'Item Database'!A:CC,4,FALSE), -1)</f>
        <v>0</v>
      </c>
      <c r="D451" s="91">
        <f>IFERROR(VLOOKUP(C451,'product-map'!A:B,2,FALSE), -1)</f>
        <v>-1</v>
      </c>
      <c r="E451" s="89" t="s">
        <v>5329</v>
      </c>
    </row>
    <row r="452" spans="1:5">
      <c r="A452" s="41">
        <v>160288</v>
      </c>
      <c r="B452" s="89" t="str">
        <f>VLOOKUP(A452,'prod-mongo'!A:B,2,FALSE)</f>
        <v>595f8140935f650021100856</v>
      </c>
      <c r="C452" s="91">
        <f>IFERROR(VLOOKUP(A452,'Item Database'!A:CC,4,FALSE), -1)</f>
        <v>0</v>
      </c>
      <c r="D452" s="91">
        <f>IFERROR(VLOOKUP(C452,'product-map'!A:B,2,FALSE), -1)</f>
        <v>-1</v>
      </c>
      <c r="E452" s="89" t="s">
        <v>5329</v>
      </c>
    </row>
    <row r="453" spans="1:5">
      <c r="A453" s="41">
        <v>160294</v>
      </c>
      <c r="B453" s="89" t="str">
        <f>VLOOKUP(A453,'prod-mongo'!A:B,2,FALSE)</f>
        <v>595f8140935f650021100857</v>
      </c>
      <c r="C453" s="91">
        <f>IFERROR(VLOOKUP(A453,'Item Database'!A:CC,4,FALSE), -1)</f>
        <v>0</v>
      </c>
      <c r="D453" s="91">
        <f>IFERROR(VLOOKUP(C453,'product-map'!A:B,2,FALSE), -1)</f>
        <v>-1</v>
      </c>
      <c r="E453" s="89" t="s">
        <v>5329</v>
      </c>
    </row>
    <row r="454" spans="1:5">
      <c r="A454" s="41">
        <v>807878</v>
      </c>
      <c r="B454" s="89" t="str">
        <f>VLOOKUP(A454,'prod-mongo'!A:B,2,FALSE)</f>
        <v>595f8140935f650021100858</v>
      </c>
      <c r="C454" s="91">
        <f>IFERROR(VLOOKUP(A454,'Item Database'!A:CC,4,FALSE), -1)</f>
        <v>0</v>
      </c>
      <c r="D454" s="91">
        <f>IFERROR(VLOOKUP(C454,'product-map'!A:B,2,FALSE), -1)</f>
        <v>-1</v>
      </c>
      <c r="E454" s="89" t="s">
        <v>5329</v>
      </c>
    </row>
    <row r="455" spans="1:5">
      <c r="A455" s="41">
        <v>807876</v>
      </c>
      <c r="B455" s="89" t="str">
        <f>VLOOKUP(A455,'prod-mongo'!A:B,2,FALSE)</f>
        <v>595f8140935f650021100859</v>
      </c>
      <c r="C455" s="91">
        <f>IFERROR(VLOOKUP(A455,'Item Database'!A:CC,4,FALSE), -1)</f>
        <v>0</v>
      </c>
      <c r="D455" s="91">
        <f>IFERROR(VLOOKUP(C455,'product-map'!A:B,2,FALSE), -1)</f>
        <v>-1</v>
      </c>
      <c r="E455" s="89" t="s">
        <v>5329</v>
      </c>
    </row>
    <row r="456" spans="1:5">
      <c r="A456" s="41">
        <v>231291</v>
      </c>
      <c r="B456" s="89" t="str">
        <f>VLOOKUP(A456,'prod-mongo'!A:B,2,FALSE)</f>
        <v>595f8140935f65002110085a</v>
      </c>
      <c r="C456" s="91">
        <f>IFERROR(VLOOKUP(A456,'Item Database'!A:CC,4,FALSE), -1)</f>
        <v>0</v>
      </c>
      <c r="D456" s="91">
        <f>IFERROR(VLOOKUP(C456,'product-map'!A:B,2,FALSE), -1)</f>
        <v>-1</v>
      </c>
      <c r="E456" s="89" t="s">
        <v>5329</v>
      </c>
    </row>
    <row r="457" spans="1:5">
      <c r="A457" s="41">
        <v>226277</v>
      </c>
      <c r="B457" s="89" t="str">
        <f>VLOOKUP(A457,'prod-mongo'!A:B,2,FALSE)</f>
        <v>595f8140935f65002110085b</v>
      </c>
      <c r="C457" s="91">
        <f>IFERROR(VLOOKUP(A457,'Item Database'!A:CC,4,FALSE), -1)</f>
        <v>0</v>
      </c>
      <c r="D457" s="91">
        <f>IFERROR(VLOOKUP(C457,'product-map'!A:B,2,FALSE), -1)</f>
        <v>-1</v>
      </c>
      <c r="E457" s="89" t="s">
        <v>5329</v>
      </c>
    </row>
    <row r="458" spans="1:5">
      <c r="A458" s="41">
        <v>226278</v>
      </c>
      <c r="B458" s="89" t="str">
        <f>VLOOKUP(A458,'prod-mongo'!A:B,2,FALSE)</f>
        <v>595f8140935f65002110085c</v>
      </c>
      <c r="C458" s="91">
        <f>IFERROR(VLOOKUP(A458,'Item Database'!A:CC,4,FALSE), -1)</f>
        <v>0</v>
      </c>
      <c r="D458" s="91">
        <f>IFERROR(VLOOKUP(C458,'product-map'!A:B,2,FALSE), -1)</f>
        <v>-1</v>
      </c>
      <c r="E458" s="89" t="s">
        <v>5329</v>
      </c>
    </row>
    <row r="459" spans="1:5">
      <c r="A459" s="41">
        <v>153958</v>
      </c>
      <c r="B459" s="89" t="str">
        <f>VLOOKUP(A459,'prod-mongo'!A:B,2,FALSE)</f>
        <v>595f8140935f65002110085d</v>
      </c>
      <c r="C459" s="91">
        <f>IFERROR(VLOOKUP(A459,'Item Database'!A:CC,4,FALSE), -1)</f>
        <v>0</v>
      </c>
      <c r="D459" s="91">
        <f>IFERROR(VLOOKUP(C459,'product-map'!A:B,2,FALSE), -1)</f>
        <v>-1</v>
      </c>
      <c r="E459" s="89" t="s">
        <v>5329</v>
      </c>
    </row>
    <row r="460" spans="1:5">
      <c r="A460" s="41">
        <v>117819</v>
      </c>
      <c r="B460" s="89" t="str">
        <f>VLOOKUP(A460,'prod-mongo'!A:B,2,FALSE)</f>
        <v>595f8140935f65002110085e</v>
      </c>
      <c r="C460" s="91">
        <f>IFERROR(VLOOKUP(A460,'Item Database'!A:CC,4,FALSE), -1)</f>
        <v>0</v>
      </c>
      <c r="D460" s="91">
        <f>IFERROR(VLOOKUP(C460,'product-map'!A:B,2,FALSE), -1)</f>
        <v>-1</v>
      </c>
      <c r="E460" s="89" t="s">
        <v>5329</v>
      </c>
    </row>
    <row r="461" spans="1:5">
      <c r="A461" s="41">
        <v>158284</v>
      </c>
      <c r="B461" s="89" t="str">
        <f>VLOOKUP(A461,'prod-mongo'!A:B,2,FALSE)</f>
        <v>595f8140935f65002110085f</v>
      </c>
      <c r="C461" s="91">
        <f>IFERROR(VLOOKUP(A461,'Item Database'!A:CC,4,FALSE), -1)</f>
        <v>0</v>
      </c>
      <c r="D461" s="91">
        <f>IFERROR(VLOOKUP(C461,'product-map'!A:B,2,FALSE), -1)</f>
        <v>-1</v>
      </c>
      <c r="E461" s="89" t="s">
        <v>5329</v>
      </c>
    </row>
    <row r="462" spans="1:5">
      <c r="A462" s="41">
        <v>158283</v>
      </c>
      <c r="B462" s="89" t="str">
        <f>VLOOKUP(A462,'prod-mongo'!A:B,2,FALSE)</f>
        <v>595f8140935f650021100860</v>
      </c>
      <c r="C462" s="91">
        <f>IFERROR(VLOOKUP(A462,'Item Database'!A:CC,4,FALSE), -1)</f>
        <v>0</v>
      </c>
      <c r="D462" s="91">
        <f>IFERROR(VLOOKUP(C462,'product-map'!A:B,2,FALSE), -1)</f>
        <v>-1</v>
      </c>
      <c r="E462" s="89" t="s">
        <v>5329</v>
      </c>
    </row>
    <row r="463" spans="1:5">
      <c r="A463" s="41">
        <v>135025</v>
      </c>
      <c r="B463" s="89" t="str">
        <f>VLOOKUP(A463,'prod-mongo'!A:B,2,FALSE)</f>
        <v>595f8140935f650021100861</v>
      </c>
      <c r="C463" s="91">
        <f>IFERROR(VLOOKUP(A463,'Item Database'!A:CC,4,FALSE), -1)</f>
        <v>0</v>
      </c>
      <c r="D463" s="91">
        <f>IFERROR(VLOOKUP(C463,'product-map'!A:B,2,FALSE), -1)</f>
        <v>-1</v>
      </c>
      <c r="E463" s="89" t="s">
        <v>5329</v>
      </c>
    </row>
    <row r="464" spans="1:5">
      <c r="A464" s="41">
        <v>135026</v>
      </c>
      <c r="B464" s="89" t="str">
        <f>VLOOKUP(A464,'prod-mongo'!A:B,2,FALSE)</f>
        <v>595f8140935f650021100862</v>
      </c>
      <c r="C464" s="91">
        <f>IFERROR(VLOOKUP(A464,'Item Database'!A:CC,4,FALSE), -1)</f>
        <v>0</v>
      </c>
      <c r="D464" s="91">
        <f>IFERROR(VLOOKUP(C464,'product-map'!A:B,2,FALSE), -1)</f>
        <v>-1</v>
      </c>
      <c r="E464" s="89" t="s">
        <v>5329</v>
      </c>
    </row>
    <row r="465" spans="1:5">
      <c r="A465" s="41">
        <v>800378</v>
      </c>
      <c r="B465" s="89" t="str">
        <f>VLOOKUP(A465,'prod-mongo'!A:B,2,FALSE)</f>
        <v>595f8140935f650021100863</v>
      </c>
      <c r="C465" s="91">
        <f>IFERROR(VLOOKUP(A465,'Item Database'!A:CC,4,FALSE), -1)</f>
        <v>0</v>
      </c>
      <c r="D465" s="91">
        <f>IFERROR(VLOOKUP(C465,'product-map'!A:B,2,FALSE), -1)</f>
        <v>-1</v>
      </c>
      <c r="E465" s="89" t="s">
        <v>5329</v>
      </c>
    </row>
    <row r="466" spans="1:5">
      <c r="A466" s="41">
        <v>237450</v>
      </c>
      <c r="B466" s="89" t="str">
        <f>VLOOKUP(A466,'prod-mongo'!A:B,2,FALSE)</f>
        <v>595f8140935f650021100864</v>
      </c>
      <c r="C466" s="91">
        <f>IFERROR(VLOOKUP(A466,'Item Database'!A:CC,4,FALSE), -1)</f>
        <v>0</v>
      </c>
      <c r="D466" s="91">
        <f>IFERROR(VLOOKUP(C466,'product-map'!A:B,2,FALSE), -1)</f>
        <v>-1</v>
      </c>
      <c r="E466" s="89" t="s">
        <v>5329</v>
      </c>
    </row>
    <row r="467" spans="1:5">
      <c r="A467" s="41">
        <v>770276</v>
      </c>
      <c r="B467" s="89" t="str">
        <f>VLOOKUP(A467,'prod-mongo'!A:B,2,FALSE)</f>
        <v>595f8140935f650021100865</v>
      </c>
      <c r="C467" s="91">
        <f>IFERROR(VLOOKUP(A467,'Item Database'!A:CC,4,FALSE), -1)</f>
        <v>0</v>
      </c>
      <c r="D467" s="91">
        <f>IFERROR(VLOOKUP(C467,'product-map'!A:B,2,FALSE), -1)</f>
        <v>-1</v>
      </c>
      <c r="E467" s="89" t="s">
        <v>5329</v>
      </c>
    </row>
    <row r="468" spans="1:5">
      <c r="A468" s="41">
        <v>628537</v>
      </c>
      <c r="B468" s="89" t="str">
        <f>VLOOKUP(A468,'prod-mongo'!A:B,2,FALSE)</f>
        <v>595f8140935f650021100866</v>
      </c>
      <c r="C468" s="91">
        <f>IFERROR(VLOOKUP(A468,'Item Database'!A:CC,4,FALSE), -1)</f>
        <v>0</v>
      </c>
      <c r="D468" s="91">
        <f>IFERROR(VLOOKUP(C468,'product-map'!A:B,2,FALSE), -1)</f>
        <v>-1</v>
      </c>
      <c r="E468" s="89" t="s">
        <v>5329</v>
      </c>
    </row>
    <row r="469" spans="1:5">
      <c r="A469" s="41">
        <v>130754</v>
      </c>
      <c r="B469" s="89" t="str">
        <f>VLOOKUP(A469,'prod-mongo'!A:B,2,FALSE)</f>
        <v>595f8140935f650021100867</v>
      </c>
      <c r="C469" s="91">
        <f>IFERROR(VLOOKUP(A469,'Item Database'!A:CC,4,FALSE), -1)</f>
        <v>0</v>
      </c>
      <c r="D469" s="91">
        <f>IFERROR(VLOOKUP(C469,'product-map'!A:B,2,FALSE), -1)</f>
        <v>-1</v>
      </c>
      <c r="E469" s="89" t="s">
        <v>5329</v>
      </c>
    </row>
    <row r="470" spans="1:5">
      <c r="A470" s="41">
        <v>130760</v>
      </c>
      <c r="B470" s="89" t="str">
        <f>VLOOKUP(A470,'prod-mongo'!A:B,2,FALSE)</f>
        <v>595f8140935f650021100868</v>
      </c>
      <c r="C470" s="91">
        <f>IFERROR(VLOOKUP(A470,'Item Database'!A:CC,4,FALSE), -1)</f>
        <v>0</v>
      </c>
      <c r="D470" s="91">
        <f>IFERROR(VLOOKUP(C470,'product-map'!A:B,2,FALSE), -1)</f>
        <v>-1</v>
      </c>
      <c r="E470" s="89" t="s">
        <v>5329</v>
      </c>
    </row>
    <row r="471" spans="1:5">
      <c r="A471" s="41">
        <v>187441</v>
      </c>
      <c r="B471" s="89" t="str">
        <f>VLOOKUP(A471,'prod-mongo'!A:B,2,FALSE)</f>
        <v>595f8140935f650021100869</v>
      </c>
      <c r="C471" s="91">
        <f>IFERROR(VLOOKUP(A471,'Item Database'!A:CC,4,FALSE), -1)</f>
        <v>0</v>
      </c>
      <c r="D471" s="91">
        <f>IFERROR(VLOOKUP(C471,'product-map'!A:B,2,FALSE), -1)</f>
        <v>-1</v>
      </c>
      <c r="E471" s="89" t="s">
        <v>5329</v>
      </c>
    </row>
    <row r="472" spans="1:5">
      <c r="A472" s="41">
        <v>161846</v>
      </c>
      <c r="B472" s="89" t="str">
        <f>VLOOKUP(A472,'prod-mongo'!A:B,2,FALSE)</f>
        <v>595f8140935f65002110086a</v>
      </c>
      <c r="C472" s="91">
        <f>IFERROR(VLOOKUP(A472,'Item Database'!A:CC,4,FALSE), -1)</f>
        <v>0</v>
      </c>
      <c r="D472" s="91">
        <f>IFERROR(VLOOKUP(C472,'product-map'!A:B,2,FALSE), -1)</f>
        <v>-1</v>
      </c>
      <c r="E472" s="89" t="s">
        <v>5329</v>
      </c>
    </row>
    <row r="473" spans="1:5">
      <c r="A473" s="41">
        <v>118362</v>
      </c>
      <c r="B473" s="89" t="str">
        <f>VLOOKUP(A473,'prod-mongo'!A:B,2,FALSE)</f>
        <v>595f8140935f65002110086b</v>
      </c>
      <c r="C473" s="91">
        <f>IFERROR(VLOOKUP(A473,'Item Database'!A:CC,4,FALSE), -1)</f>
        <v>0</v>
      </c>
      <c r="D473" s="91">
        <f>IFERROR(VLOOKUP(C473,'product-map'!A:B,2,FALSE), -1)</f>
        <v>-1</v>
      </c>
      <c r="E473" s="89" t="s">
        <v>5329</v>
      </c>
    </row>
    <row r="474" spans="1:5">
      <c r="A474" s="41">
        <v>149447</v>
      </c>
      <c r="B474" s="89" t="str">
        <f>VLOOKUP(A474,'prod-mongo'!A:B,2,FALSE)</f>
        <v>595f8140935f65002110086c</v>
      </c>
      <c r="C474" s="91">
        <f>IFERROR(VLOOKUP(A474,'Item Database'!A:CC,4,FALSE), -1)</f>
        <v>0</v>
      </c>
      <c r="D474" s="91">
        <f>IFERROR(VLOOKUP(C474,'product-map'!A:B,2,FALSE), -1)</f>
        <v>-1</v>
      </c>
      <c r="E474" s="89" t="s">
        <v>5329</v>
      </c>
    </row>
    <row r="475" spans="1:5">
      <c r="A475" s="41">
        <v>227090</v>
      </c>
      <c r="B475" s="89" t="str">
        <f>VLOOKUP(A475,'prod-mongo'!A:B,2,FALSE)</f>
        <v>595f8140935f65002110086d</v>
      </c>
      <c r="C475" s="91">
        <f>IFERROR(VLOOKUP(A475,'Item Database'!A:CC,4,FALSE), -1)</f>
        <v>0</v>
      </c>
      <c r="D475" s="91">
        <f>IFERROR(VLOOKUP(C475,'product-map'!A:B,2,FALSE), -1)</f>
        <v>-1</v>
      </c>
      <c r="E475" s="89" t="s">
        <v>5329</v>
      </c>
    </row>
    <row r="476" spans="1:5">
      <c r="A476" s="41">
        <v>118707</v>
      </c>
      <c r="B476" s="89" t="str">
        <f>VLOOKUP(A476,'prod-mongo'!A:B,2,FALSE)</f>
        <v>595f8140935f65002110086e</v>
      </c>
      <c r="C476" s="91">
        <f>IFERROR(VLOOKUP(A476,'Item Database'!A:CC,4,FALSE), -1)</f>
        <v>0</v>
      </c>
      <c r="D476" s="91">
        <f>IFERROR(VLOOKUP(C476,'product-map'!A:B,2,FALSE), -1)</f>
        <v>-1</v>
      </c>
      <c r="E476" s="89" t="s">
        <v>5329</v>
      </c>
    </row>
    <row r="477" spans="1:5">
      <c r="A477" s="41">
        <v>129000</v>
      </c>
      <c r="B477" s="89" t="str">
        <f>VLOOKUP(A477,'prod-mongo'!A:B,2,FALSE)</f>
        <v>595f8140935f65002110086f</v>
      </c>
      <c r="C477" s="91">
        <f>IFERROR(VLOOKUP(A477,'Item Database'!A:CC,4,FALSE), -1)</f>
        <v>0</v>
      </c>
      <c r="D477" s="91">
        <f>IFERROR(VLOOKUP(C477,'product-map'!A:B,2,FALSE), -1)</f>
        <v>-1</v>
      </c>
      <c r="E477" s="89" t="s">
        <v>5329</v>
      </c>
    </row>
    <row r="478" spans="1:5">
      <c r="A478" s="41">
        <v>129001</v>
      </c>
      <c r="B478" s="89" t="str">
        <f>VLOOKUP(A478,'prod-mongo'!A:B,2,FALSE)</f>
        <v>595f8140935f650021100870</v>
      </c>
      <c r="C478" s="91">
        <f>IFERROR(VLOOKUP(A478,'Item Database'!A:CC,4,FALSE), -1)</f>
        <v>0</v>
      </c>
      <c r="D478" s="91">
        <f>IFERROR(VLOOKUP(C478,'product-map'!A:B,2,FALSE), -1)</f>
        <v>-1</v>
      </c>
      <c r="E478" s="89" t="s">
        <v>5329</v>
      </c>
    </row>
    <row r="479" spans="1:5">
      <c r="A479" s="41">
        <v>47203</v>
      </c>
      <c r="B479" s="89" t="str">
        <f>VLOOKUP(A479,'prod-mongo'!A:B,2,FALSE)</f>
        <v>595f8140935f650021100871</v>
      </c>
      <c r="C479" s="91">
        <f>IFERROR(VLOOKUP(A479,'Item Database'!A:CC,4,FALSE), -1)</f>
        <v>0</v>
      </c>
      <c r="D479" s="91">
        <f>IFERROR(VLOOKUP(C479,'product-map'!A:B,2,FALSE), -1)</f>
        <v>-1</v>
      </c>
      <c r="E479" s="89" t="s">
        <v>5329</v>
      </c>
    </row>
    <row r="480" spans="1:5">
      <c r="A480" s="41">
        <v>107444</v>
      </c>
      <c r="B480" s="89" t="str">
        <f>VLOOKUP(A480,'prod-mongo'!A:B,2,FALSE)</f>
        <v>595f8141935f650021100872</v>
      </c>
      <c r="C480" s="91">
        <f>IFERROR(VLOOKUP(A480,'Item Database'!A:CC,4,FALSE), -1)</f>
        <v>0</v>
      </c>
      <c r="D480" s="91">
        <f>IFERROR(VLOOKUP(C480,'product-map'!A:B,2,FALSE), -1)</f>
        <v>-1</v>
      </c>
      <c r="E480" s="89" t="s">
        <v>5329</v>
      </c>
    </row>
    <row r="481" spans="1:5">
      <c r="A481" s="41">
        <v>173965</v>
      </c>
      <c r="B481" s="89" t="str">
        <f>VLOOKUP(A481,'prod-mongo'!A:B,2,FALSE)</f>
        <v>595f8141935f650021100873</v>
      </c>
      <c r="C481" s="91">
        <f>IFERROR(VLOOKUP(A481,'Item Database'!A:CC,4,FALSE), -1)</f>
        <v>0</v>
      </c>
      <c r="D481" s="91">
        <f>IFERROR(VLOOKUP(C481,'product-map'!A:B,2,FALSE), -1)</f>
        <v>-1</v>
      </c>
      <c r="E481" s="89" t="s">
        <v>5329</v>
      </c>
    </row>
    <row r="482" spans="1:5">
      <c r="A482" s="41">
        <v>173967</v>
      </c>
      <c r="B482" s="89" t="str">
        <f>VLOOKUP(A482,'prod-mongo'!A:B,2,FALSE)</f>
        <v>595f8141935f650021100874</v>
      </c>
      <c r="C482" s="91">
        <f>IFERROR(VLOOKUP(A482,'Item Database'!A:CC,4,FALSE), -1)</f>
        <v>0</v>
      </c>
      <c r="D482" s="91">
        <f>IFERROR(VLOOKUP(C482,'product-map'!A:B,2,FALSE), -1)</f>
        <v>-1</v>
      </c>
      <c r="E482" s="89" t="s">
        <v>5329</v>
      </c>
    </row>
    <row r="483" spans="1:5">
      <c r="A483" s="41">
        <v>101555</v>
      </c>
      <c r="B483" s="89" t="str">
        <f>VLOOKUP(A483,'prod-mongo'!A:B,2,FALSE)</f>
        <v>595f8141935f650021100875</v>
      </c>
      <c r="C483" s="91">
        <f>IFERROR(VLOOKUP(A483,'Item Database'!A:CC,4,FALSE), -1)</f>
        <v>0</v>
      </c>
      <c r="D483" s="91">
        <f>IFERROR(VLOOKUP(C483,'product-map'!A:B,2,FALSE), -1)</f>
        <v>-1</v>
      </c>
      <c r="E483" s="89" t="s">
        <v>5329</v>
      </c>
    </row>
    <row r="484" spans="1:5">
      <c r="A484" s="41">
        <v>135231</v>
      </c>
      <c r="B484" s="89" t="str">
        <f>VLOOKUP(A484,'prod-mongo'!A:B,2,FALSE)</f>
        <v>595f8141935f650021100876</v>
      </c>
      <c r="C484" s="91">
        <f>IFERROR(VLOOKUP(A484,'Item Database'!A:CC,4,FALSE), -1)</f>
        <v>0</v>
      </c>
      <c r="D484" s="91">
        <f>IFERROR(VLOOKUP(C484,'product-map'!A:B,2,FALSE), -1)</f>
        <v>-1</v>
      </c>
      <c r="E484" s="89" t="s">
        <v>5329</v>
      </c>
    </row>
    <row r="485" spans="1:5">
      <c r="A485" s="41">
        <v>135232</v>
      </c>
      <c r="B485" s="89" t="str">
        <f>VLOOKUP(A485,'prod-mongo'!A:B,2,FALSE)</f>
        <v>595f8141935f650021100877</v>
      </c>
      <c r="C485" s="91">
        <f>IFERROR(VLOOKUP(A485,'Item Database'!A:CC,4,FALSE), -1)</f>
        <v>0</v>
      </c>
      <c r="D485" s="91">
        <f>IFERROR(VLOOKUP(C485,'product-map'!A:B,2,FALSE), -1)</f>
        <v>-1</v>
      </c>
      <c r="E485" s="89" t="s">
        <v>5329</v>
      </c>
    </row>
    <row r="486" spans="1:5">
      <c r="A486" s="41">
        <v>135228</v>
      </c>
      <c r="B486" s="89" t="str">
        <f>VLOOKUP(A486,'prod-mongo'!A:B,2,FALSE)</f>
        <v>595f8141935f650021100878</v>
      </c>
      <c r="C486" s="91">
        <f>IFERROR(VLOOKUP(A486,'Item Database'!A:CC,4,FALSE), -1)</f>
        <v>0</v>
      </c>
      <c r="D486" s="91">
        <f>IFERROR(VLOOKUP(C486,'product-map'!A:B,2,FALSE), -1)</f>
        <v>-1</v>
      </c>
      <c r="E486" s="89" t="s">
        <v>5329</v>
      </c>
    </row>
    <row r="487" spans="1:5">
      <c r="A487" s="41">
        <v>135229</v>
      </c>
      <c r="B487" s="89" t="str">
        <f>VLOOKUP(A487,'prod-mongo'!A:B,2,FALSE)</f>
        <v>595f8141935f650021100879</v>
      </c>
      <c r="C487" s="91">
        <f>IFERROR(VLOOKUP(A487,'Item Database'!A:CC,4,FALSE), -1)</f>
        <v>0</v>
      </c>
      <c r="D487" s="91">
        <f>IFERROR(VLOOKUP(C487,'product-map'!A:B,2,FALSE), -1)</f>
        <v>-1</v>
      </c>
      <c r="E487" s="89" t="s">
        <v>5329</v>
      </c>
    </row>
    <row r="488" spans="1:5">
      <c r="A488" s="41">
        <v>133737</v>
      </c>
      <c r="B488" s="89" t="str">
        <f>VLOOKUP(A488,'prod-mongo'!A:B,2,FALSE)</f>
        <v>595f8141935f65002110087a</v>
      </c>
      <c r="C488" s="91">
        <f>IFERROR(VLOOKUP(A488,'Item Database'!A:CC,4,FALSE), -1)</f>
        <v>0</v>
      </c>
      <c r="D488" s="91">
        <f>IFERROR(VLOOKUP(C488,'product-map'!A:B,2,FALSE), -1)</f>
        <v>-1</v>
      </c>
      <c r="E488" s="89" t="s">
        <v>5329</v>
      </c>
    </row>
    <row r="489" spans="1:5">
      <c r="A489" s="41">
        <v>188485</v>
      </c>
      <c r="B489" s="89" t="str">
        <f>VLOOKUP(A489,'prod-mongo'!A:B,2,FALSE)</f>
        <v>595f8141935f65002110087b</v>
      </c>
      <c r="C489" s="91">
        <f>IFERROR(VLOOKUP(A489,'Item Database'!A:CC,4,FALSE), -1)</f>
        <v>0</v>
      </c>
      <c r="D489" s="91">
        <f>IFERROR(VLOOKUP(C489,'product-map'!A:B,2,FALSE), -1)</f>
        <v>-1</v>
      </c>
      <c r="E489" s="89" t="s">
        <v>5329</v>
      </c>
    </row>
    <row r="490" spans="1:5">
      <c r="A490" s="41">
        <v>147380</v>
      </c>
      <c r="B490" s="89" t="str">
        <f>VLOOKUP(A490,'prod-mongo'!A:B,2,FALSE)</f>
        <v>595f8141935f65002110087c</v>
      </c>
      <c r="C490" s="91">
        <f>IFERROR(VLOOKUP(A490,'Item Database'!A:CC,4,FALSE), -1)</f>
        <v>0</v>
      </c>
      <c r="D490" s="91">
        <f>IFERROR(VLOOKUP(C490,'product-map'!A:B,2,FALSE), -1)</f>
        <v>-1</v>
      </c>
      <c r="E490" s="89" t="s">
        <v>5329</v>
      </c>
    </row>
    <row r="491" spans="1:5">
      <c r="A491" s="41">
        <v>808580</v>
      </c>
      <c r="B491" s="89" t="str">
        <f>VLOOKUP(A491,'prod-mongo'!A:B,2,FALSE)</f>
        <v>595f8141935f65002110087d</v>
      </c>
      <c r="C491" s="91">
        <f>IFERROR(VLOOKUP(A491,'Item Database'!A:CC,4,FALSE), -1)</f>
        <v>0</v>
      </c>
      <c r="D491" s="91">
        <f>IFERROR(VLOOKUP(C491,'product-map'!A:B,2,FALSE), -1)</f>
        <v>-1</v>
      </c>
      <c r="E491" s="89" t="s">
        <v>5329</v>
      </c>
    </row>
    <row r="492" spans="1:5">
      <c r="A492" s="41">
        <v>138968</v>
      </c>
      <c r="B492" s="89" t="str">
        <f>VLOOKUP(A492,'prod-mongo'!A:B,2,FALSE)</f>
        <v>595f8141935f65002110087e</v>
      </c>
      <c r="C492" s="91">
        <f>IFERROR(VLOOKUP(A492,'Item Database'!A:CC,4,FALSE), -1)</f>
        <v>0</v>
      </c>
      <c r="D492" s="91">
        <f>IFERROR(VLOOKUP(C492,'product-map'!A:B,2,FALSE), -1)</f>
        <v>-1</v>
      </c>
      <c r="E492" s="89" t="s">
        <v>5329</v>
      </c>
    </row>
    <row r="493" spans="1:5">
      <c r="A493" s="41">
        <v>138930</v>
      </c>
      <c r="B493" s="89" t="str">
        <f>VLOOKUP(A493,'prod-mongo'!A:B,2,FALSE)</f>
        <v>595f8141935f65002110087f</v>
      </c>
      <c r="C493" s="91">
        <f>IFERROR(VLOOKUP(A493,'Item Database'!A:CC,4,FALSE), -1)</f>
        <v>0</v>
      </c>
      <c r="D493" s="91">
        <f>IFERROR(VLOOKUP(C493,'product-map'!A:B,2,FALSE), -1)</f>
        <v>-1</v>
      </c>
      <c r="E493" s="89" t="s">
        <v>5329</v>
      </c>
    </row>
    <row r="494" spans="1:5">
      <c r="A494" s="41">
        <v>101553</v>
      </c>
      <c r="B494" s="89" t="str">
        <f>VLOOKUP(A494,'prod-mongo'!A:B,2,FALSE)</f>
        <v>595f8141935f650021100880</v>
      </c>
      <c r="C494" s="91">
        <f>IFERROR(VLOOKUP(A494,'Item Database'!A:CC,4,FALSE), -1)</f>
        <v>0</v>
      </c>
      <c r="D494" s="91">
        <f>IFERROR(VLOOKUP(C494,'product-map'!A:B,2,FALSE), -1)</f>
        <v>-1</v>
      </c>
      <c r="E494" s="89" t="s">
        <v>5329</v>
      </c>
    </row>
    <row r="495" spans="1:5">
      <c r="A495" s="41">
        <v>101554</v>
      </c>
      <c r="B495" s="89" t="str">
        <f>VLOOKUP(A495,'prod-mongo'!A:B,2,FALSE)</f>
        <v>595f8141935f650021100881</v>
      </c>
      <c r="C495" s="91">
        <f>IFERROR(VLOOKUP(A495,'Item Database'!A:CC,4,FALSE), -1)</f>
        <v>0</v>
      </c>
      <c r="D495" s="91">
        <f>IFERROR(VLOOKUP(C495,'product-map'!A:B,2,FALSE), -1)</f>
        <v>-1</v>
      </c>
      <c r="E495" s="89" t="s">
        <v>5329</v>
      </c>
    </row>
    <row r="496" spans="1:5">
      <c r="A496" s="41">
        <v>104736</v>
      </c>
      <c r="B496" s="89" t="str">
        <f>VLOOKUP(A496,'prod-mongo'!A:B,2,FALSE)</f>
        <v>595f8141935f650021100882</v>
      </c>
      <c r="C496" s="91">
        <f>IFERROR(VLOOKUP(A496,'Item Database'!A:CC,4,FALSE), -1)</f>
        <v>0</v>
      </c>
      <c r="D496" s="91">
        <f>IFERROR(VLOOKUP(C496,'product-map'!A:B,2,FALSE), -1)</f>
        <v>-1</v>
      </c>
      <c r="E496" s="89" t="s">
        <v>5329</v>
      </c>
    </row>
    <row r="497" spans="1:5">
      <c r="A497" s="41">
        <v>88920</v>
      </c>
      <c r="B497" s="89" t="str">
        <f>VLOOKUP(A497,'prod-mongo'!A:B,2,FALSE)</f>
        <v>595f8141935f650021100883</v>
      </c>
      <c r="C497" s="91">
        <f>IFERROR(VLOOKUP(A497,'Item Database'!A:CC,4,FALSE), -1)</f>
        <v>0</v>
      </c>
      <c r="D497" s="91">
        <f>IFERROR(VLOOKUP(C497,'product-map'!A:B,2,FALSE), -1)</f>
        <v>-1</v>
      </c>
      <c r="E497" s="89" t="s">
        <v>5329</v>
      </c>
    </row>
    <row r="498" spans="1:5">
      <c r="A498" s="41">
        <v>802947</v>
      </c>
      <c r="B498" s="89" t="str">
        <f>VLOOKUP(A498,'prod-mongo'!A:B,2,FALSE)</f>
        <v>595f8141935f650021100884</v>
      </c>
      <c r="C498" s="91">
        <f>IFERROR(VLOOKUP(A498,'Item Database'!A:CC,4,FALSE), -1)</f>
        <v>0</v>
      </c>
      <c r="D498" s="91">
        <f>IFERROR(VLOOKUP(C498,'product-map'!A:B,2,FALSE), -1)</f>
        <v>-1</v>
      </c>
      <c r="E498" s="89" t="s">
        <v>5329</v>
      </c>
    </row>
    <row r="499" spans="1:5">
      <c r="A499" s="41">
        <v>802952</v>
      </c>
      <c r="B499" s="89" t="str">
        <f>VLOOKUP(A499,'prod-mongo'!A:B,2,FALSE)</f>
        <v>595f8141935f650021100885</v>
      </c>
      <c r="C499" s="91">
        <f>IFERROR(VLOOKUP(A499,'Item Database'!A:CC,4,FALSE), -1)</f>
        <v>0</v>
      </c>
      <c r="D499" s="91">
        <f>IFERROR(VLOOKUP(C499,'product-map'!A:B,2,FALSE), -1)</f>
        <v>-1</v>
      </c>
      <c r="E499" s="89" t="s">
        <v>5329</v>
      </c>
    </row>
    <row r="500" spans="1:5">
      <c r="A500" s="41">
        <v>118134</v>
      </c>
      <c r="B500" s="89" t="str">
        <f>VLOOKUP(A500,'prod-mongo'!A:B,2,FALSE)</f>
        <v>595f8141935f650021100886</v>
      </c>
      <c r="C500" s="91">
        <f>IFERROR(VLOOKUP(A500,'Item Database'!A:CC,4,FALSE), -1)</f>
        <v>0</v>
      </c>
      <c r="D500" s="91">
        <f>IFERROR(VLOOKUP(C500,'product-map'!A:B,2,FALSE), -1)</f>
        <v>-1</v>
      </c>
      <c r="E500" s="89" t="s">
        <v>5329</v>
      </c>
    </row>
    <row r="501" spans="1:5">
      <c r="A501" s="41">
        <v>117945</v>
      </c>
      <c r="B501" s="89" t="str">
        <f>VLOOKUP(A501,'prod-mongo'!A:B,2,FALSE)</f>
        <v>595f8141935f650021100887</v>
      </c>
      <c r="C501" s="91">
        <f>IFERROR(VLOOKUP(A501,'Item Database'!A:CC,4,FALSE), -1)</f>
        <v>0</v>
      </c>
      <c r="D501" s="91">
        <f>IFERROR(VLOOKUP(C501,'product-map'!A:B,2,FALSE), -1)</f>
        <v>-1</v>
      </c>
      <c r="E501" s="89" t="s">
        <v>5329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>
      <selection activeCell="D2" sqref="D2:D20"/>
    </sheetView>
  </sheetViews>
  <sheetFormatPr defaultRowHeight="12.75"/>
  <cols>
    <col min="1" max="1" width="9.140625" style="89"/>
    <col min="2" max="2" width="24.28515625" style="89" bestFit="1" customWidth="1"/>
    <col min="4" max="4" width="10.28515625" style="90" bestFit="1" customWidth="1"/>
  </cols>
  <sheetData>
    <row r="1" spans="1:5">
      <c r="A1" s="89" t="s">
        <v>5323</v>
      </c>
      <c r="B1" s="89" t="s">
        <v>5324</v>
      </c>
      <c r="C1" t="s">
        <v>5326</v>
      </c>
      <c r="D1" s="90" t="s">
        <v>5832</v>
      </c>
      <c r="E1" t="s">
        <v>5328</v>
      </c>
    </row>
    <row r="2" spans="1:5">
      <c r="A2" s="89">
        <v>162038</v>
      </c>
      <c r="B2" s="89" t="str">
        <f>VLOOKUP(A2,'prod-mongo'!A:B,2,FALSE)</f>
        <v>595f813c935f6500211006dc</v>
      </c>
      <c r="C2">
        <v>2</v>
      </c>
      <c r="D2" s="90">
        <f>VLOOKUP(C2,'biz-map'!A:B,2,FALSE)</f>
        <v>350</v>
      </c>
      <c r="E2" t="s">
        <v>5330</v>
      </c>
    </row>
    <row r="3" spans="1:5">
      <c r="A3" s="89">
        <v>137272</v>
      </c>
      <c r="B3" s="89" t="str">
        <f>VLOOKUP(A3,'prod-mongo'!A:B,2,FALSE)</f>
        <v>595f813d935f650021100759</v>
      </c>
      <c r="C3">
        <v>1</v>
      </c>
      <c r="D3" s="90">
        <f>VLOOKUP(C3,'biz-map'!A:B,2,FALSE)</f>
        <v>349</v>
      </c>
      <c r="E3" s="89" t="s">
        <v>5330</v>
      </c>
    </row>
    <row r="4" spans="1:5">
      <c r="A4" s="89">
        <v>24388</v>
      </c>
      <c r="B4" s="89" t="str">
        <f>VLOOKUP(A4,'prod-mongo'!A:B,2,FALSE)</f>
        <v>595f813d935f650021100760</v>
      </c>
      <c r="C4">
        <v>1</v>
      </c>
      <c r="D4" s="90">
        <f>VLOOKUP(C4,'biz-map'!A:B,2,FALSE)</f>
        <v>349</v>
      </c>
      <c r="E4" s="89" t="s">
        <v>5330</v>
      </c>
    </row>
    <row r="5" spans="1:5">
      <c r="A5" s="89">
        <v>24388</v>
      </c>
      <c r="B5" s="89" t="str">
        <f>VLOOKUP(A5,'prod-mongo'!A:B,2,FALSE)</f>
        <v>595f813d935f650021100760</v>
      </c>
      <c r="C5">
        <v>4</v>
      </c>
      <c r="D5" s="90">
        <f>VLOOKUP(C5,'biz-map'!A:B,2,FALSE)</f>
        <v>352</v>
      </c>
      <c r="E5" s="89" t="s">
        <v>5330</v>
      </c>
    </row>
    <row r="6" spans="1:5">
      <c r="A6" s="89">
        <v>161190</v>
      </c>
      <c r="B6" s="89" t="str">
        <f>VLOOKUP(A6,'prod-mongo'!A:B,2,FALSE)</f>
        <v>595f813d935f65002110076b</v>
      </c>
      <c r="C6">
        <v>2</v>
      </c>
      <c r="D6" s="90">
        <f>VLOOKUP(C6,'biz-map'!A:B,2,FALSE)</f>
        <v>350</v>
      </c>
      <c r="E6" s="89" t="s">
        <v>5330</v>
      </c>
    </row>
    <row r="7" spans="1:5">
      <c r="A7" s="89">
        <v>142144</v>
      </c>
      <c r="B7" s="89" t="str">
        <f>VLOOKUP(A7,'prod-mongo'!A:B,2,FALSE)</f>
        <v>595f813d935f65002110076c</v>
      </c>
      <c r="C7">
        <v>2</v>
      </c>
      <c r="D7" s="90">
        <f>VLOOKUP(C7,'biz-map'!A:B,2,FALSE)</f>
        <v>350</v>
      </c>
      <c r="E7" s="89" t="s">
        <v>5330</v>
      </c>
    </row>
    <row r="8" spans="1:5">
      <c r="A8" s="89">
        <v>142144</v>
      </c>
      <c r="B8" s="89" t="str">
        <f>VLOOKUP(A8,'prod-mongo'!A:B,2,FALSE)</f>
        <v>595f813d935f65002110076c</v>
      </c>
      <c r="C8">
        <v>4</v>
      </c>
      <c r="D8" s="90">
        <f>VLOOKUP(C8,'biz-map'!A:B,2,FALSE)</f>
        <v>352</v>
      </c>
      <c r="E8" s="89" t="s">
        <v>5330</v>
      </c>
    </row>
    <row r="9" spans="1:5">
      <c r="A9" s="89">
        <v>128267</v>
      </c>
      <c r="B9" s="89" t="str">
        <f>VLOOKUP(A9,'prod-mongo'!A:B,2,FALSE)</f>
        <v>595f813d935f65002110077b</v>
      </c>
      <c r="C9">
        <v>2</v>
      </c>
      <c r="D9" s="90">
        <f>VLOOKUP(C9,'biz-map'!A:B,2,FALSE)</f>
        <v>350</v>
      </c>
      <c r="E9" s="89" t="s">
        <v>5330</v>
      </c>
    </row>
    <row r="10" spans="1:5">
      <c r="A10" s="89">
        <v>111642</v>
      </c>
      <c r="B10" s="89" t="str">
        <f>VLOOKUP(A10,'prod-mongo'!A:B,2,FALSE)</f>
        <v>595f813e935f650021100781</v>
      </c>
      <c r="C10">
        <v>2</v>
      </c>
      <c r="D10" s="90">
        <f>VLOOKUP(C10,'biz-map'!A:B,2,FALSE)</f>
        <v>350</v>
      </c>
      <c r="E10" s="89" t="s">
        <v>5330</v>
      </c>
    </row>
    <row r="11" spans="1:5">
      <c r="A11" s="89">
        <v>106855</v>
      </c>
      <c r="B11" s="89" t="str">
        <f>VLOOKUP(A11,'prod-mongo'!A:B,2,FALSE)</f>
        <v>595f813e935f6500211007ad</v>
      </c>
      <c r="C11">
        <v>4</v>
      </c>
      <c r="D11" s="90">
        <f>VLOOKUP(C11,'biz-map'!A:B,2,FALSE)</f>
        <v>352</v>
      </c>
      <c r="E11" s="89" t="s">
        <v>5330</v>
      </c>
    </row>
    <row r="12" spans="1:5">
      <c r="A12" s="89">
        <v>198882</v>
      </c>
      <c r="B12" s="89" t="str">
        <f>VLOOKUP(A12,'prod-mongo'!A:B,2,FALSE)</f>
        <v>595f813e935f6500211007b2</v>
      </c>
      <c r="C12">
        <v>4</v>
      </c>
      <c r="D12" s="90">
        <f>VLOOKUP(C12,'biz-map'!A:B,2,FALSE)</f>
        <v>352</v>
      </c>
      <c r="E12" s="89" t="s">
        <v>5330</v>
      </c>
    </row>
    <row r="13" spans="1:5">
      <c r="A13" s="89">
        <v>127011</v>
      </c>
      <c r="B13" s="89" t="str">
        <f>VLOOKUP(A13,'prod-mongo'!A:B,2,FALSE)</f>
        <v>595f813e935f6500211007b8</v>
      </c>
      <c r="C13">
        <v>1</v>
      </c>
      <c r="D13" s="90">
        <f>VLOOKUP(C13,'biz-map'!A:B,2,FALSE)</f>
        <v>349</v>
      </c>
      <c r="E13" s="89" t="s">
        <v>5330</v>
      </c>
    </row>
    <row r="14" spans="1:5">
      <c r="A14" s="89">
        <v>127011</v>
      </c>
      <c r="B14" s="89" t="str">
        <f>VLOOKUP(A14,'prod-mongo'!A:B,2,FALSE)</f>
        <v>595f813e935f6500211007b8</v>
      </c>
      <c r="C14">
        <v>2</v>
      </c>
      <c r="D14" s="90">
        <f>VLOOKUP(C14,'biz-map'!A:B,2,FALSE)</f>
        <v>350</v>
      </c>
      <c r="E14" s="89" t="s">
        <v>5330</v>
      </c>
    </row>
    <row r="15" spans="1:5">
      <c r="A15" s="89">
        <v>127011</v>
      </c>
      <c r="B15" s="89" t="str">
        <f>VLOOKUP(A15,'prod-mongo'!A:B,2,FALSE)</f>
        <v>595f813e935f6500211007b8</v>
      </c>
      <c r="C15">
        <v>4</v>
      </c>
      <c r="D15" s="90">
        <f>VLOOKUP(C15,'biz-map'!A:B,2,FALSE)</f>
        <v>352</v>
      </c>
      <c r="E15" s="89" t="s">
        <v>5330</v>
      </c>
    </row>
    <row r="16" spans="1:5">
      <c r="A16" s="89">
        <v>144241</v>
      </c>
      <c r="B16" s="89" t="str">
        <f>VLOOKUP(A16,'prod-mongo'!A:B,2,FALSE)</f>
        <v>595f813e935f6500211007be</v>
      </c>
      <c r="C16">
        <v>2</v>
      </c>
      <c r="D16" s="90">
        <f>VLOOKUP(C16,'biz-map'!A:B,2,FALSE)</f>
        <v>350</v>
      </c>
      <c r="E16" s="89" t="s">
        <v>5330</v>
      </c>
    </row>
    <row r="17" spans="1:5">
      <c r="A17" s="89">
        <v>24908</v>
      </c>
      <c r="B17" s="89" t="str">
        <f>VLOOKUP(A17,'prod-mongo'!A:B,2,FALSE)</f>
        <v>595f813f935f6500211007cf</v>
      </c>
      <c r="C17">
        <v>4</v>
      </c>
      <c r="D17" s="90">
        <f>VLOOKUP(C17,'biz-map'!A:B,2,FALSE)</f>
        <v>352</v>
      </c>
      <c r="E17" s="89" t="s">
        <v>5330</v>
      </c>
    </row>
    <row r="18" spans="1:5">
      <c r="A18" s="89">
        <v>220840</v>
      </c>
      <c r="B18" s="89" t="str">
        <f>VLOOKUP(A18,'prod-mongo'!A:B,2,FALSE)</f>
        <v>595f813f935f6500211007d4</v>
      </c>
      <c r="C18">
        <v>2</v>
      </c>
      <c r="D18" s="90">
        <f>VLOOKUP(C18,'biz-map'!A:B,2,FALSE)</f>
        <v>350</v>
      </c>
      <c r="E18" s="89" t="s">
        <v>5330</v>
      </c>
    </row>
    <row r="19" spans="1:5">
      <c r="A19" s="89">
        <v>220840</v>
      </c>
      <c r="B19" s="89" t="str">
        <f>VLOOKUP(A19,'prod-mongo'!A:B,2,FALSE)</f>
        <v>595f813f935f6500211007d4</v>
      </c>
      <c r="C19">
        <v>4</v>
      </c>
      <c r="D19" s="90">
        <f>VLOOKUP(C19,'biz-map'!A:B,2,FALSE)</f>
        <v>352</v>
      </c>
      <c r="E19" s="89" t="s">
        <v>5330</v>
      </c>
    </row>
    <row r="20" spans="1:5">
      <c r="A20" s="89">
        <v>197584</v>
      </c>
      <c r="B20" s="89" t="str">
        <f>VLOOKUP(A20,'prod-mongo'!A:B,2,FALSE)</f>
        <v>595f813f935f65002110080e</v>
      </c>
      <c r="C20">
        <v>1</v>
      </c>
      <c r="D20" s="90">
        <f>VLOOKUP(C20,'biz-map'!A:B,2,FALSE)</f>
        <v>349</v>
      </c>
      <c r="E20" s="89" t="s">
        <v>5330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1"/>
  <sheetViews>
    <sheetView workbookViewId="0">
      <selection activeCell="D2" sqref="D2:D501"/>
    </sheetView>
  </sheetViews>
  <sheetFormatPr defaultRowHeight="12.75"/>
  <cols>
    <col min="1" max="1" width="9.140625" style="89"/>
    <col min="2" max="2" width="24.85546875" style="89" bestFit="1" customWidth="1"/>
    <col min="4" max="4" width="9.85546875" style="90" bestFit="1" customWidth="1"/>
  </cols>
  <sheetData>
    <row r="1" spans="1:5">
      <c r="A1" s="89" t="s">
        <v>5323</v>
      </c>
      <c r="B1" s="89" t="s">
        <v>5324</v>
      </c>
      <c r="C1" t="s">
        <v>5327</v>
      </c>
      <c r="D1" s="90" t="s">
        <v>5833</v>
      </c>
      <c r="E1" t="s">
        <v>5328</v>
      </c>
    </row>
    <row r="2" spans="1:5">
      <c r="A2" s="41">
        <v>137733</v>
      </c>
      <c r="B2" s="89" t="str">
        <f>VLOOKUP(A2,'prod-mongo'!A:B,2,FALSE)</f>
        <v>595f813b935f6500211006b2</v>
      </c>
      <c r="C2">
        <f>VLOOKUP('prod-prodcat'!A2,'Item Database'!A:CC,76,FALSE)</f>
        <v>187</v>
      </c>
      <c r="D2" s="90">
        <f>VLOOKUP(C2,'brand-map'!A:B,2,FALSE)</f>
        <v>1358</v>
      </c>
      <c r="E2" t="s">
        <v>5327</v>
      </c>
    </row>
    <row r="3" spans="1:5">
      <c r="A3" s="41">
        <v>164559</v>
      </c>
      <c r="B3" s="89" t="str">
        <f>VLOOKUP(A3,'prod-mongo'!A:B,2,FALSE)</f>
        <v>595f813b935f6500211006b3</v>
      </c>
      <c r="C3" s="88">
        <f>VLOOKUP('prod-prodcat'!A3,'Item Database'!A:CC,76,FALSE)</f>
        <v>692</v>
      </c>
      <c r="D3" s="90">
        <f>VLOOKUP(C3,'brand-map'!A:B,2,FALSE)</f>
        <v>1823</v>
      </c>
      <c r="E3" s="89" t="s">
        <v>5327</v>
      </c>
    </row>
    <row r="4" spans="1:5">
      <c r="A4" s="41">
        <v>167902</v>
      </c>
      <c r="B4" s="89" t="str">
        <f>VLOOKUP(A4,'prod-mongo'!A:B,2,FALSE)</f>
        <v>595f813b935f6500211006b4</v>
      </c>
      <c r="C4" s="88">
        <f>VLOOKUP('prod-prodcat'!A4,'Item Database'!A:CC,76,FALSE)</f>
        <v>187</v>
      </c>
      <c r="D4" s="90">
        <f>VLOOKUP(C4,'brand-map'!A:B,2,FALSE)</f>
        <v>1358</v>
      </c>
      <c r="E4" s="89" t="s">
        <v>5327</v>
      </c>
    </row>
    <row r="5" spans="1:5">
      <c r="A5" s="41">
        <v>167903</v>
      </c>
      <c r="B5" s="89" t="str">
        <f>VLOOKUP(A5,'prod-mongo'!A:B,2,FALSE)</f>
        <v>595f813b935f6500211006b5</v>
      </c>
      <c r="C5" s="88">
        <f>VLOOKUP('prod-prodcat'!A5,'Item Database'!A:CC,76,FALSE)</f>
        <v>187</v>
      </c>
      <c r="D5" s="90">
        <f>VLOOKUP(C5,'brand-map'!A:B,2,FALSE)</f>
        <v>1358</v>
      </c>
      <c r="E5" s="89" t="s">
        <v>5327</v>
      </c>
    </row>
    <row r="6" spans="1:5">
      <c r="A6" s="41">
        <v>164560</v>
      </c>
      <c r="B6" s="89" t="str">
        <f>VLOOKUP(A6,'prod-mongo'!A:B,2,FALSE)</f>
        <v>595f813b935f6500211006b6</v>
      </c>
      <c r="C6" s="88">
        <f>VLOOKUP('prod-prodcat'!A6,'Item Database'!A:CC,76,FALSE)</f>
        <v>692</v>
      </c>
      <c r="D6" s="90">
        <f>VLOOKUP(C6,'brand-map'!A:B,2,FALSE)</f>
        <v>1823</v>
      </c>
      <c r="E6" s="89" t="s">
        <v>5327</v>
      </c>
    </row>
    <row r="7" spans="1:5">
      <c r="A7" s="41">
        <v>164561</v>
      </c>
      <c r="B7" s="89" t="str">
        <f>VLOOKUP(A7,'prod-mongo'!A:B,2,FALSE)</f>
        <v>595f813b935f6500211006b7</v>
      </c>
      <c r="C7" s="88">
        <f>VLOOKUP('prod-prodcat'!A7,'Item Database'!A:CC,76,FALSE)</f>
        <v>692</v>
      </c>
      <c r="D7" s="90">
        <f>VLOOKUP(C7,'brand-map'!A:B,2,FALSE)</f>
        <v>1823</v>
      </c>
      <c r="E7" s="89" t="s">
        <v>5327</v>
      </c>
    </row>
    <row r="8" spans="1:5">
      <c r="A8" s="41">
        <v>107213</v>
      </c>
      <c r="B8" s="89" t="str">
        <f>VLOOKUP(A8,'prod-mongo'!A:B,2,FALSE)</f>
        <v>59141fffb21a1d00824f5ee8</v>
      </c>
      <c r="C8" s="88">
        <f>VLOOKUP('prod-prodcat'!A8,'Item Database'!A:CC,76,FALSE)</f>
        <v>692</v>
      </c>
      <c r="D8" s="90">
        <f>VLOOKUP(C8,'brand-map'!A:B,2,FALSE)</f>
        <v>1823</v>
      </c>
      <c r="E8" s="89" t="s">
        <v>5327</v>
      </c>
    </row>
    <row r="9" spans="1:5">
      <c r="A9" s="41">
        <v>227074</v>
      </c>
      <c r="B9" s="89" t="str">
        <f>VLOOKUP(A9,'prod-mongo'!A:B,2,FALSE)</f>
        <v>595f813b935f6500211006b8</v>
      </c>
      <c r="C9" s="88">
        <f>VLOOKUP('prod-prodcat'!A9,'Item Database'!A:CC,76,FALSE)</f>
        <v>692</v>
      </c>
      <c r="D9" s="90">
        <f>VLOOKUP(C9,'brand-map'!A:B,2,FALSE)</f>
        <v>1823</v>
      </c>
      <c r="E9" s="89" t="s">
        <v>5327</v>
      </c>
    </row>
    <row r="10" spans="1:5">
      <c r="A10" s="41">
        <v>805326</v>
      </c>
      <c r="B10" s="89" t="str">
        <f>VLOOKUP(A10,'prod-mongo'!A:B,2,FALSE)</f>
        <v>595f813b935f6500211006b9</v>
      </c>
      <c r="C10" s="88">
        <f>VLOOKUP('prod-prodcat'!A10,'Item Database'!A:CC,76,FALSE)</f>
        <v>692</v>
      </c>
      <c r="D10" s="90">
        <f>VLOOKUP(C10,'brand-map'!A:B,2,FALSE)</f>
        <v>1823</v>
      </c>
      <c r="E10" s="89" t="s">
        <v>5327</v>
      </c>
    </row>
    <row r="11" spans="1:5">
      <c r="A11" s="41">
        <v>103059</v>
      </c>
      <c r="B11" s="89" t="str">
        <f>VLOOKUP(A11,'prod-mongo'!A:B,2,FALSE)</f>
        <v>595f813b935f6500211006ba</v>
      </c>
      <c r="C11" s="88">
        <f>VLOOKUP('prod-prodcat'!A11,'Item Database'!A:CC,76,FALSE)</f>
        <v>435</v>
      </c>
      <c r="D11" s="90">
        <f>VLOOKUP(C11,'brand-map'!A:B,2,FALSE)</f>
        <v>1589</v>
      </c>
      <c r="E11" s="89" t="s">
        <v>5327</v>
      </c>
    </row>
    <row r="12" spans="1:5">
      <c r="A12" s="41">
        <v>804458</v>
      </c>
      <c r="B12" s="89" t="str">
        <f>VLOOKUP(A12,'prod-mongo'!A:B,2,FALSE)</f>
        <v>595f813b935f6500211006bb</v>
      </c>
      <c r="C12" s="88">
        <f>VLOOKUP('prod-prodcat'!A12,'Item Database'!A:CC,76,FALSE)</f>
        <v>0</v>
      </c>
      <c r="D12" s="90">
        <f>VLOOKUP(C12,'brand-map'!A:B,2,FALSE)</f>
        <v>1193</v>
      </c>
      <c r="E12" s="89" t="s">
        <v>5327</v>
      </c>
    </row>
    <row r="13" spans="1:5">
      <c r="A13" s="41">
        <v>103517</v>
      </c>
      <c r="B13" s="89" t="str">
        <f>VLOOKUP(A13,'prod-mongo'!A:B,2,FALSE)</f>
        <v>595f813b935f6500211006bc</v>
      </c>
      <c r="C13" s="88">
        <f>VLOOKUP('prod-prodcat'!A13,'Item Database'!A:CC,76,FALSE)</f>
        <v>435</v>
      </c>
      <c r="D13" s="90">
        <f>VLOOKUP(C13,'brand-map'!A:B,2,FALSE)</f>
        <v>1589</v>
      </c>
      <c r="E13" s="89" t="s">
        <v>5327</v>
      </c>
    </row>
    <row r="14" spans="1:5">
      <c r="A14" s="41">
        <v>820874</v>
      </c>
      <c r="B14" s="89" t="str">
        <f>VLOOKUP(A14,'prod-mongo'!A:B,2,FALSE)</f>
        <v>595f813b935f6500211006bd</v>
      </c>
      <c r="C14" s="88">
        <f>VLOOKUP('prod-prodcat'!A14,'Item Database'!A:CC,76,FALSE)</f>
        <v>105</v>
      </c>
      <c r="D14" s="90">
        <f>VLOOKUP(C14,'brand-map'!A:B,2,FALSE)</f>
        <v>1285</v>
      </c>
      <c r="E14" s="89" t="s">
        <v>5327</v>
      </c>
    </row>
    <row r="15" spans="1:5">
      <c r="A15" s="41">
        <v>816769</v>
      </c>
      <c r="B15" s="89" t="str">
        <f>VLOOKUP(A15,'prod-mongo'!A:B,2,FALSE)</f>
        <v>595f813b935f6500211006be</v>
      </c>
      <c r="C15" s="88">
        <f>VLOOKUP('prod-prodcat'!A15,'Item Database'!A:CC,76,FALSE)</f>
        <v>106</v>
      </c>
      <c r="D15" s="90">
        <f>VLOOKUP(C15,'brand-map'!A:B,2,FALSE)</f>
        <v>1286</v>
      </c>
      <c r="E15" s="89" t="s">
        <v>5327</v>
      </c>
    </row>
    <row r="16" spans="1:5">
      <c r="A16" s="41">
        <v>810293</v>
      </c>
      <c r="B16" s="89" t="str">
        <f>VLOOKUP(A16,'prod-mongo'!A:B,2,FALSE)</f>
        <v>595f813b935f6500211006bf</v>
      </c>
      <c r="C16" s="88">
        <f>VLOOKUP('prod-prodcat'!A16,'Item Database'!A:CC,76,FALSE)</f>
        <v>651</v>
      </c>
      <c r="D16" s="90">
        <f>VLOOKUP(C16,'brand-map'!A:B,2,FALSE)</f>
        <v>1786</v>
      </c>
      <c r="E16" s="89" t="s">
        <v>5327</v>
      </c>
    </row>
    <row r="17" spans="1:5">
      <c r="A17" s="41">
        <v>804457</v>
      </c>
      <c r="B17" s="89" t="str">
        <f>VLOOKUP(A17,'prod-mongo'!A:B,2,FALSE)</f>
        <v>595f813b935f6500211006c0</v>
      </c>
      <c r="C17" s="88">
        <f>VLOOKUP('prod-prodcat'!A17,'Item Database'!A:CC,76,FALSE)</f>
        <v>0</v>
      </c>
      <c r="D17" s="90">
        <f>VLOOKUP(C17,'brand-map'!A:B,2,FALSE)</f>
        <v>1193</v>
      </c>
      <c r="E17" s="89" t="s">
        <v>5327</v>
      </c>
    </row>
    <row r="18" spans="1:5">
      <c r="A18" s="41">
        <v>60515</v>
      </c>
      <c r="B18" s="89" t="str">
        <f>VLOOKUP(A18,'prod-mongo'!A:B,2,FALSE)</f>
        <v>595f813b935f6500211006c1</v>
      </c>
      <c r="C18" s="88">
        <f>VLOOKUP('prod-prodcat'!A18,'Item Database'!A:CC,76,FALSE)</f>
        <v>692</v>
      </c>
      <c r="D18" s="90">
        <f>VLOOKUP(C18,'brand-map'!A:B,2,FALSE)</f>
        <v>1823</v>
      </c>
      <c r="E18" s="89" t="s">
        <v>5327</v>
      </c>
    </row>
    <row r="19" spans="1:5">
      <c r="A19" s="41">
        <v>137578</v>
      </c>
      <c r="B19" s="89" t="str">
        <f>VLOOKUP(A19,'prod-mongo'!A:B,2,FALSE)</f>
        <v>595f813b935f6500211006c2</v>
      </c>
      <c r="C19" s="88">
        <f>VLOOKUP('prod-prodcat'!A19,'Item Database'!A:CC,76,FALSE)</f>
        <v>106</v>
      </c>
      <c r="D19" s="90">
        <f>VLOOKUP(C19,'brand-map'!A:B,2,FALSE)</f>
        <v>1286</v>
      </c>
      <c r="E19" s="89" t="s">
        <v>5327</v>
      </c>
    </row>
    <row r="20" spans="1:5">
      <c r="A20" s="41">
        <v>107677</v>
      </c>
      <c r="B20" s="89" t="str">
        <f>VLOOKUP(A20,'prod-mongo'!A:B,2,FALSE)</f>
        <v>595f813b935f6500211006c3</v>
      </c>
      <c r="C20" s="88">
        <f>VLOOKUP('prod-prodcat'!A20,'Item Database'!A:CC,76,FALSE)</f>
        <v>609</v>
      </c>
      <c r="D20" s="90">
        <f>VLOOKUP(C20,'brand-map'!A:B,2,FALSE)</f>
        <v>1749</v>
      </c>
      <c r="E20" s="89" t="s">
        <v>5327</v>
      </c>
    </row>
    <row r="21" spans="1:5">
      <c r="A21" s="41">
        <v>212471</v>
      </c>
      <c r="B21" s="89" t="str">
        <f>VLOOKUP(A21,'prod-mongo'!A:B,2,FALSE)</f>
        <v>595f813b935f6500211006c4</v>
      </c>
      <c r="C21" s="88">
        <f>VLOOKUP('prod-prodcat'!A21,'Item Database'!A:CC,76,FALSE)</f>
        <v>144</v>
      </c>
      <c r="D21" s="90">
        <f>VLOOKUP(C21,'brand-map'!A:B,2,FALSE)</f>
        <v>1321</v>
      </c>
      <c r="E21" s="89" t="s">
        <v>5327</v>
      </c>
    </row>
    <row r="22" spans="1:5">
      <c r="A22" s="41">
        <v>212474</v>
      </c>
      <c r="B22" s="89" t="str">
        <f>VLOOKUP(A22,'prod-mongo'!A:B,2,FALSE)</f>
        <v>595f813b935f6500211006c5</v>
      </c>
      <c r="C22" s="88">
        <f>VLOOKUP('prod-prodcat'!A22,'Item Database'!A:CC,76,FALSE)</f>
        <v>144</v>
      </c>
      <c r="D22" s="90">
        <f>VLOOKUP(C22,'brand-map'!A:B,2,FALSE)</f>
        <v>1321</v>
      </c>
      <c r="E22" s="89" t="s">
        <v>5327</v>
      </c>
    </row>
    <row r="23" spans="1:5">
      <c r="A23" s="41">
        <v>212473</v>
      </c>
      <c r="B23" s="89" t="str">
        <f>VLOOKUP(A23,'prod-mongo'!A:B,2,FALSE)</f>
        <v>595f813b935f6500211006c6</v>
      </c>
      <c r="C23" s="88">
        <f>VLOOKUP('prod-prodcat'!A23,'Item Database'!A:CC,76,FALSE)</f>
        <v>144</v>
      </c>
      <c r="D23" s="90">
        <f>VLOOKUP(C23,'brand-map'!A:B,2,FALSE)</f>
        <v>1321</v>
      </c>
      <c r="E23" s="89" t="s">
        <v>5327</v>
      </c>
    </row>
    <row r="24" spans="1:5">
      <c r="A24" s="41">
        <v>212526</v>
      </c>
      <c r="B24" s="89" t="str">
        <f>VLOOKUP(A24,'prod-mongo'!A:B,2,FALSE)</f>
        <v>595f813b935f6500211006c7</v>
      </c>
      <c r="C24" s="88">
        <f>VLOOKUP('prod-prodcat'!A24,'Item Database'!A:CC,76,FALSE)</f>
        <v>144</v>
      </c>
      <c r="D24" s="90">
        <f>VLOOKUP(C24,'brand-map'!A:B,2,FALSE)</f>
        <v>1321</v>
      </c>
      <c r="E24" s="89" t="s">
        <v>5327</v>
      </c>
    </row>
    <row r="25" spans="1:5">
      <c r="A25" s="41">
        <v>212475</v>
      </c>
      <c r="B25" s="89" t="str">
        <f>VLOOKUP(A25,'prod-mongo'!A:B,2,FALSE)</f>
        <v>595f813b935f6500211006c8</v>
      </c>
      <c r="C25" s="88">
        <f>VLOOKUP('prod-prodcat'!A25,'Item Database'!A:CC,76,FALSE)</f>
        <v>144</v>
      </c>
      <c r="D25" s="90">
        <f>VLOOKUP(C25,'brand-map'!A:B,2,FALSE)</f>
        <v>1321</v>
      </c>
      <c r="E25" s="89" t="s">
        <v>5327</v>
      </c>
    </row>
    <row r="26" spans="1:5">
      <c r="A26" s="41">
        <v>212503</v>
      </c>
      <c r="B26" s="89" t="str">
        <f>VLOOKUP(A26,'prod-mongo'!A:B,2,FALSE)</f>
        <v>595f813b935f6500211006c9</v>
      </c>
      <c r="C26" s="88">
        <f>VLOOKUP('prod-prodcat'!A26,'Item Database'!A:CC,76,FALSE)</f>
        <v>144</v>
      </c>
      <c r="D26" s="90">
        <f>VLOOKUP(C26,'brand-map'!A:B,2,FALSE)</f>
        <v>1321</v>
      </c>
      <c r="E26" s="89" t="s">
        <v>5327</v>
      </c>
    </row>
    <row r="27" spans="1:5">
      <c r="A27" s="41">
        <v>212477</v>
      </c>
      <c r="B27" s="89" t="str">
        <f>VLOOKUP(A27,'prod-mongo'!A:B,2,FALSE)</f>
        <v>595f813b935f6500211006ca</v>
      </c>
      <c r="C27" s="88">
        <f>VLOOKUP('prod-prodcat'!A27,'Item Database'!A:CC,76,FALSE)</f>
        <v>144</v>
      </c>
      <c r="D27" s="90">
        <f>VLOOKUP(C27,'brand-map'!A:B,2,FALSE)</f>
        <v>1321</v>
      </c>
      <c r="E27" s="89" t="s">
        <v>5327</v>
      </c>
    </row>
    <row r="28" spans="1:5">
      <c r="A28" s="41">
        <v>212476</v>
      </c>
      <c r="B28" s="89" t="str">
        <f>VLOOKUP(A28,'prod-mongo'!A:B,2,FALSE)</f>
        <v>595f813b935f6500211006cb</v>
      </c>
      <c r="C28" s="88">
        <f>VLOOKUP('prod-prodcat'!A28,'Item Database'!A:CC,76,FALSE)</f>
        <v>144</v>
      </c>
      <c r="D28" s="90">
        <f>VLOOKUP(C28,'brand-map'!A:B,2,FALSE)</f>
        <v>1321</v>
      </c>
      <c r="E28" s="89" t="s">
        <v>5327</v>
      </c>
    </row>
    <row r="29" spans="1:5">
      <c r="A29" s="41">
        <v>807174</v>
      </c>
      <c r="B29" s="89" t="str">
        <f>VLOOKUP(A29,'prod-mongo'!A:B,2,FALSE)</f>
        <v>595f813b935f6500211006cc</v>
      </c>
      <c r="C29" s="88">
        <f>VLOOKUP('prod-prodcat'!A29,'Item Database'!A:CC,76,FALSE)</f>
        <v>144</v>
      </c>
      <c r="D29" s="90">
        <f>VLOOKUP(C29,'brand-map'!A:B,2,FALSE)</f>
        <v>1321</v>
      </c>
      <c r="E29" s="89" t="s">
        <v>5327</v>
      </c>
    </row>
    <row r="30" spans="1:5">
      <c r="A30" s="41">
        <v>807173</v>
      </c>
      <c r="B30" s="89" t="str">
        <f>VLOOKUP(A30,'prod-mongo'!A:B,2,FALSE)</f>
        <v>595f813b935f6500211006cd</v>
      </c>
      <c r="C30" s="88">
        <f>VLOOKUP('prod-prodcat'!A30,'Item Database'!A:CC,76,FALSE)</f>
        <v>144</v>
      </c>
      <c r="D30" s="90">
        <f>VLOOKUP(C30,'brand-map'!A:B,2,FALSE)</f>
        <v>1321</v>
      </c>
      <c r="E30" s="89" t="s">
        <v>5327</v>
      </c>
    </row>
    <row r="31" spans="1:5">
      <c r="A31" s="41">
        <v>816772</v>
      </c>
      <c r="B31" s="89" t="str">
        <f>VLOOKUP(A31,'prod-mongo'!A:B,2,FALSE)</f>
        <v>595f813b935f6500211006ce</v>
      </c>
      <c r="C31" s="88">
        <f>VLOOKUP('prod-prodcat'!A31,'Item Database'!A:CC,76,FALSE)</f>
        <v>971</v>
      </c>
      <c r="D31" s="90">
        <f>VLOOKUP(C31,'brand-map'!A:B,2,FALSE)</f>
        <v>1983</v>
      </c>
      <c r="E31" s="89" t="s">
        <v>5327</v>
      </c>
    </row>
    <row r="32" spans="1:5">
      <c r="A32" s="41">
        <v>816773</v>
      </c>
      <c r="B32" s="89" t="str">
        <f>VLOOKUP(A32,'prod-mongo'!A:B,2,FALSE)</f>
        <v>595f813b935f6500211006cf</v>
      </c>
      <c r="C32" s="88">
        <f>VLOOKUP('prod-prodcat'!A32,'Item Database'!A:CC,76,FALSE)</f>
        <v>971</v>
      </c>
      <c r="D32" s="90">
        <f>VLOOKUP(C32,'brand-map'!A:B,2,FALSE)</f>
        <v>1983</v>
      </c>
      <c r="E32" s="89" t="s">
        <v>5327</v>
      </c>
    </row>
    <row r="33" spans="1:5">
      <c r="A33" s="41">
        <v>816774</v>
      </c>
      <c r="B33" s="89" t="str">
        <f>VLOOKUP(A33,'prod-mongo'!A:B,2,FALSE)</f>
        <v>595f813b935f6500211006d0</v>
      </c>
      <c r="C33" s="88">
        <f>VLOOKUP('prod-prodcat'!A33,'Item Database'!A:CC,76,FALSE)</f>
        <v>971</v>
      </c>
      <c r="D33" s="90">
        <f>VLOOKUP(C33,'brand-map'!A:B,2,FALSE)</f>
        <v>1983</v>
      </c>
      <c r="E33" s="89" t="s">
        <v>5327</v>
      </c>
    </row>
    <row r="34" spans="1:5">
      <c r="A34" s="41">
        <v>816775</v>
      </c>
      <c r="B34" s="89" t="str">
        <f>VLOOKUP(A34,'prod-mongo'!A:B,2,FALSE)</f>
        <v>595f813b935f6500211006d1</v>
      </c>
      <c r="C34" s="88">
        <f>VLOOKUP('prod-prodcat'!A34,'Item Database'!A:CC,76,FALSE)</f>
        <v>971</v>
      </c>
      <c r="D34" s="90">
        <f>VLOOKUP(C34,'brand-map'!A:B,2,FALSE)</f>
        <v>1983</v>
      </c>
      <c r="E34" s="89" t="s">
        <v>5327</v>
      </c>
    </row>
    <row r="35" spans="1:5">
      <c r="A35" s="41">
        <v>819252</v>
      </c>
      <c r="B35" s="89" t="str">
        <f>VLOOKUP(A35,'prod-mongo'!A:B,2,FALSE)</f>
        <v>595f813b935f6500211006d2</v>
      </c>
      <c r="C35" s="88">
        <f>VLOOKUP('prod-prodcat'!A35,'Item Database'!A:CC,76,FALSE)</f>
        <v>0</v>
      </c>
      <c r="D35" s="90">
        <f>VLOOKUP(C35,'brand-map'!A:B,2,FALSE)</f>
        <v>1193</v>
      </c>
      <c r="E35" s="89" t="s">
        <v>5327</v>
      </c>
    </row>
    <row r="36" spans="1:5">
      <c r="A36" s="41">
        <v>802691</v>
      </c>
      <c r="B36" s="89" t="str">
        <f>VLOOKUP(A36,'prod-mongo'!A:B,2,FALSE)</f>
        <v>595f813c935f6500211006d3</v>
      </c>
      <c r="C36" s="88">
        <f>VLOOKUP('prod-prodcat'!A36,'Item Database'!A:CC,76,FALSE)</f>
        <v>187</v>
      </c>
      <c r="D36" s="90">
        <f>VLOOKUP(C36,'brand-map'!A:B,2,FALSE)</f>
        <v>1358</v>
      </c>
      <c r="E36" s="89" t="s">
        <v>5327</v>
      </c>
    </row>
    <row r="37" spans="1:5">
      <c r="A37" s="41">
        <v>718614</v>
      </c>
      <c r="B37" s="89" t="str">
        <f>VLOOKUP(A37,'prod-mongo'!A:B,2,FALSE)</f>
        <v>595f813c935f6500211006d4</v>
      </c>
      <c r="C37" s="88">
        <f>VLOOKUP('prod-prodcat'!A37,'Item Database'!A:CC,76,FALSE)</f>
        <v>0</v>
      </c>
      <c r="D37" s="90">
        <f>VLOOKUP(C37,'brand-map'!A:B,2,FALSE)</f>
        <v>1193</v>
      </c>
      <c r="E37" s="89" t="s">
        <v>5327</v>
      </c>
    </row>
    <row r="38" spans="1:5">
      <c r="A38" s="41">
        <v>803217</v>
      </c>
      <c r="B38" s="89" t="str">
        <f>VLOOKUP(A38,'prod-mongo'!A:B,2,FALSE)</f>
        <v>595f813c935f6500211006d5</v>
      </c>
      <c r="C38" s="88">
        <f>VLOOKUP('prod-prodcat'!A38,'Item Database'!A:CC,76,FALSE)</f>
        <v>0</v>
      </c>
      <c r="D38" s="90">
        <f>VLOOKUP(C38,'brand-map'!A:B,2,FALSE)</f>
        <v>1193</v>
      </c>
      <c r="E38" s="89" t="s">
        <v>5327</v>
      </c>
    </row>
    <row r="39" spans="1:5">
      <c r="A39" s="41">
        <v>193560</v>
      </c>
      <c r="B39" s="89" t="str">
        <f>VLOOKUP(A39,'prod-mongo'!A:B,2,FALSE)</f>
        <v>595f813c935f6500211006d6</v>
      </c>
      <c r="C39" s="88">
        <f>VLOOKUP('prod-prodcat'!A39,'Item Database'!A:CC,76,FALSE)</f>
        <v>924</v>
      </c>
      <c r="D39" s="90">
        <f>VLOOKUP(C39,'brand-map'!A:B,2,FALSE)</f>
        <v>1946</v>
      </c>
      <c r="E39" s="89" t="s">
        <v>5327</v>
      </c>
    </row>
    <row r="40" spans="1:5">
      <c r="A40" s="41">
        <v>193561</v>
      </c>
      <c r="B40" s="89" t="str">
        <f>VLOOKUP(A40,'prod-mongo'!A:B,2,FALSE)</f>
        <v>595f813c935f6500211006d7</v>
      </c>
      <c r="C40" s="88">
        <f>VLOOKUP('prod-prodcat'!A40,'Item Database'!A:CC,76,FALSE)</f>
        <v>924</v>
      </c>
      <c r="D40" s="90">
        <f>VLOOKUP(C40,'brand-map'!A:B,2,FALSE)</f>
        <v>1946</v>
      </c>
      <c r="E40" s="89" t="s">
        <v>5327</v>
      </c>
    </row>
    <row r="41" spans="1:5">
      <c r="A41" s="41">
        <v>808033</v>
      </c>
      <c r="B41" s="89" t="str">
        <f>VLOOKUP(A41,'prod-mongo'!A:B,2,FALSE)</f>
        <v>595f813c935f6500211006d8</v>
      </c>
      <c r="C41" s="88">
        <f>VLOOKUP('prod-prodcat'!A41,'Item Database'!A:CC,76,FALSE)</f>
        <v>0</v>
      </c>
      <c r="D41" s="90">
        <f>VLOOKUP(C41,'brand-map'!A:B,2,FALSE)</f>
        <v>1193</v>
      </c>
      <c r="E41" s="89" t="s">
        <v>5327</v>
      </c>
    </row>
    <row r="42" spans="1:5">
      <c r="A42" s="41">
        <v>808034</v>
      </c>
      <c r="B42" s="89" t="str">
        <f>VLOOKUP(A42,'prod-mongo'!A:B,2,FALSE)</f>
        <v>595f813c935f6500211006d9</v>
      </c>
      <c r="C42" s="88">
        <f>VLOOKUP('prod-prodcat'!A42,'Item Database'!A:CC,76,FALSE)</f>
        <v>0</v>
      </c>
      <c r="D42" s="90">
        <f>VLOOKUP(C42,'brand-map'!A:B,2,FALSE)</f>
        <v>1193</v>
      </c>
      <c r="E42" s="89" t="s">
        <v>5327</v>
      </c>
    </row>
    <row r="43" spans="1:5">
      <c r="A43" s="41">
        <v>226304</v>
      </c>
      <c r="B43" s="89" t="str">
        <f>VLOOKUP(A43,'prod-mongo'!A:B,2,FALSE)</f>
        <v>595f813c935f6500211006da</v>
      </c>
      <c r="C43" s="88">
        <f>VLOOKUP('prod-prodcat'!A43,'Item Database'!A:CC,76,FALSE)</f>
        <v>1194</v>
      </c>
      <c r="D43" s="90">
        <f>VLOOKUP(C43,'brand-map'!A:B,2,FALSE)</f>
        <v>2197</v>
      </c>
      <c r="E43" s="89" t="s">
        <v>5327</v>
      </c>
    </row>
    <row r="44" spans="1:5">
      <c r="A44" s="41">
        <v>150345</v>
      </c>
      <c r="B44" s="89" t="str">
        <f>VLOOKUP(A44,'prod-mongo'!A:B,2,FALSE)</f>
        <v>595f813c935f6500211006db</v>
      </c>
      <c r="C44" s="88">
        <f>VLOOKUP('prod-prodcat'!A44,'Item Database'!A:CC,76,FALSE)</f>
        <v>0</v>
      </c>
      <c r="D44" s="90">
        <f>VLOOKUP(C44,'brand-map'!A:B,2,FALSE)</f>
        <v>1193</v>
      </c>
      <c r="E44" s="89" t="s">
        <v>5327</v>
      </c>
    </row>
    <row r="45" spans="1:5">
      <c r="A45" s="41">
        <v>162038</v>
      </c>
      <c r="B45" s="89" t="str">
        <f>VLOOKUP(A45,'prod-mongo'!A:B,2,FALSE)</f>
        <v>595f813c935f6500211006dc</v>
      </c>
      <c r="C45" s="88">
        <f>VLOOKUP('prod-prodcat'!A45,'Item Database'!A:CC,76,FALSE)</f>
        <v>338</v>
      </c>
      <c r="D45" s="90">
        <f>VLOOKUP(C45,'brand-map'!A:B,2,FALSE)</f>
        <v>1499</v>
      </c>
      <c r="E45" s="89" t="s">
        <v>5327</v>
      </c>
    </row>
    <row r="46" spans="1:5">
      <c r="A46" s="41">
        <v>110649</v>
      </c>
      <c r="B46" s="89" t="str">
        <f>VLOOKUP(A46,'prod-mongo'!A:B,2,FALSE)</f>
        <v>595f813c935f6500211006dd</v>
      </c>
      <c r="C46" s="88">
        <f>VLOOKUP('prod-prodcat'!A46,'Item Database'!A:CC,76,FALSE)</f>
        <v>710</v>
      </c>
      <c r="D46" s="90">
        <f>VLOOKUP(C46,'brand-map'!A:B,2,FALSE)</f>
        <v>1840</v>
      </c>
      <c r="E46" s="89" t="s">
        <v>5327</v>
      </c>
    </row>
    <row r="47" spans="1:5">
      <c r="A47" s="41">
        <v>808308</v>
      </c>
      <c r="B47" s="89" t="str">
        <f>VLOOKUP(A47,'prod-mongo'!A:B,2,FALSE)</f>
        <v>595f813c935f6500211006de</v>
      </c>
      <c r="C47" s="88">
        <f>VLOOKUP('prod-prodcat'!A47,'Item Database'!A:CC,76,FALSE)</f>
        <v>338</v>
      </c>
      <c r="D47" s="90">
        <f>VLOOKUP(C47,'brand-map'!A:B,2,FALSE)</f>
        <v>1499</v>
      </c>
      <c r="E47" s="89" t="s">
        <v>5327</v>
      </c>
    </row>
    <row r="48" spans="1:5">
      <c r="A48" s="41">
        <v>107176</v>
      </c>
      <c r="B48" s="89" t="str">
        <f>VLOOKUP(A48,'prod-mongo'!A:B,2,FALSE)</f>
        <v>595f813c935f6500211006df</v>
      </c>
      <c r="C48" s="88">
        <f>VLOOKUP('prod-prodcat'!A48,'Item Database'!A:CC,76,FALSE)</f>
        <v>340</v>
      </c>
      <c r="D48" s="90">
        <f>VLOOKUP(C48,'brand-map'!A:B,2,FALSE)</f>
        <v>1501</v>
      </c>
      <c r="E48" s="89" t="s">
        <v>5327</v>
      </c>
    </row>
    <row r="49" spans="1:5">
      <c r="A49" s="41">
        <v>211380</v>
      </c>
      <c r="B49" s="89" t="str">
        <f>VLOOKUP(A49,'prod-mongo'!A:B,2,FALSE)</f>
        <v>595f813c935f6500211006e0</v>
      </c>
      <c r="C49" s="88">
        <f>VLOOKUP('prod-prodcat'!A49,'Item Database'!A:CC,76,FALSE)</f>
        <v>1018</v>
      </c>
      <c r="D49" s="90">
        <f>VLOOKUP(C49,'brand-map'!A:B,2,FALSE)</f>
        <v>2027</v>
      </c>
      <c r="E49" s="89" t="s">
        <v>5327</v>
      </c>
    </row>
    <row r="50" spans="1:5">
      <c r="A50" s="41">
        <v>82069</v>
      </c>
      <c r="B50" s="89" t="str">
        <f>VLOOKUP(A50,'prod-mongo'!A:B,2,FALSE)</f>
        <v>595f813c935f6500211006e1</v>
      </c>
      <c r="C50" s="88">
        <f>VLOOKUP('prod-prodcat'!A50,'Item Database'!A:CC,76,FALSE)</f>
        <v>1092</v>
      </c>
      <c r="D50" s="90">
        <f>VLOOKUP(C50,'brand-map'!A:B,2,FALSE)</f>
        <v>2099</v>
      </c>
      <c r="E50" s="89" t="s">
        <v>5327</v>
      </c>
    </row>
    <row r="51" spans="1:5">
      <c r="A51" s="41">
        <v>141722</v>
      </c>
      <c r="B51" s="89" t="str">
        <f>VLOOKUP(A51,'prod-mongo'!A:B,2,FALSE)</f>
        <v>595f813c935f6500211006e2</v>
      </c>
      <c r="C51" s="88">
        <f>VLOOKUP('prod-prodcat'!A51,'Item Database'!A:CC,76,FALSE)</f>
        <v>338</v>
      </c>
      <c r="D51" s="90">
        <f>VLOOKUP(C51,'brand-map'!A:B,2,FALSE)</f>
        <v>1499</v>
      </c>
      <c r="E51" s="89" t="s">
        <v>5327</v>
      </c>
    </row>
    <row r="52" spans="1:5">
      <c r="A52" s="41">
        <v>820070</v>
      </c>
      <c r="B52" s="89" t="str">
        <f>VLOOKUP(A52,'prod-mongo'!A:B,2,FALSE)</f>
        <v>595f813c935f6500211006e3</v>
      </c>
      <c r="C52" s="88">
        <f>VLOOKUP('prod-prodcat'!A52,'Item Database'!A:CC,76,FALSE)</f>
        <v>222</v>
      </c>
      <c r="D52" s="90">
        <f>VLOOKUP(C52,'brand-map'!A:B,2,FALSE)</f>
        <v>1392</v>
      </c>
      <c r="E52" s="89" t="s">
        <v>5327</v>
      </c>
    </row>
    <row r="53" spans="1:5">
      <c r="A53" s="41">
        <v>132409</v>
      </c>
      <c r="B53" s="89" t="str">
        <f>VLOOKUP(A53,'prod-mongo'!A:B,2,FALSE)</f>
        <v>595f813c935f6500211006e4</v>
      </c>
      <c r="C53" s="88">
        <f>VLOOKUP('prod-prodcat'!A53,'Item Database'!A:CC,76,FALSE)</f>
        <v>753</v>
      </c>
      <c r="D53" s="90">
        <f>VLOOKUP(C53,'brand-map'!A:B,2,FALSE)</f>
        <v>1882</v>
      </c>
      <c r="E53" s="89" t="s">
        <v>5327</v>
      </c>
    </row>
    <row r="54" spans="1:5">
      <c r="A54" s="41">
        <v>134114</v>
      </c>
      <c r="B54" s="89" t="str">
        <f>VLOOKUP(A54,'prod-mongo'!A:B,2,FALSE)</f>
        <v>595f813c935f6500211006e5</v>
      </c>
      <c r="C54" s="88">
        <f>VLOOKUP('prod-prodcat'!A54,'Item Database'!A:CC,76,FALSE)</f>
        <v>473</v>
      </c>
      <c r="D54" s="90">
        <f>VLOOKUP(C54,'brand-map'!A:B,2,FALSE)</f>
        <v>1625</v>
      </c>
      <c r="E54" s="89" t="s">
        <v>5327</v>
      </c>
    </row>
    <row r="55" spans="1:5">
      <c r="A55" s="41">
        <v>119757</v>
      </c>
      <c r="B55" s="89" t="str">
        <f>VLOOKUP(A55,'prod-mongo'!A:B,2,FALSE)</f>
        <v>595f813c935f6500211006e6</v>
      </c>
      <c r="C55" s="88">
        <f>VLOOKUP('prod-prodcat'!A55,'Item Database'!A:CC,76,FALSE)</f>
        <v>756</v>
      </c>
      <c r="D55" s="90">
        <f>VLOOKUP(C55,'brand-map'!A:B,2,FALSE)</f>
        <v>1885</v>
      </c>
      <c r="E55" s="89" t="s">
        <v>5327</v>
      </c>
    </row>
    <row r="56" spans="1:5">
      <c r="A56" s="41">
        <v>377507</v>
      </c>
      <c r="B56" s="89" t="str">
        <f>VLOOKUP(A56,'prod-mongo'!A:B,2,FALSE)</f>
        <v>595f813c935f6500211006e7</v>
      </c>
      <c r="C56" s="88">
        <f>VLOOKUP('prod-prodcat'!A56,'Item Database'!A:CC,76,FALSE)</f>
        <v>641</v>
      </c>
      <c r="D56" s="90">
        <f>VLOOKUP(C56,'brand-map'!A:B,2,FALSE)</f>
        <v>1778</v>
      </c>
      <c r="E56" s="89" t="s">
        <v>5327</v>
      </c>
    </row>
    <row r="57" spans="1:5">
      <c r="A57" s="41">
        <v>237494</v>
      </c>
      <c r="B57" s="89" t="str">
        <f>VLOOKUP(A57,'prod-mongo'!A:B,2,FALSE)</f>
        <v>595f813c935f6500211006e8</v>
      </c>
      <c r="C57" s="88">
        <f>VLOOKUP('prod-prodcat'!A57,'Item Database'!A:CC,76,FALSE)</f>
        <v>610</v>
      </c>
      <c r="D57" s="90">
        <f>VLOOKUP(C57,'brand-map'!A:B,2,FALSE)</f>
        <v>1750</v>
      </c>
      <c r="E57" s="89" t="s">
        <v>5327</v>
      </c>
    </row>
    <row r="58" spans="1:5">
      <c r="A58" s="41">
        <v>123287</v>
      </c>
      <c r="B58" s="89" t="str">
        <f>VLOOKUP(A58,'prod-mongo'!A:B,2,FALSE)</f>
        <v>595f813c935f6500211006e9</v>
      </c>
      <c r="C58" s="88">
        <f>VLOOKUP('prod-prodcat'!A58,'Item Database'!A:CC,76,FALSE)</f>
        <v>613</v>
      </c>
      <c r="D58" s="90">
        <f>VLOOKUP(C58,'brand-map'!A:B,2,FALSE)</f>
        <v>1753</v>
      </c>
      <c r="E58" s="89" t="s">
        <v>5327</v>
      </c>
    </row>
    <row r="59" spans="1:5">
      <c r="A59" s="41">
        <v>85358</v>
      </c>
      <c r="B59" s="89" t="str">
        <f>VLOOKUP(A59,'prod-mongo'!A:B,2,FALSE)</f>
        <v>595f813c935f6500211006ea</v>
      </c>
      <c r="C59" s="88">
        <f>VLOOKUP('prod-prodcat'!A59,'Item Database'!A:CC,76,FALSE)</f>
        <v>1106</v>
      </c>
      <c r="D59" s="90">
        <f>VLOOKUP(C59,'brand-map'!A:B,2,FALSE)</f>
        <v>2112</v>
      </c>
      <c r="E59" s="89" t="s">
        <v>5327</v>
      </c>
    </row>
    <row r="60" spans="1:5">
      <c r="A60" s="41">
        <v>100867</v>
      </c>
      <c r="B60" s="89" t="str">
        <f>VLOOKUP(A60,'prod-mongo'!A:B,2,FALSE)</f>
        <v>595f813c935f6500211006eb</v>
      </c>
      <c r="C60" s="88">
        <f>VLOOKUP('prod-prodcat'!A60,'Item Database'!A:CC,76,FALSE)</f>
        <v>491</v>
      </c>
      <c r="D60" s="90">
        <f>VLOOKUP(C60,'brand-map'!A:B,2,FALSE)</f>
        <v>1638</v>
      </c>
      <c r="E60" s="89" t="s">
        <v>5327</v>
      </c>
    </row>
    <row r="61" spans="1:5">
      <c r="A61" s="41">
        <v>129445</v>
      </c>
      <c r="B61" s="89" t="str">
        <f>VLOOKUP(A61,'prod-mongo'!A:B,2,FALSE)</f>
        <v>595f813c935f6500211006ec</v>
      </c>
      <c r="C61" s="88">
        <f>VLOOKUP('prod-prodcat'!A61,'Item Database'!A:CC,76,FALSE)</f>
        <v>491</v>
      </c>
      <c r="D61" s="90">
        <f>VLOOKUP(C61,'brand-map'!A:B,2,FALSE)</f>
        <v>1638</v>
      </c>
      <c r="E61" s="89" t="s">
        <v>5327</v>
      </c>
    </row>
    <row r="62" spans="1:5">
      <c r="A62" s="41">
        <v>950794</v>
      </c>
      <c r="B62" s="89" t="str">
        <f>VLOOKUP(A62,'prod-mongo'!A:B,2,FALSE)</f>
        <v>595f813c935f6500211006ed</v>
      </c>
      <c r="C62" s="88">
        <f>VLOOKUP('prod-prodcat'!A62,'Item Database'!A:CC,76,FALSE)</f>
        <v>587</v>
      </c>
      <c r="D62" s="90">
        <f>VLOOKUP(C62,'brand-map'!A:B,2,FALSE)</f>
        <v>1729</v>
      </c>
      <c r="E62" s="89" t="s">
        <v>5327</v>
      </c>
    </row>
    <row r="63" spans="1:5">
      <c r="A63" s="41">
        <v>263458</v>
      </c>
      <c r="B63" s="89" t="str">
        <f>VLOOKUP(A63,'prod-mongo'!A:B,2,FALSE)</f>
        <v>595f813c935f6500211006ee</v>
      </c>
      <c r="C63" s="88">
        <f>VLOOKUP('prod-prodcat'!A63,'Item Database'!A:CC,76,FALSE)</f>
        <v>155</v>
      </c>
      <c r="D63" s="90">
        <f>VLOOKUP(C63,'brand-map'!A:B,2,FALSE)</f>
        <v>1332</v>
      </c>
      <c r="E63" s="89" t="s">
        <v>5327</v>
      </c>
    </row>
    <row r="64" spans="1:5">
      <c r="A64" s="41">
        <v>327132</v>
      </c>
      <c r="B64" s="89" t="str">
        <f>VLOOKUP(A64,'prod-mongo'!A:B,2,FALSE)</f>
        <v>595f813c935f6500211006ef</v>
      </c>
      <c r="C64" s="88">
        <f>VLOOKUP('prod-prodcat'!A64,'Item Database'!A:CC,76,FALSE)</f>
        <v>586</v>
      </c>
      <c r="D64" s="90">
        <f>VLOOKUP(C64,'brand-map'!A:B,2,FALSE)</f>
        <v>1728</v>
      </c>
      <c r="E64" s="89" t="s">
        <v>5327</v>
      </c>
    </row>
    <row r="65" spans="1:5">
      <c r="A65" s="41">
        <v>810871</v>
      </c>
      <c r="B65" s="89" t="str">
        <f>VLOOKUP(A65,'prod-mongo'!A:B,2,FALSE)</f>
        <v>595f813c935f6500211006f0</v>
      </c>
      <c r="C65" s="88">
        <f>VLOOKUP('prod-prodcat'!A65,'Item Database'!A:CC,76,FALSE)</f>
        <v>1050</v>
      </c>
      <c r="D65" s="90">
        <f>VLOOKUP(C65,'brand-map'!A:B,2,FALSE)</f>
        <v>2058</v>
      </c>
      <c r="E65" s="89" t="s">
        <v>5327</v>
      </c>
    </row>
    <row r="66" spans="1:5">
      <c r="A66" s="41">
        <v>818145</v>
      </c>
      <c r="B66" s="89" t="str">
        <f>VLOOKUP(A66,'prod-mongo'!A:B,2,FALSE)</f>
        <v>595f813c935f6500211006f1</v>
      </c>
      <c r="C66" s="88">
        <f>VLOOKUP('prod-prodcat'!A66,'Item Database'!A:CC,76,FALSE)</f>
        <v>1050</v>
      </c>
      <c r="D66" s="90">
        <f>VLOOKUP(C66,'brand-map'!A:B,2,FALSE)</f>
        <v>2058</v>
      </c>
      <c r="E66" s="89" t="s">
        <v>5327</v>
      </c>
    </row>
    <row r="67" spans="1:5">
      <c r="A67" s="41">
        <v>103571</v>
      </c>
      <c r="B67" s="89" t="str">
        <f>VLOOKUP(A67,'prod-mongo'!A:B,2,FALSE)</f>
        <v>595f813c935f6500211006f2</v>
      </c>
      <c r="C67" s="88">
        <f>VLOOKUP('prod-prodcat'!A67,'Item Database'!A:CC,76,FALSE)</f>
        <v>1050</v>
      </c>
      <c r="D67" s="90">
        <f>VLOOKUP(C67,'brand-map'!A:B,2,FALSE)</f>
        <v>2058</v>
      </c>
      <c r="E67" s="89" t="s">
        <v>5327</v>
      </c>
    </row>
    <row r="68" spans="1:5">
      <c r="A68" s="41">
        <v>817679</v>
      </c>
      <c r="B68" s="89" t="str">
        <f>VLOOKUP(A68,'prod-mongo'!A:B,2,FALSE)</f>
        <v>595f813c935f6500211006f3</v>
      </c>
      <c r="C68" s="88">
        <f>VLOOKUP('prod-prodcat'!A68,'Item Database'!A:CC,76,FALSE)</f>
        <v>0</v>
      </c>
      <c r="D68" s="90">
        <f>VLOOKUP(C68,'brand-map'!A:B,2,FALSE)</f>
        <v>1193</v>
      </c>
      <c r="E68" s="89" t="s">
        <v>5327</v>
      </c>
    </row>
    <row r="69" spans="1:5">
      <c r="A69" s="41">
        <v>817678</v>
      </c>
      <c r="B69" s="89" t="str">
        <f>VLOOKUP(A69,'prod-mongo'!A:B,2,FALSE)</f>
        <v>595f813c935f6500211006f4</v>
      </c>
      <c r="C69" s="88">
        <f>VLOOKUP('prod-prodcat'!A69,'Item Database'!A:CC,76,FALSE)</f>
        <v>0</v>
      </c>
      <c r="D69" s="90">
        <f>VLOOKUP(C69,'brand-map'!A:B,2,FALSE)</f>
        <v>1193</v>
      </c>
      <c r="E69" s="89" t="s">
        <v>5327</v>
      </c>
    </row>
    <row r="70" spans="1:5">
      <c r="A70" s="41">
        <v>817675</v>
      </c>
      <c r="B70" s="89" t="str">
        <f>VLOOKUP(A70,'prod-mongo'!A:B,2,FALSE)</f>
        <v>595f813c935f6500211006f5</v>
      </c>
      <c r="C70" s="88">
        <f>VLOOKUP('prod-prodcat'!A70,'Item Database'!A:CC,76,FALSE)</f>
        <v>0</v>
      </c>
      <c r="D70" s="90">
        <f>VLOOKUP(C70,'brand-map'!A:B,2,FALSE)</f>
        <v>1193</v>
      </c>
      <c r="E70" s="89" t="s">
        <v>5327</v>
      </c>
    </row>
    <row r="71" spans="1:5">
      <c r="A71" s="41">
        <v>817677</v>
      </c>
      <c r="B71" s="89" t="str">
        <f>VLOOKUP(A71,'prod-mongo'!A:B,2,FALSE)</f>
        <v>595f813c935f6500211006f6</v>
      </c>
      <c r="C71" s="88">
        <f>VLOOKUP('prod-prodcat'!A71,'Item Database'!A:CC,76,FALSE)</f>
        <v>0</v>
      </c>
      <c r="D71" s="90">
        <f>VLOOKUP(C71,'brand-map'!A:B,2,FALSE)</f>
        <v>1193</v>
      </c>
      <c r="E71" s="89" t="s">
        <v>5327</v>
      </c>
    </row>
    <row r="72" spans="1:5">
      <c r="A72" s="41">
        <v>817674</v>
      </c>
      <c r="B72" s="89" t="str">
        <f>VLOOKUP(A72,'prod-mongo'!A:B,2,FALSE)</f>
        <v>595f813c935f6500211006f7</v>
      </c>
      <c r="C72" s="88">
        <f>VLOOKUP('prod-prodcat'!A72,'Item Database'!A:CC,76,FALSE)</f>
        <v>0</v>
      </c>
      <c r="D72" s="90">
        <f>VLOOKUP(C72,'brand-map'!A:B,2,FALSE)</f>
        <v>1193</v>
      </c>
      <c r="E72" s="89" t="s">
        <v>5327</v>
      </c>
    </row>
    <row r="73" spans="1:5">
      <c r="A73" s="41">
        <v>820861</v>
      </c>
      <c r="B73" s="89" t="str">
        <f>VLOOKUP(A73,'prod-mongo'!A:B,2,FALSE)</f>
        <v>595f813c935f6500211006f8</v>
      </c>
      <c r="C73" s="88">
        <f>VLOOKUP('prod-prodcat'!A73,'Item Database'!A:CC,76,FALSE)</f>
        <v>0</v>
      </c>
      <c r="D73" s="90">
        <f>VLOOKUP(C73,'brand-map'!A:B,2,FALSE)</f>
        <v>1193</v>
      </c>
      <c r="E73" s="89" t="s">
        <v>5327</v>
      </c>
    </row>
    <row r="74" spans="1:5">
      <c r="A74" s="41">
        <v>200606</v>
      </c>
      <c r="B74" s="89" t="str">
        <f>VLOOKUP(A74,'prod-mongo'!A:B,2,FALSE)</f>
        <v>595f813c935f6500211006f9</v>
      </c>
      <c r="C74" s="88">
        <f>VLOOKUP('prod-prodcat'!A74,'Item Database'!A:CC,76,FALSE)</f>
        <v>0</v>
      </c>
      <c r="D74" s="90">
        <f>VLOOKUP(C74,'brand-map'!A:B,2,FALSE)</f>
        <v>1193</v>
      </c>
      <c r="E74" s="89" t="s">
        <v>5327</v>
      </c>
    </row>
    <row r="75" spans="1:5">
      <c r="A75" s="41">
        <v>777580</v>
      </c>
      <c r="B75" s="89" t="str">
        <f>VLOOKUP(A75,'prod-mongo'!A:B,2,FALSE)</f>
        <v>595f813c935f6500211006fa</v>
      </c>
      <c r="C75" s="88">
        <f>VLOOKUP('prod-prodcat'!A75,'Item Database'!A:CC,76,FALSE)</f>
        <v>0</v>
      </c>
      <c r="D75" s="90">
        <f>VLOOKUP(C75,'brand-map'!A:B,2,FALSE)</f>
        <v>1193</v>
      </c>
      <c r="E75" s="89" t="s">
        <v>5327</v>
      </c>
    </row>
    <row r="76" spans="1:5">
      <c r="A76" s="41">
        <v>816945</v>
      </c>
      <c r="B76" s="89" t="str">
        <f>VLOOKUP(A76,'prod-mongo'!A:B,2,FALSE)</f>
        <v>595f813c935f6500211006fb</v>
      </c>
      <c r="C76" s="88">
        <f>VLOOKUP('prod-prodcat'!A76,'Item Database'!A:CC,76,FALSE)</f>
        <v>0</v>
      </c>
      <c r="D76" s="90">
        <f>VLOOKUP(C76,'brand-map'!A:B,2,FALSE)</f>
        <v>1193</v>
      </c>
      <c r="E76" s="89" t="s">
        <v>5327</v>
      </c>
    </row>
    <row r="77" spans="1:5">
      <c r="A77" s="41">
        <v>816946</v>
      </c>
      <c r="B77" s="89" t="str">
        <f>VLOOKUP(A77,'prod-mongo'!A:B,2,FALSE)</f>
        <v>595f813c935f6500211006fc</v>
      </c>
      <c r="C77" s="88">
        <f>VLOOKUP('prod-prodcat'!A77,'Item Database'!A:CC,76,FALSE)</f>
        <v>0</v>
      </c>
      <c r="D77" s="90">
        <f>VLOOKUP(C77,'brand-map'!A:B,2,FALSE)</f>
        <v>1193</v>
      </c>
      <c r="E77" s="89" t="s">
        <v>5327</v>
      </c>
    </row>
    <row r="78" spans="1:5">
      <c r="A78" s="41">
        <v>226869</v>
      </c>
      <c r="B78" s="89" t="str">
        <f>VLOOKUP(A78,'prod-mongo'!A:B,2,FALSE)</f>
        <v>595f813c935f6500211006fd</v>
      </c>
      <c r="C78" s="88">
        <f>VLOOKUP('prod-prodcat'!A78,'Item Database'!A:CC,76,FALSE)</f>
        <v>0</v>
      </c>
      <c r="D78" s="90">
        <f>VLOOKUP(C78,'brand-map'!A:B,2,FALSE)</f>
        <v>1193</v>
      </c>
      <c r="E78" s="89" t="s">
        <v>5327</v>
      </c>
    </row>
    <row r="79" spans="1:5">
      <c r="A79" s="41">
        <v>149524</v>
      </c>
      <c r="B79" s="89" t="str">
        <f>VLOOKUP(A79,'prod-mongo'!A:B,2,FALSE)</f>
        <v>595f813c935f6500211006fe</v>
      </c>
      <c r="C79" s="88">
        <f>VLOOKUP('prod-prodcat'!A79,'Item Database'!A:CC,76,FALSE)</f>
        <v>692</v>
      </c>
      <c r="D79" s="90">
        <f>VLOOKUP(C79,'brand-map'!A:B,2,FALSE)</f>
        <v>1823</v>
      </c>
      <c r="E79" s="89" t="s">
        <v>5327</v>
      </c>
    </row>
    <row r="80" spans="1:5">
      <c r="A80" s="41">
        <v>220247</v>
      </c>
      <c r="B80" s="89" t="str">
        <f>VLOOKUP(A80,'prod-mongo'!A:B,2,FALSE)</f>
        <v>595f813c935f6500211006ff</v>
      </c>
      <c r="C80" s="88">
        <f>VLOOKUP('prod-prodcat'!A80,'Item Database'!A:CC,76,FALSE)</f>
        <v>215</v>
      </c>
      <c r="D80" s="90">
        <f>VLOOKUP(C80,'brand-map'!A:B,2,FALSE)</f>
        <v>1386</v>
      </c>
      <c r="E80" s="89" t="s">
        <v>5327</v>
      </c>
    </row>
    <row r="81" spans="1:5">
      <c r="A81" s="41">
        <v>156414</v>
      </c>
      <c r="B81" s="89" t="str">
        <f>VLOOKUP(A81,'prod-mongo'!A:B,2,FALSE)</f>
        <v>595f813c935f650021100700</v>
      </c>
      <c r="C81" s="88">
        <f>VLOOKUP('prod-prodcat'!A81,'Item Database'!A:CC,76,FALSE)</f>
        <v>0</v>
      </c>
      <c r="D81" s="90">
        <f>VLOOKUP(C81,'brand-map'!A:B,2,FALSE)</f>
        <v>1193</v>
      </c>
      <c r="E81" s="89" t="s">
        <v>5327</v>
      </c>
    </row>
    <row r="82" spans="1:5">
      <c r="A82" s="41">
        <v>220635</v>
      </c>
      <c r="B82" s="89" t="str">
        <f>VLOOKUP(A82,'prod-mongo'!A:B,2,FALSE)</f>
        <v>595f813c935f650021100701</v>
      </c>
      <c r="C82" s="88">
        <f>VLOOKUP('prod-prodcat'!A82,'Item Database'!A:CC,76,FALSE)</f>
        <v>152</v>
      </c>
      <c r="D82" s="90">
        <f>VLOOKUP(C82,'brand-map'!A:B,2,FALSE)</f>
        <v>1329</v>
      </c>
      <c r="E82" s="89" t="s">
        <v>5327</v>
      </c>
    </row>
    <row r="83" spans="1:5">
      <c r="A83" s="41">
        <v>133007</v>
      </c>
      <c r="B83" s="89" t="str">
        <f>VLOOKUP(A83,'prod-mongo'!A:B,2,FALSE)</f>
        <v>595f813c935f650021100702</v>
      </c>
      <c r="C83" s="88">
        <f>VLOOKUP('prod-prodcat'!A83,'Item Database'!A:CC,76,FALSE)</f>
        <v>427</v>
      </c>
      <c r="D83" s="90">
        <f>VLOOKUP(C83,'brand-map'!A:B,2,FALSE)</f>
        <v>1581</v>
      </c>
      <c r="E83" s="89" t="s">
        <v>5327</v>
      </c>
    </row>
    <row r="84" spans="1:5">
      <c r="A84" s="41">
        <v>151931</v>
      </c>
      <c r="B84" s="89" t="str">
        <f>VLOOKUP(A84,'prod-mongo'!A:B,2,FALSE)</f>
        <v>595f813c935f650021100703</v>
      </c>
      <c r="C84" s="88">
        <f>VLOOKUP('prod-prodcat'!A84,'Item Database'!A:CC,76,FALSE)</f>
        <v>160</v>
      </c>
      <c r="D84" s="90">
        <f>VLOOKUP(C84,'brand-map'!A:B,2,FALSE)</f>
        <v>1335</v>
      </c>
      <c r="E84" s="89" t="s">
        <v>5327</v>
      </c>
    </row>
    <row r="85" spans="1:5">
      <c r="A85" s="41">
        <v>222436</v>
      </c>
      <c r="B85" s="89" t="str">
        <f>VLOOKUP(A85,'prod-mongo'!A:B,2,FALSE)</f>
        <v>595f813c935f650021100704</v>
      </c>
      <c r="C85" s="88">
        <f>VLOOKUP('prod-prodcat'!A85,'Item Database'!A:CC,76,FALSE)</f>
        <v>716</v>
      </c>
      <c r="D85" s="90">
        <f>VLOOKUP(C85,'brand-map'!A:B,2,FALSE)</f>
        <v>1846</v>
      </c>
      <c r="E85" s="89" t="s">
        <v>5327</v>
      </c>
    </row>
    <row r="86" spans="1:5">
      <c r="A86" s="41">
        <v>167430</v>
      </c>
      <c r="B86" s="89" t="str">
        <f>VLOOKUP(A86,'prod-mongo'!A:B,2,FALSE)</f>
        <v>595f813c935f650021100705</v>
      </c>
      <c r="C86" s="88">
        <f>VLOOKUP('prod-prodcat'!A86,'Item Database'!A:CC,76,FALSE)</f>
        <v>744</v>
      </c>
      <c r="D86" s="90">
        <f>VLOOKUP(C86,'brand-map'!A:B,2,FALSE)</f>
        <v>1874</v>
      </c>
      <c r="E86" s="89" t="s">
        <v>5327</v>
      </c>
    </row>
    <row r="87" spans="1:5">
      <c r="A87" s="41">
        <v>173978</v>
      </c>
      <c r="B87" s="89" t="str">
        <f>VLOOKUP(A87,'prod-mongo'!A:B,2,FALSE)</f>
        <v>595f813c935f650021100706</v>
      </c>
      <c r="C87" s="88">
        <f>VLOOKUP('prod-prodcat'!A87,'Item Database'!A:CC,76,FALSE)</f>
        <v>716</v>
      </c>
      <c r="D87" s="90">
        <f>VLOOKUP(C87,'brand-map'!A:B,2,FALSE)</f>
        <v>1846</v>
      </c>
      <c r="E87" s="89" t="s">
        <v>5327</v>
      </c>
    </row>
    <row r="88" spans="1:5">
      <c r="A88" s="41">
        <v>333715</v>
      </c>
      <c r="B88" s="89" t="str">
        <f>VLOOKUP(A88,'prod-mongo'!A:B,2,FALSE)</f>
        <v>595f813c935f650021100707</v>
      </c>
      <c r="C88" s="88">
        <f>VLOOKUP('prod-prodcat'!A88,'Item Database'!A:CC,76,FALSE)</f>
        <v>260</v>
      </c>
      <c r="D88" s="90">
        <f>VLOOKUP(C88,'brand-map'!A:B,2,FALSE)</f>
        <v>1427</v>
      </c>
      <c r="E88" s="89" t="s">
        <v>5327</v>
      </c>
    </row>
    <row r="89" spans="1:5">
      <c r="A89" s="41">
        <v>817722</v>
      </c>
      <c r="B89" s="89" t="str">
        <f>VLOOKUP(A89,'prod-mongo'!A:B,2,FALSE)</f>
        <v>595f813c935f650021100708</v>
      </c>
      <c r="C89" s="88">
        <f>VLOOKUP('prod-prodcat'!A89,'Item Database'!A:CC,76,FALSE)</f>
        <v>744</v>
      </c>
      <c r="D89" s="90">
        <f>VLOOKUP(C89,'brand-map'!A:B,2,FALSE)</f>
        <v>1874</v>
      </c>
      <c r="E89" s="89" t="s">
        <v>5327</v>
      </c>
    </row>
    <row r="90" spans="1:5">
      <c r="A90" s="41">
        <v>149949</v>
      </c>
      <c r="B90" s="89" t="str">
        <f>VLOOKUP(A90,'prod-mongo'!A:B,2,FALSE)</f>
        <v>595f813c935f650021100709</v>
      </c>
      <c r="C90" s="88">
        <f>VLOOKUP('prod-prodcat'!A90,'Item Database'!A:CC,76,FALSE)</f>
        <v>716</v>
      </c>
      <c r="D90" s="90">
        <f>VLOOKUP(C90,'brand-map'!A:B,2,FALSE)</f>
        <v>1846</v>
      </c>
      <c r="E90" s="89" t="s">
        <v>5327</v>
      </c>
    </row>
    <row r="91" spans="1:5">
      <c r="A91" s="41">
        <v>802119</v>
      </c>
      <c r="B91" s="89" t="str">
        <f>VLOOKUP(A91,'prod-mongo'!A:B,2,FALSE)</f>
        <v>595f813c935f65002110070a</v>
      </c>
      <c r="C91" s="88">
        <f>VLOOKUP('prod-prodcat'!A91,'Item Database'!A:CC,76,FALSE)</f>
        <v>505</v>
      </c>
      <c r="D91" s="90">
        <f>VLOOKUP(C91,'brand-map'!A:B,2,FALSE)</f>
        <v>1652</v>
      </c>
      <c r="E91" s="89" t="s">
        <v>5327</v>
      </c>
    </row>
    <row r="92" spans="1:5">
      <c r="A92" s="41">
        <v>193888</v>
      </c>
      <c r="B92" s="89" t="str">
        <f>VLOOKUP(A92,'prod-mongo'!A:B,2,FALSE)</f>
        <v>595f813c935f65002110070b</v>
      </c>
      <c r="C92" s="88">
        <f>VLOOKUP('prod-prodcat'!A92,'Item Database'!A:CC,76,FALSE)</f>
        <v>744</v>
      </c>
      <c r="D92" s="90">
        <f>VLOOKUP(C92,'brand-map'!A:B,2,FALSE)</f>
        <v>1874</v>
      </c>
      <c r="E92" s="89" t="s">
        <v>5327</v>
      </c>
    </row>
    <row r="93" spans="1:5">
      <c r="A93" s="41">
        <v>212649</v>
      </c>
      <c r="B93" s="89" t="str">
        <f>VLOOKUP(A93,'prod-mongo'!A:B,2,FALSE)</f>
        <v>595f813c935f65002110070c</v>
      </c>
      <c r="C93" s="88">
        <f>VLOOKUP('prod-prodcat'!A93,'Item Database'!A:CC,76,FALSE)</f>
        <v>160</v>
      </c>
      <c r="D93" s="90">
        <f>VLOOKUP(C93,'brand-map'!A:B,2,FALSE)</f>
        <v>1335</v>
      </c>
      <c r="E93" s="89" t="s">
        <v>5327</v>
      </c>
    </row>
    <row r="94" spans="1:5">
      <c r="A94" s="41">
        <v>220274</v>
      </c>
      <c r="B94" s="89" t="str">
        <f>VLOOKUP(A94,'prod-mongo'!A:B,2,FALSE)</f>
        <v>595f813c935f65002110070d</v>
      </c>
      <c r="C94" s="88">
        <f>VLOOKUP('prod-prodcat'!A94,'Item Database'!A:CC,76,FALSE)</f>
        <v>744</v>
      </c>
      <c r="D94" s="90">
        <f>VLOOKUP(C94,'brand-map'!A:B,2,FALSE)</f>
        <v>1874</v>
      </c>
      <c r="E94" s="89" t="s">
        <v>5327</v>
      </c>
    </row>
    <row r="95" spans="1:5">
      <c r="A95" s="41">
        <v>128839</v>
      </c>
      <c r="B95" s="89" t="str">
        <f>VLOOKUP(A95,'prod-mongo'!A:B,2,FALSE)</f>
        <v>595f813c935f65002110070e</v>
      </c>
      <c r="C95" s="88">
        <f>VLOOKUP('prod-prodcat'!A95,'Item Database'!A:CC,76,FALSE)</f>
        <v>976</v>
      </c>
      <c r="D95" s="90">
        <f>VLOOKUP(C95,'brand-map'!A:B,2,FALSE)</f>
        <v>1988</v>
      </c>
      <c r="E95" s="89" t="s">
        <v>5327</v>
      </c>
    </row>
    <row r="96" spans="1:5">
      <c r="A96" s="41">
        <v>167668</v>
      </c>
      <c r="B96" s="89" t="str">
        <f>VLOOKUP(A96,'prod-mongo'!A:B,2,FALSE)</f>
        <v>595f813c935f65002110070f</v>
      </c>
      <c r="C96" s="88">
        <f>VLOOKUP('prod-prodcat'!A96,'Item Database'!A:CC,76,FALSE)</f>
        <v>676</v>
      </c>
      <c r="D96" s="90">
        <f>VLOOKUP(C96,'brand-map'!A:B,2,FALSE)</f>
        <v>1807</v>
      </c>
      <c r="E96" s="89" t="s">
        <v>5327</v>
      </c>
    </row>
    <row r="97" spans="1:5">
      <c r="A97" s="41">
        <v>145360</v>
      </c>
      <c r="B97" s="89" t="str">
        <f>VLOOKUP(A97,'prod-mongo'!A:B,2,FALSE)</f>
        <v>595f813c935f650021100710</v>
      </c>
      <c r="C97" s="88">
        <f>VLOOKUP('prod-prodcat'!A97,'Item Database'!A:CC,76,FALSE)</f>
        <v>160</v>
      </c>
      <c r="D97" s="90">
        <f>VLOOKUP(C97,'brand-map'!A:B,2,FALSE)</f>
        <v>1335</v>
      </c>
      <c r="E97" s="89" t="s">
        <v>5327</v>
      </c>
    </row>
    <row r="98" spans="1:5">
      <c r="A98" s="41">
        <v>72943</v>
      </c>
      <c r="B98" s="89" t="str">
        <f>VLOOKUP(A98,'prod-mongo'!A:B,2,FALSE)</f>
        <v>595f813c935f650021100711</v>
      </c>
      <c r="C98" s="88">
        <f>VLOOKUP('prod-prodcat'!A98,'Item Database'!A:CC,76,FALSE)</f>
        <v>64</v>
      </c>
      <c r="D98" s="90">
        <f>VLOOKUP(C98,'brand-map'!A:B,2,FALSE)</f>
        <v>1249</v>
      </c>
      <c r="E98" s="89" t="s">
        <v>5327</v>
      </c>
    </row>
    <row r="99" spans="1:5">
      <c r="A99" s="41">
        <v>199804</v>
      </c>
      <c r="B99" s="89" t="str">
        <f>VLOOKUP(A99,'prod-mongo'!A:B,2,FALSE)</f>
        <v>595f813c935f650021100712</v>
      </c>
      <c r="C99" s="88">
        <f>VLOOKUP('prod-prodcat'!A99,'Item Database'!A:CC,76,FALSE)</f>
        <v>64</v>
      </c>
      <c r="D99" s="90">
        <f>VLOOKUP(C99,'brand-map'!A:B,2,FALSE)</f>
        <v>1249</v>
      </c>
      <c r="E99" s="89" t="s">
        <v>5327</v>
      </c>
    </row>
    <row r="100" spans="1:5">
      <c r="A100" s="41">
        <v>818994</v>
      </c>
      <c r="B100" s="89" t="str">
        <f>VLOOKUP(A100,'prod-mongo'!A:B,2,FALSE)</f>
        <v>595f813c935f650021100713</v>
      </c>
      <c r="C100" s="88">
        <f>VLOOKUP('prod-prodcat'!A100,'Item Database'!A:CC,76,FALSE)</f>
        <v>138</v>
      </c>
      <c r="D100" s="90">
        <f>VLOOKUP(C100,'brand-map'!A:B,2,FALSE)</f>
        <v>1315</v>
      </c>
      <c r="E100" s="89" t="s">
        <v>5327</v>
      </c>
    </row>
    <row r="101" spans="1:5">
      <c r="A101" s="41">
        <v>110626</v>
      </c>
      <c r="B101" s="89" t="str">
        <f>VLOOKUP(A101,'prod-mongo'!A:B,2,FALSE)</f>
        <v>595f813c935f650021100714</v>
      </c>
      <c r="C101" s="88">
        <f>VLOOKUP('prod-prodcat'!A101,'Item Database'!A:CC,76,FALSE)</f>
        <v>741</v>
      </c>
      <c r="D101" s="90">
        <f>VLOOKUP(C101,'brand-map'!A:B,2,FALSE)</f>
        <v>1871</v>
      </c>
      <c r="E101" s="89" t="s">
        <v>5327</v>
      </c>
    </row>
    <row r="102" spans="1:5">
      <c r="A102" s="41">
        <v>104878</v>
      </c>
      <c r="B102" s="89" t="str">
        <f>VLOOKUP(A102,'prod-mongo'!A:B,2,FALSE)</f>
        <v>595f813c935f650021100715</v>
      </c>
      <c r="C102" s="88">
        <f>VLOOKUP('prod-prodcat'!A102,'Item Database'!A:CC,76,FALSE)</f>
        <v>138</v>
      </c>
      <c r="D102" s="90">
        <f>VLOOKUP(C102,'brand-map'!A:B,2,FALSE)</f>
        <v>1315</v>
      </c>
      <c r="E102" s="89" t="s">
        <v>5327</v>
      </c>
    </row>
    <row r="103" spans="1:5">
      <c r="A103" s="41">
        <v>810275</v>
      </c>
      <c r="B103" s="89" t="str">
        <f>VLOOKUP(A103,'prod-mongo'!A:B,2,FALSE)</f>
        <v>595f813c935f650021100716</v>
      </c>
      <c r="C103" s="88">
        <f>VLOOKUP('prod-prodcat'!A103,'Item Database'!A:CC,76,FALSE)</f>
        <v>911</v>
      </c>
      <c r="D103" s="90">
        <f>VLOOKUP(C103,'brand-map'!A:B,2,FALSE)</f>
        <v>1933</v>
      </c>
      <c r="E103" s="89" t="s">
        <v>5327</v>
      </c>
    </row>
    <row r="104" spans="1:5">
      <c r="A104" s="41">
        <v>131990</v>
      </c>
      <c r="B104" s="89" t="str">
        <f>VLOOKUP(A104,'prod-mongo'!A:B,2,FALSE)</f>
        <v>595f813c935f650021100717</v>
      </c>
      <c r="C104" s="88">
        <f>VLOOKUP('prod-prodcat'!A104,'Item Database'!A:CC,76,FALSE)</f>
        <v>910</v>
      </c>
      <c r="D104" s="90">
        <f>VLOOKUP(C104,'brand-map'!A:B,2,FALSE)</f>
        <v>1932</v>
      </c>
      <c r="E104" s="89" t="s">
        <v>5327</v>
      </c>
    </row>
    <row r="105" spans="1:5">
      <c r="A105" s="41">
        <v>185636</v>
      </c>
      <c r="B105" s="89" t="str">
        <f>VLOOKUP(A105,'prod-mongo'!A:B,2,FALSE)</f>
        <v>595f813c935f650021100718</v>
      </c>
      <c r="C105" s="88">
        <f>VLOOKUP('prod-prodcat'!A105,'Item Database'!A:CC,76,FALSE)</f>
        <v>911</v>
      </c>
      <c r="D105" s="90">
        <f>VLOOKUP(C105,'brand-map'!A:B,2,FALSE)</f>
        <v>1933</v>
      </c>
      <c r="E105" s="89" t="s">
        <v>5327</v>
      </c>
    </row>
    <row r="106" spans="1:5">
      <c r="A106" s="41">
        <v>137283</v>
      </c>
      <c r="B106" s="89" t="str">
        <f>VLOOKUP(A106,'prod-mongo'!A:B,2,FALSE)</f>
        <v>595f813c935f650021100719</v>
      </c>
      <c r="C106" s="88">
        <f>VLOOKUP('prod-prodcat'!A106,'Item Database'!A:CC,76,FALSE)</f>
        <v>911</v>
      </c>
      <c r="D106" s="90">
        <f>VLOOKUP(C106,'brand-map'!A:B,2,FALSE)</f>
        <v>1933</v>
      </c>
      <c r="E106" s="89" t="s">
        <v>5327</v>
      </c>
    </row>
    <row r="107" spans="1:5">
      <c r="A107" s="41">
        <v>170547</v>
      </c>
      <c r="B107" s="89" t="str">
        <f>VLOOKUP(A107,'prod-mongo'!A:B,2,FALSE)</f>
        <v>595f813c935f65002110071a</v>
      </c>
      <c r="C107" s="88">
        <f>VLOOKUP('prod-prodcat'!A107,'Item Database'!A:CC,76,FALSE)</f>
        <v>462</v>
      </c>
      <c r="D107" s="90">
        <f>VLOOKUP(C107,'brand-map'!A:B,2,FALSE)</f>
        <v>1615</v>
      </c>
      <c r="E107" s="89" t="s">
        <v>5327</v>
      </c>
    </row>
    <row r="108" spans="1:5">
      <c r="A108" s="41">
        <v>217512</v>
      </c>
      <c r="B108" s="89" t="str">
        <f>VLOOKUP(A108,'prod-mongo'!A:B,2,FALSE)</f>
        <v>595f813c935f65002110071b</v>
      </c>
      <c r="C108" s="88">
        <f>VLOOKUP('prod-prodcat'!A108,'Item Database'!A:CC,76,FALSE)</f>
        <v>462</v>
      </c>
      <c r="D108" s="90">
        <f>VLOOKUP(C108,'brand-map'!A:B,2,FALSE)</f>
        <v>1615</v>
      </c>
      <c r="E108" s="89" t="s">
        <v>5327</v>
      </c>
    </row>
    <row r="109" spans="1:5">
      <c r="A109" s="41">
        <v>222644</v>
      </c>
      <c r="B109" s="89" t="str">
        <f>VLOOKUP(A109,'prod-mongo'!A:B,2,FALSE)</f>
        <v>595f813c935f65002110071c</v>
      </c>
      <c r="C109" s="88">
        <f>VLOOKUP('prod-prodcat'!A109,'Item Database'!A:CC,76,FALSE)</f>
        <v>415</v>
      </c>
      <c r="D109" s="90">
        <f>VLOOKUP(C109,'brand-map'!A:B,2,FALSE)</f>
        <v>1569</v>
      </c>
      <c r="E109" s="89" t="s">
        <v>5327</v>
      </c>
    </row>
    <row r="110" spans="1:5">
      <c r="A110" s="41">
        <v>126776</v>
      </c>
      <c r="B110" s="89" t="str">
        <f>VLOOKUP(A110,'prod-mongo'!A:B,2,FALSE)</f>
        <v>595f813c935f65002110071d</v>
      </c>
      <c r="C110" s="88">
        <f>VLOOKUP('prod-prodcat'!A110,'Item Database'!A:CC,76,FALSE)</f>
        <v>138</v>
      </c>
      <c r="D110" s="90">
        <f>VLOOKUP(C110,'brand-map'!A:B,2,FALSE)</f>
        <v>1315</v>
      </c>
      <c r="E110" s="89" t="s">
        <v>5327</v>
      </c>
    </row>
    <row r="111" spans="1:5">
      <c r="A111" s="41">
        <v>806600</v>
      </c>
      <c r="B111" s="89" t="str">
        <f>VLOOKUP(A111,'prod-mongo'!A:B,2,FALSE)</f>
        <v>595f813c935f65002110071e</v>
      </c>
      <c r="C111" s="88">
        <f>VLOOKUP('prod-prodcat'!A111,'Item Database'!A:CC,76,FALSE)</f>
        <v>160</v>
      </c>
      <c r="D111" s="90">
        <f>VLOOKUP(C111,'brand-map'!A:B,2,FALSE)</f>
        <v>1335</v>
      </c>
      <c r="E111" s="89" t="s">
        <v>5327</v>
      </c>
    </row>
    <row r="112" spans="1:5">
      <c r="A112" s="41">
        <v>811737</v>
      </c>
      <c r="B112" s="89" t="str">
        <f>VLOOKUP(A112,'prod-mongo'!A:B,2,FALSE)</f>
        <v>595f813c935f65002110071f</v>
      </c>
      <c r="C112" s="88">
        <f>VLOOKUP('prod-prodcat'!A112,'Item Database'!A:CC,76,FALSE)</f>
        <v>644</v>
      </c>
      <c r="D112" s="90">
        <f>VLOOKUP(C112,'brand-map'!A:B,2,FALSE)</f>
        <v>1780</v>
      </c>
      <c r="E112" s="89" t="s">
        <v>5327</v>
      </c>
    </row>
    <row r="113" spans="1:5">
      <c r="A113" s="41">
        <v>806593</v>
      </c>
      <c r="B113" s="89" t="str">
        <f>VLOOKUP(A113,'prod-mongo'!A:B,2,FALSE)</f>
        <v>595f813c935f650021100720</v>
      </c>
      <c r="C113" s="88">
        <f>VLOOKUP('prod-prodcat'!A113,'Item Database'!A:CC,76,FALSE)</f>
        <v>462</v>
      </c>
      <c r="D113" s="90">
        <f>VLOOKUP(C113,'brand-map'!A:B,2,FALSE)</f>
        <v>1615</v>
      </c>
      <c r="E113" s="89" t="s">
        <v>5327</v>
      </c>
    </row>
    <row r="114" spans="1:5">
      <c r="A114" s="41">
        <v>820067</v>
      </c>
      <c r="B114" s="89" t="str">
        <f>VLOOKUP(A114,'prod-mongo'!A:B,2,FALSE)</f>
        <v>595f813c935f650021100721</v>
      </c>
      <c r="C114" s="88">
        <f>VLOOKUP('prod-prodcat'!A114,'Item Database'!A:CC,76,FALSE)</f>
        <v>462</v>
      </c>
      <c r="D114" s="90">
        <f>VLOOKUP(C114,'brand-map'!A:B,2,FALSE)</f>
        <v>1615</v>
      </c>
      <c r="E114" s="89" t="s">
        <v>5327</v>
      </c>
    </row>
    <row r="115" spans="1:5">
      <c r="A115" s="41">
        <v>226164</v>
      </c>
      <c r="B115" s="89" t="str">
        <f>VLOOKUP(A115,'prod-mongo'!A:B,2,FALSE)</f>
        <v>595f813c935f650021100722</v>
      </c>
      <c r="C115" s="88">
        <f>VLOOKUP('prod-prodcat'!A115,'Item Database'!A:CC,76,FALSE)</f>
        <v>138</v>
      </c>
      <c r="D115" s="90">
        <f>VLOOKUP(C115,'brand-map'!A:B,2,FALSE)</f>
        <v>1315</v>
      </c>
      <c r="E115" s="89" t="s">
        <v>5327</v>
      </c>
    </row>
    <row r="116" spans="1:5">
      <c r="A116" s="41">
        <v>818363</v>
      </c>
      <c r="B116" s="89" t="str">
        <f>VLOOKUP(A116,'prod-mongo'!A:B,2,FALSE)</f>
        <v>595f813c935f650021100723</v>
      </c>
      <c r="C116" s="88">
        <f>VLOOKUP('prod-prodcat'!A116,'Item Database'!A:CC,76,FALSE)</f>
        <v>716</v>
      </c>
      <c r="D116" s="90">
        <f>VLOOKUP(C116,'brand-map'!A:B,2,FALSE)</f>
        <v>1846</v>
      </c>
      <c r="E116" s="89" t="s">
        <v>5327</v>
      </c>
    </row>
    <row r="117" spans="1:5">
      <c r="A117" s="41">
        <v>806596</v>
      </c>
      <c r="B117" s="89" t="str">
        <f>VLOOKUP(A117,'prod-mongo'!A:B,2,FALSE)</f>
        <v>595f813c935f650021100724</v>
      </c>
      <c r="C117" s="88">
        <f>VLOOKUP('prod-prodcat'!A117,'Item Database'!A:CC,76,FALSE)</f>
        <v>462</v>
      </c>
      <c r="D117" s="90">
        <f>VLOOKUP(C117,'brand-map'!A:B,2,FALSE)</f>
        <v>1615</v>
      </c>
      <c r="E117" s="89" t="s">
        <v>5327</v>
      </c>
    </row>
    <row r="118" spans="1:5">
      <c r="A118" s="41">
        <v>183082</v>
      </c>
      <c r="B118" s="89" t="str">
        <f>VLOOKUP(A118,'prod-mongo'!A:B,2,FALSE)</f>
        <v>595f813c935f650021100725</v>
      </c>
      <c r="C118" s="88">
        <f>VLOOKUP('prod-prodcat'!A118,'Item Database'!A:CC,76,FALSE)</f>
        <v>321</v>
      </c>
      <c r="D118" s="90">
        <f>VLOOKUP(C118,'brand-map'!A:B,2,FALSE)</f>
        <v>1485</v>
      </c>
      <c r="E118" s="89" t="s">
        <v>5327</v>
      </c>
    </row>
    <row r="119" spans="1:5">
      <c r="A119" s="41">
        <v>887705</v>
      </c>
      <c r="B119" s="89" t="str">
        <f>VLOOKUP(A119,'prod-mongo'!A:B,2,FALSE)</f>
        <v>59141fffb21a1d00824f5ee3</v>
      </c>
      <c r="C119" s="88">
        <f>VLOOKUP('prod-prodcat'!A119,'Item Database'!A:CC,76,FALSE)</f>
        <v>329</v>
      </c>
      <c r="D119" s="90">
        <f>VLOOKUP(C119,'brand-map'!A:B,2,FALSE)</f>
        <v>1491</v>
      </c>
      <c r="E119" s="89" t="s">
        <v>5327</v>
      </c>
    </row>
    <row r="120" spans="1:5">
      <c r="A120" s="41">
        <v>800643</v>
      </c>
      <c r="B120" s="89" t="str">
        <f>VLOOKUP(A120,'prod-mongo'!A:B,2,FALSE)</f>
        <v>5914201ab21a1d00824f6413</v>
      </c>
      <c r="C120" s="88">
        <f>VLOOKUP('prod-prodcat'!A120,'Item Database'!A:CC,76,FALSE)</f>
        <v>329</v>
      </c>
      <c r="D120" s="90">
        <f>VLOOKUP(C120,'brand-map'!A:B,2,FALSE)</f>
        <v>1491</v>
      </c>
      <c r="E120" s="89" t="s">
        <v>5327</v>
      </c>
    </row>
    <row r="121" spans="1:5">
      <c r="A121" s="41">
        <v>887640</v>
      </c>
      <c r="B121" s="89" t="str">
        <f>VLOOKUP(A121,'prod-mongo'!A:B,2,FALSE)</f>
        <v>59141fd9b21a1d00824f55c7</v>
      </c>
      <c r="C121" s="88">
        <f>VLOOKUP('prod-prodcat'!A121,'Item Database'!A:CC,76,FALSE)</f>
        <v>329</v>
      </c>
      <c r="D121" s="90">
        <f>VLOOKUP(C121,'brand-map'!A:B,2,FALSE)</f>
        <v>1491</v>
      </c>
      <c r="E121" s="89" t="s">
        <v>5327</v>
      </c>
    </row>
    <row r="122" spans="1:5">
      <c r="A122" s="41">
        <v>200556</v>
      </c>
      <c r="B122" s="89" t="str">
        <f>VLOOKUP(A122,'prod-mongo'!A:B,2,FALSE)</f>
        <v>595f813c935f650021100726</v>
      </c>
      <c r="C122" s="88">
        <f>VLOOKUP('prod-prodcat'!A122,'Item Database'!A:CC,76,FALSE)</f>
        <v>692</v>
      </c>
      <c r="D122" s="90">
        <f>VLOOKUP(C122,'brand-map'!A:B,2,FALSE)</f>
        <v>1823</v>
      </c>
      <c r="E122" s="89" t="s">
        <v>5327</v>
      </c>
    </row>
    <row r="123" spans="1:5">
      <c r="A123" s="41">
        <v>210389</v>
      </c>
      <c r="B123" s="89" t="str">
        <f>VLOOKUP(A123,'prod-mongo'!A:B,2,FALSE)</f>
        <v>595f813c935f650021100727</v>
      </c>
      <c r="C123" s="88">
        <f>VLOOKUP('prod-prodcat'!A123,'Item Database'!A:CC,76,FALSE)</f>
        <v>692</v>
      </c>
      <c r="D123" s="90">
        <f>VLOOKUP(C123,'brand-map'!A:B,2,FALSE)</f>
        <v>1823</v>
      </c>
      <c r="E123" s="89" t="s">
        <v>5327</v>
      </c>
    </row>
    <row r="124" spans="1:5">
      <c r="A124" s="41">
        <v>200550</v>
      </c>
      <c r="B124" s="89" t="str">
        <f>VLOOKUP(A124,'prod-mongo'!A:B,2,FALSE)</f>
        <v>595f813c935f650021100728</v>
      </c>
      <c r="C124" s="88">
        <f>VLOOKUP('prod-prodcat'!A124,'Item Database'!A:CC,76,FALSE)</f>
        <v>692</v>
      </c>
      <c r="D124" s="90">
        <f>VLOOKUP(C124,'brand-map'!A:B,2,FALSE)</f>
        <v>1823</v>
      </c>
      <c r="E124" s="89" t="s">
        <v>5327</v>
      </c>
    </row>
    <row r="125" spans="1:5">
      <c r="A125" s="41">
        <v>235091</v>
      </c>
      <c r="B125" s="89" t="str">
        <f>VLOOKUP(A125,'prod-mongo'!A:B,2,FALSE)</f>
        <v>59142009b21a1d00824f60c1</v>
      </c>
      <c r="C125" s="88">
        <f>VLOOKUP('prod-prodcat'!A125,'Item Database'!A:CC,76,FALSE)</f>
        <v>692</v>
      </c>
      <c r="D125" s="90">
        <f>VLOOKUP(C125,'brand-map'!A:B,2,FALSE)</f>
        <v>1823</v>
      </c>
      <c r="E125" s="89" t="s">
        <v>5327</v>
      </c>
    </row>
    <row r="126" spans="1:5">
      <c r="A126" s="41">
        <v>159892</v>
      </c>
      <c r="B126" s="89" t="str">
        <f>VLOOKUP(A126,'prod-mongo'!A:B,2,FALSE)</f>
        <v>595f813c935f650021100729</v>
      </c>
      <c r="C126" s="88">
        <f>VLOOKUP('prod-prodcat'!A126,'Item Database'!A:CC,76,FALSE)</f>
        <v>633</v>
      </c>
      <c r="D126" s="90">
        <f>VLOOKUP(C126,'brand-map'!A:B,2,FALSE)</f>
        <v>1770</v>
      </c>
      <c r="E126" s="89" t="s">
        <v>5327</v>
      </c>
    </row>
    <row r="127" spans="1:5">
      <c r="A127" s="41">
        <v>200498</v>
      </c>
      <c r="B127" s="89" t="str">
        <f>VLOOKUP(A127,'prod-mongo'!A:B,2,FALSE)</f>
        <v>595f813d935f65002110072a</v>
      </c>
      <c r="C127" s="88">
        <f>VLOOKUP('prod-prodcat'!A127,'Item Database'!A:CC,76,FALSE)</f>
        <v>692</v>
      </c>
      <c r="D127" s="90">
        <f>VLOOKUP(C127,'brand-map'!A:B,2,FALSE)</f>
        <v>1823</v>
      </c>
      <c r="E127" s="89" t="s">
        <v>5327</v>
      </c>
    </row>
    <row r="128" spans="1:5">
      <c r="A128" s="41">
        <v>200553</v>
      </c>
      <c r="B128" s="89" t="str">
        <f>VLOOKUP(A128,'prod-mongo'!A:B,2,FALSE)</f>
        <v>595f813d935f65002110072b</v>
      </c>
      <c r="C128" s="88">
        <f>VLOOKUP('prod-prodcat'!A128,'Item Database'!A:CC,76,FALSE)</f>
        <v>692</v>
      </c>
      <c r="D128" s="90">
        <f>VLOOKUP(C128,'brand-map'!A:B,2,FALSE)</f>
        <v>1823</v>
      </c>
      <c r="E128" s="89" t="s">
        <v>5327</v>
      </c>
    </row>
    <row r="129" spans="1:5">
      <c r="A129" s="41">
        <v>210385</v>
      </c>
      <c r="B129" s="89" t="str">
        <f>VLOOKUP(A129,'prod-mongo'!A:B,2,FALSE)</f>
        <v>595f813d935f65002110072c</v>
      </c>
      <c r="C129" s="88">
        <f>VLOOKUP('prod-prodcat'!A129,'Item Database'!A:CC,76,FALSE)</f>
        <v>692</v>
      </c>
      <c r="D129" s="90">
        <f>VLOOKUP(C129,'brand-map'!A:B,2,FALSE)</f>
        <v>1823</v>
      </c>
      <c r="E129" s="89" t="s">
        <v>5327</v>
      </c>
    </row>
    <row r="130" spans="1:5">
      <c r="A130" s="41">
        <v>235056</v>
      </c>
      <c r="B130" s="89" t="str">
        <f>VLOOKUP(A130,'prod-mongo'!A:B,2,FALSE)</f>
        <v>5914200eb21a1d00824f61a3</v>
      </c>
      <c r="C130" s="88">
        <f>VLOOKUP('prod-prodcat'!A130,'Item Database'!A:CC,76,FALSE)</f>
        <v>692</v>
      </c>
      <c r="D130" s="90">
        <f>VLOOKUP(C130,'brand-map'!A:B,2,FALSE)</f>
        <v>1823</v>
      </c>
      <c r="E130" s="89" t="s">
        <v>5327</v>
      </c>
    </row>
    <row r="131" spans="1:5">
      <c r="A131" s="41">
        <v>141176</v>
      </c>
      <c r="B131" s="89" t="str">
        <f>VLOOKUP(A131,'prod-mongo'!A:B,2,FALSE)</f>
        <v>59142002b21a1d00824f5f88</v>
      </c>
      <c r="C131" s="88">
        <f>VLOOKUP('prod-prodcat'!A131,'Item Database'!A:CC,76,FALSE)</f>
        <v>1069</v>
      </c>
      <c r="D131" s="90">
        <f>VLOOKUP(C131,'brand-map'!A:B,2,FALSE)</f>
        <v>2076</v>
      </c>
      <c r="E131" s="89" t="s">
        <v>5327</v>
      </c>
    </row>
    <row r="132" spans="1:5">
      <c r="A132" s="41">
        <v>811815</v>
      </c>
      <c r="B132" s="89" t="str">
        <f>VLOOKUP(A132,'prod-mongo'!A:B,2,FALSE)</f>
        <v>595f813d935f65002110072d</v>
      </c>
      <c r="C132" s="88">
        <f>VLOOKUP('prod-prodcat'!A132,'Item Database'!A:CC,76,FALSE)</f>
        <v>164</v>
      </c>
      <c r="D132" s="90">
        <f>VLOOKUP(C132,'brand-map'!A:B,2,FALSE)</f>
        <v>1337</v>
      </c>
      <c r="E132" s="89" t="s">
        <v>5327</v>
      </c>
    </row>
    <row r="133" spans="1:5">
      <c r="A133" s="41">
        <v>887627</v>
      </c>
      <c r="B133" s="89" t="str">
        <f>VLOOKUP(A133,'prod-mongo'!A:B,2,FALSE)</f>
        <v>59142009b21a1d00824f60d6</v>
      </c>
      <c r="C133" s="88">
        <f>VLOOKUP('prod-prodcat'!A133,'Item Database'!A:CC,76,FALSE)</f>
        <v>1076</v>
      </c>
      <c r="D133" s="90">
        <f>VLOOKUP(C133,'brand-map'!A:B,2,FALSE)</f>
        <v>2083</v>
      </c>
      <c r="E133" s="89" t="s">
        <v>5327</v>
      </c>
    </row>
    <row r="134" spans="1:5">
      <c r="A134" s="41">
        <v>198281</v>
      </c>
      <c r="B134" s="89" t="str">
        <f>VLOOKUP(A134,'prod-mongo'!A:B,2,FALSE)</f>
        <v>595f813d935f65002110072e</v>
      </c>
      <c r="C134" s="88">
        <f>VLOOKUP('prod-prodcat'!A134,'Item Database'!A:CC,76,FALSE)</f>
        <v>1076</v>
      </c>
      <c r="D134" s="90">
        <f>VLOOKUP(C134,'brand-map'!A:B,2,FALSE)</f>
        <v>2083</v>
      </c>
      <c r="E134" s="89" t="s">
        <v>5327</v>
      </c>
    </row>
    <row r="135" spans="1:5">
      <c r="A135" s="41">
        <v>207547</v>
      </c>
      <c r="B135" s="89" t="str">
        <f>VLOOKUP(A135,'prod-mongo'!A:B,2,FALSE)</f>
        <v>595f813d935f65002110072f</v>
      </c>
      <c r="C135" s="88">
        <f>VLOOKUP('prod-prodcat'!A135,'Item Database'!A:CC,76,FALSE)</f>
        <v>1076</v>
      </c>
      <c r="D135" s="90">
        <f>VLOOKUP(C135,'brand-map'!A:B,2,FALSE)</f>
        <v>2083</v>
      </c>
      <c r="E135" s="89" t="s">
        <v>5327</v>
      </c>
    </row>
    <row r="136" spans="1:5">
      <c r="A136" s="41">
        <v>418587</v>
      </c>
      <c r="B136" s="89" t="str">
        <f>VLOOKUP(A136,'prod-mongo'!A:B,2,FALSE)</f>
        <v>595f813d935f650021100730</v>
      </c>
      <c r="C136" s="88">
        <f>VLOOKUP('prod-prodcat'!A136,'Item Database'!A:CC,76,FALSE)</f>
        <v>1107</v>
      </c>
      <c r="D136" s="90">
        <f>VLOOKUP(C136,'brand-map'!A:B,2,FALSE)</f>
        <v>2113</v>
      </c>
      <c r="E136" s="89" t="s">
        <v>5327</v>
      </c>
    </row>
    <row r="137" spans="1:5">
      <c r="A137" s="41">
        <v>418613</v>
      </c>
      <c r="B137" s="89" t="str">
        <f>VLOOKUP(A137,'prod-mongo'!A:B,2,FALSE)</f>
        <v>595f813d935f650021100731</v>
      </c>
      <c r="C137" s="88">
        <f>VLOOKUP('prod-prodcat'!A137,'Item Database'!A:CC,76,FALSE)</f>
        <v>1107</v>
      </c>
      <c r="D137" s="90">
        <f>VLOOKUP(C137,'brand-map'!A:B,2,FALSE)</f>
        <v>2113</v>
      </c>
      <c r="E137" s="89" t="s">
        <v>5327</v>
      </c>
    </row>
    <row r="138" spans="1:5">
      <c r="A138" s="41">
        <v>449072</v>
      </c>
      <c r="B138" s="89" t="str">
        <f>VLOOKUP(A138,'prod-mongo'!A:B,2,FALSE)</f>
        <v>595f813d935f650021100732</v>
      </c>
      <c r="C138" s="88">
        <f>VLOOKUP('prod-prodcat'!A138,'Item Database'!A:CC,76,FALSE)</f>
        <v>1107</v>
      </c>
      <c r="D138" s="90">
        <f>VLOOKUP(C138,'brand-map'!A:B,2,FALSE)</f>
        <v>2113</v>
      </c>
      <c r="E138" s="89" t="s">
        <v>5327</v>
      </c>
    </row>
    <row r="139" spans="1:5">
      <c r="A139" s="41">
        <v>151450</v>
      </c>
      <c r="B139" s="89" t="str">
        <f>VLOOKUP(A139,'prod-mongo'!A:B,2,FALSE)</f>
        <v>595f813d935f650021100733</v>
      </c>
      <c r="C139" s="88">
        <f>VLOOKUP('prod-prodcat'!A139,'Item Database'!A:CC,76,FALSE)</f>
        <v>692</v>
      </c>
      <c r="D139" s="90">
        <f>VLOOKUP(C139,'brand-map'!A:B,2,FALSE)</f>
        <v>1823</v>
      </c>
      <c r="E139" s="89" t="s">
        <v>5327</v>
      </c>
    </row>
    <row r="140" spans="1:5">
      <c r="A140" s="41">
        <v>112895</v>
      </c>
      <c r="B140" s="89" t="str">
        <f>VLOOKUP(A140,'prod-mongo'!A:B,2,FALSE)</f>
        <v>595f813d935f650021100734</v>
      </c>
      <c r="C140" s="88">
        <f>VLOOKUP('prod-prodcat'!A140,'Item Database'!A:CC,76,FALSE)</f>
        <v>974</v>
      </c>
      <c r="D140" s="90">
        <f>VLOOKUP(C140,'brand-map'!A:B,2,FALSE)</f>
        <v>1986</v>
      </c>
      <c r="E140" s="89" t="s">
        <v>5327</v>
      </c>
    </row>
    <row r="141" spans="1:5">
      <c r="A141" s="41">
        <v>123822</v>
      </c>
      <c r="B141" s="89" t="str">
        <f>VLOOKUP(A141,'prod-mongo'!A:B,2,FALSE)</f>
        <v>595f813d935f650021100735</v>
      </c>
      <c r="C141" s="88">
        <f>VLOOKUP('prod-prodcat'!A141,'Item Database'!A:CC,76,FALSE)</f>
        <v>974</v>
      </c>
      <c r="D141" s="90">
        <f>VLOOKUP(C141,'brand-map'!A:B,2,FALSE)</f>
        <v>1986</v>
      </c>
      <c r="E141" s="89" t="s">
        <v>5327</v>
      </c>
    </row>
    <row r="142" spans="1:5">
      <c r="A142" s="41">
        <v>191371</v>
      </c>
      <c r="B142" s="89" t="str">
        <f>VLOOKUP(A142,'prod-mongo'!A:B,2,FALSE)</f>
        <v>595f813d935f650021100736</v>
      </c>
      <c r="C142" s="88">
        <f>VLOOKUP('prod-prodcat'!A142,'Item Database'!A:CC,76,FALSE)</f>
        <v>692</v>
      </c>
      <c r="D142" s="90">
        <f>VLOOKUP(C142,'brand-map'!A:B,2,FALSE)</f>
        <v>1823</v>
      </c>
      <c r="E142" s="89" t="s">
        <v>5327</v>
      </c>
    </row>
    <row r="143" spans="1:5">
      <c r="A143" s="41">
        <v>191311</v>
      </c>
      <c r="B143" s="89" t="str">
        <f>VLOOKUP(A143,'prod-mongo'!A:B,2,FALSE)</f>
        <v>595f813d935f650021100737</v>
      </c>
      <c r="C143" s="88">
        <f>VLOOKUP('prod-prodcat'!A143,'Item Database'!A:CC,76,FALSE)</f>
        <v>692</v>
      </c>
      <c r="D143" s="90">
        <f>VLOOKUP(C143,'brand-map'!A:B,2,FALSE)</f>
        <v>1823</v>
      </c>
      <c r="E143" s="89" t="s">
        <v>5327</v>
      </c>
    </row>
    <row r="144" spans="1:5">
      <c r="A144" s="41">
        <v>191308</v>
      </c>
      <c r="B144" s="89" t="str">
        <f>VLOOKUP(A144,'prod-mongo'!A:B,2,FALSE)</f>
        <v>595f813d935f650021100738</v>
      </c>
      <c r="C144" s="88">
        <f>VLOOKUP('prod-prodcat'!A144,'Item Database'!A:CC,76,FALSE)</f>
        <v>692</v>
      </c>
      <c r="D144" s="90">
        <f>VLOOKUP(C144,'brand-map'!A:B,2,FALSE)</f>
        <v>1823</v>
      </c>
      <c r="E144" s="89" t="s">
        <v>5327</v>
      </c>
    </row>
    <row r="145" spans="1:5">
      <c r="A145" s="41">
        <v>228726</v>
      </c>
      <c r="B145" s="89" t="str">
        <f>VLOOKUP(A145,'prod-mongo'!A:B,2,FALSE)</f>
        <v>595f813d935f650021100739</v>
      </c>
      <c r="C145" s="88">
        <f>VLOOKUP('prod-prodcat'!A145,'Item Database'!A:CC,76,FALSE)</f>
        <v>692</v>
      </c>
      <c r="D145" s="90">
        <f>VLOOKUP(C145,'brand-map'!A:B,2,FALSE)</f>
        <v>1823</v>
      </c>
      <c r="E145" s="89" t="s">
        <v>5327</v>
      </c>
    </row>
    <row r="146" spans="1:5">
      <c r="A146" s="41">
        <v>191352</v>
      </c>
      <c r="B146" s="89" t="str">
        <f>VLOOKUP(A146,'prod-mongo'!A:B,2,FALSE)</f>
        <v>595f813d935f65002110073a</v>
      </c>
      <c r="C146" s="88">
        <f>VLOOKUP('prod-prodcat'!A146,'Item Database'!A:CC,76,FALSE)</f>
        <v>692</v>
      </c>
      <c r="D146" s="90">
        <f>VLOOKUP(C146,'brand-map'!A:B,2,FALSE)</f>
        <v>1823</v>
      </c>
      <c r="E146" s="89" t="s">
        <v>5327</v>
      </c>
    </row>
    <row r="147" spans="1:5">
      <c r="A147" s="41">
        <v>757861</v>
      </c>
      <c r="B147" s="89" t="str">
        <f>VLOOKUP(A147,'prod-mongo'!A:B,2,FALSE)</f>
        <v>595f813d935f65002110073b</v>
      </c>
      <c r="C147" s="88">
        <f>VLOOKUP('prod-prodcat'!A147,'Item Database'!A:CC,76,FALSE)</f>
        <v>501</v>
      </c>
      <c r="D147" s="90">
        <f>VLOOKUP(C147,'brand-map'!A:B,2,FALSE)</f>
        <v>1648</v>
      </c>
      <c r="E147" s="89" t="s">
        <v>5327</v>
      </c>
    </row>
    <row r="148" spans="1:5">
      <c r="A148" s="41">
        <v>117817</v>
      </c>
      <c r="B148" s="89" t="str">
        <f>VLOOKUP(A148,'prod-mongo'!A:B,2,FALSE)</f>
        <v>59141fefb21a1d00824f5ab9</v>
      </c>
      <c r="C148" s="88">
        <f>VLOOKUP('prod-prodcat'!A148,'Item Database'!A:CC,76,FALSE)</f>
        <v>474</v>
      </c>
      <c r="D148" s="90">
        <f>VLOOKUP(C148,'brand-map'!A:B,2,FALSE)</f>
        <v>1626</v>
      </c>
      <c r="E148" s="89" t="s">
        <v>5327</v>
      </c>
    </row>
    <row r="149" spans="1:5">
      <c r="A149" s="41">
        <v>164373</v>
      </c>
      <c r="B149" s="89" t="str">
        <f>VLOOKUP(A149,'prod-mongo'!A:B,2,FALSE)</f>
        <v>595f813d935f65002110073c</v>
      </c>
      <c r="C149" s="88">
        <f>VLOOKUP('prod-prodcat'!A149,'Item Database'!A:CC,76,FALSE)</f>
        <v>16</v>
      </c>
      <c r="D149" s="90">
        <f>VLOOKUP(C149,'brand-map'!A:B,2,FALSE)</f>
        <v>1204</v>
      </c>
      <c r="E149" s="89" t="s">
        <v>5327</v>
      </c>
    </row>
    <row r="150" spans="1:5">
      <c r="A150" s="41">
        <v>194628</v>
      </c>
      <c r="B150" s="89" t="str">
        <f>VLOOKUP(A150,'prod-mongo'!A:B,2,FALSE)</f>
        <v>595f813d935f65002110073d</v>
      </c>
      <c r="C150" s="88">
        <f>VLOOKUP('prod-prodcat'!A150,'Item Database'!A:CC,76,FALSE)</f>
        <v>692</v>
      </c>
      <c r="D150" s="90">
        <f>VLOOKUP(C150,'brand-map'!A:B,2,FALSE)</f>
        <v>1823</v>
      </c>
      <c r="E150" s="89" t="s">
        <v>5327</v>
      </c>
    </row>
    <row r="151" spans="1:5">
      <c r="A151" s="41">
        <v>156778</v>
      </c>
      <c r="B151" s="89" t="str">
        <f>VLOOKUP(A151,'prod-mongo'!A:B,2,FALSE)</f>
        <v>595f813d935f65002110073e</v>
      </c>
      <c r="C151" s="88">
        <f>VLOOKUP('prod-prodcat'!A151,'Item Database'!A:CC,76,FALSE)</f>
        <v>683</v>
      </c>
      <c r="D151" s="90">
        <f>VLOOKUP(C151,'brand-map'!A:B,2,FALSE)</f>
        <v>1814</v>
      </c>
      <c r="E151" s="89" t="s">
        <v>5327</v>
      </c>
    </row>
    <row r="152" spans="1:5">
      <c r="A152" s="41">
        <v>70109</v>
      </c>
      <c r="B152" s="89" t="str">
        <f>VLOOKUP(A152,'prod-mongo'!A:B,2,FALSE)</f>
        <v>595f813d935f65002110073f</v>
      </c>
      <c r="C152" s="88">
        <f>VLOOKUP('prod-prodcat'!A152,'Item Database'!A:CC,76,FALSE)</f>
        <v>470</v>
      </c>
      <c r="D152" s="90">
        <f>VLOOKUP(C152,'brand-map'!A:B,2,FALSE)</f>
        <v>1622</v>
      </c>
      <c r="E152" s="89" t="s">
        <v>5327</v>
      </c>
    </row>
    <row r="153" spans="1:5">
      <c r="A153" s="41">
        <v>36790</v>
      </c>
      <c r="B153" s="89" t="str">
        <f>VLOOKUP(A153,'prod-mongo'!A:B,2,FALSE)</f>
        <v>595f813d935f650021100740</v>
      </c>
      <c r="C153" s="88">
        <f>VLOOKUP('prod-prodcat'!A153,'Item Database'!A:CC,76,FALSE)</f>
        <v>521</v>
      </c>
      <c r="D153" s="90">
        <f>VLOOKUP(C153,'brand-map'!A:B,2,FALSE)</f>
        <v>1668</v>
      </c>
      <c r="E153" s="89" t="s">
        <v>5327</v>
      </c>
    </row>
    <row r="154" spans="1:5">
      <c r="A154" s="41">
        <v>160414</v>
      </c>
      <c r="B154" s="89" t="str">
        <f>VLOOKUP(A154,'prod-mongo'!A:B,2,FALSE)</f>
        <v>595f813d935f650021100741</v>
      </c>
      <c r="C154" s="88">
        <f>VLOOKUP('prod-prodcat'!A154,'Item Database'!A:CC,76,FALSE)</f>
        <v>470</v>
      </c>
      <c r="D154" s="90">
        <f>VLOOKUP(C154,'brand-map'!A:B,2,FALSE)</f>
        <v>1622</v>
      </c>
      <c r="E154" s="89" t="s">
        <v>5327</v>
      </c>
    </row>
    <row r="155" spans="1:5">
      <c r="A155" s="41">
        <v>820411</v>
      </c>
      <c r="B155" s="89" t="str">
        <f>VLOOKUP(A155,'prod-mongo'!A:B,2,FALSE)</f>
        <v>595f813d935f650021100742</v>
      </c>
      <c r="C155" s="88">
        <f>VLOOKUP('prod-prodcat'!A155,'Item Database'!A:CC,76,FALSE)</f>
        <v>600</v>
      </c>
      <c r="D155" s="90">
        <f>VLOOKUP(C155,'brand-map'!A:B,2,FALSE)</f>
        <v>1742</v>
      </c>
      <c r="E155" s="89" t="s">
        <v>5327</v>
      </c>
    </row>
    <row r="156" spans="1:5">
      <c r="A156" s="41">
        <v>122889</v>
      </c>
      <c r="B156" s="89" t="str">
        <f>VLOOKUP(A156,'prod-mongo'!A:B,2,FALSE)</f>
        <v>595f813d935f650021100743</v>
      </c>
      <c r="C156" s="88">
        <f>VLOOKUP('prod-prodcat'!A156,'Item Database'!A:CC,76,FALSE)</f>
        <v>581</v>
      </c>
      <c r="D156" s="90">
        <f>VLOOKUP(C156,'brand-map'!A:B,2,FALSE)</f>
        <v>1723</v>
      </c>
      <c r="E156" s="89" t="s">
        <v>5327</v>
      </c>
    </row>
    <row r="157" spans="1:5">
      <c r="A157" s="41">
        <v>202206</v>
      </c>
      <c r="B157" s="89" t="str">
        <f>VLOOKUP(A157,'prod-mongo'!A:B,2,FALSE)</f>
        <v>595f813d935f650021100744</v>
      </c>
      <c r="C157" s="88">
        <f>VLOOKUP('prod-prodcat'!A157,'Item Database'!A:CC,76,FALSE)</f>
        <v>1128</v>
      </c>
      <c r="D157" s="90">
        <f>VLOOKUP(C157,'brand-map'!A:B,2,FALSE)</f>
        <v>2133</v>
      </c>
      <c r="E157" s="89" t="s">
        <v>5327</v>
      </c>
    </row>
    <row r="158" spans="1:5">
      <c r="A158" s="41">
        <v>202231</v>
      </c>
      <c r="B158" s="89" t="str">
        <f>VLOOKUP(A158,'prod-mongo'!A:B,2,FALSE)</f>
        <v>595f813d935f650021100745</v>
      </c>
      <c r="C158" s="88">
        <f>VLOOKUP('prod-prodcat'!A158,'Item Database'!A:CC,76,FALSE)</f>
        <v>1128</v>
      </c>
      <c r="D158" s="90">
        <f>VLOOKUP(C158,'brand-map'!A:B,2,FALSE)</f>
        <v>2133</v>
      </c>
      <c r="E158" s="89" t="s">
        <v>5327</v>
      </c>
    </row>
    <row r="159" spans="1:5">
      <c r="A159" s="41">
        <v>510406</v>
      </c>
      <c r="B159" s="89" t="str">
        <f>VLOOKUP(A159,'prod-mongo'!A:B,2,FALSE)</f>
        <v>595f813d935f650021100746</v>
      </c>
      <c r="C159" s="88">
        <f>VLOOKUP('prod-prodcat'!A159,'Item Database'!A:CC,76,FALSE)</f>
        <v>600</v>
      </c>
      <c r="D159" s="90">
        <f>VLOOKUP(C159,'brand-map'!A:B,2,FALSE)</f>
        <v>1742</v>
      </c>
      <c r="E159" s="89" t="s">
        <v>5327</v>
      </c>
    </row>
    <row r="160" spans="1:5">
      <c r="A160" s="41">
        <v>213583</v>
      </c>
      <c r="B160" s="89" t="str">
        <f>VLOOKUP(A160,'prod-mongo'!A:B,2,FALSE)</f>
        <v>595f813d935f650021100747</v>
      </c>
      <c r="C160" s="88">
        <f>VLOOKUP('prod-prodcat'!A160,'Item Database'!A:CC,76,FALSE)</f>
        <v>997</v>
      </c>
      <c r="D160" s="90">
        <f>VLOOKUP(C160,'brand-map'!A:B,2,FALSE)</f>
        <v>2006</v>
      </c>
      <c r="E160" s="89" t="s">
        <v>5327</v>
      </c>
    </row>
    <row r="161" spans="1:5">
      <c r="A161" s="41">
        <v>210666</v>
      </c>
      <c r="B161" s="89" t="str">
        <f>VLOOKUP(A161,'prod-mongo'!A:B,2,FALSE)</f>
        <v>595f813d935f650021100748</v>
      </c>
      <c r="C161" s="88">
        <f>VLOOKUP('prod-prodcat'!A161,'Item Database'!A:CC,76,FALSE)</f>
        <v>516</v>
      </c>
      <c r="D161" s="90">
        <f>VLOOKUP(C161,'brand-map'!A:B,2,FALSE)</f>
        <v>1663</v>
      </c>
      <c r="E161" s="89" t="s">
        <v>5327</v>
      </c>
    </row>
    <row r="162" spans="1:5">
      <c r="A162" s="41">
        <v>210771</v>
      </c>
      <c r="B162" s="89" t="str">
        <f>VLOOKUP(A162,'prod-mongo'!A:B,2,FALSE)</f>
        <v>595f813d935f650021100749</v>
      </c>
      <c r="C162" s="88">
        <f>VLOOKUP('prod-prodcat'!A162,'Item Database'!A:CC,76,FALSE)</f>
        <v>516</v>
      </c>
      <c r="D162" s="90">
        <f>VLOOKUP(C162,'brand-map'!A:B,2,FALSE)</f>
        <v>1663</v>
      </c>
      <c r="E162" s="89" t="s">
        <v>5327</v>
      </c>
    </row>
    <row r="163" spans="1:5">
      <c r="A163" s="41">
        <v>229703</v>
      </c>
      <c r="B163" s="89" t="str">
        <f>VLOOKUP(A163,'prod-mongo'!A:B,2,FALSE)</f>
        <v>595f813d935f65002110074a</v>
      </c>
      <c r="C163" s="88">
        <f>VLOOKUP('prod-prodcat'!A163,'Item Database'!A:CC,76,FALSE)</f>
        <v>516</v>
      </c>
      <c r="D163" s="90">
        <f>VLOOKUP(C163,'brand-map'!A:B,2,FALSE)</f>
        <v>1663</v>
      </c>
      <c r="E163" s="89" t="s">
        <v>5327</v>
      </c>
    </row>
    <row r="164" spans="1:5">
      <c r="A164" s="41">
        <v>109695</v>
      </c>
      <c r="B164" s="89" t="str">
        <f>VLOOKUP(A164,'prod-mongo'!A:B,2,FALSE)</f>
        <v>595f813d935f65002110074b</v>
      </c>
      <c r="C164" s="88">
        <f>VLOOKUP('prod-prodcat'!A164,'Item Database'!A:CC,76,FALSE)</f>
        <v>1035</v>
      </c>
      <c r="D164" s="90">
        <f>VLOOKUP(C164,'brand-map'!A:B,2,FALSE)</f>
        <v>2043</v>
      </c>
      <c r="E164" s="89" t="s">
        <v>5327</v>
      </c>
    </row>
    <row r="165" spans="1:5">
      <c r="A165" s="41">
        <v>803173</v>
      </c>
      <c r="B165" s="89" t="str">
        <f>VLOOKUP(A165,'prod-mongo'!A:B,2,FALSE)</f>
        <v>595f813d935f65002110074c</v>
      </c>
      <c r="C165" s="88">
        <f>VLOOKUP('prod-prodcat'!A165,'Item Database'!A:CC,76,FALSE)</f>
        <v>702</v>
      </c>
      <c r="D165" s="90">
        <f>VLOOKUP(C165,'brand-map'!A:B,2,FALSE)</f>
        <v>1833</v>
      </c>
      <c r="E165" s="89" t="s">
        <v>5327</v>
      </c>
    </row>
    <row r="166" spans="1:5">
      <c r="A166" s="41">
        <v>819199</v>
      </c>
      <c r="B166" s="89" t="str">
        <f>VLOOKUP(A166,'prod-mongo'!A:B,2,FALSE)</f>
        <v>595f813d935f65002110074d</v>
      </c>
      <c r="C166" s="88">
        <f>VLOOKUP('prod-prodcat'!A166,'Item Database'!A:CC,76,FALSE)</f>
        <v>36</v>
      </c>
      <c r="D166" s="90">
        <f>VLOOKUP(C166,'brand-map'!A:B,2,FALSE)</f>
        <v>1223</v>
      </c>
      <c r="E166" s="89" t="s">
        <v>5327</v>
      </c>
    </row>
    <row r="167" spans="1:5">
      <c r="A167" s="41">
        <v>150989</v>
      </c>
      <c r="B167" s="89" t="str">
        <f>VLOOKUP(A167,'prod-mongo'!A:B,2,FALSE)</f>
        <v>595f813d935f65002110074e</v>
      </c>
      <c r="C167" s="88">
        <f>VLOOKUP('prod-prodcat'!A167,'Item Database'!A:CC,76,FALSE)</f>
        <v>369</v>
      </c>
      <c r="D167" s="90">
        <f>VLOOKUP(C167,'brand-map'!A:B,2,FALSE)</f>
        <v>1528</v>
      </c>
      <c r="E167" s="89" t="s">
        <v>5327</v>
      </c>
    </row>
    <row r="168" spans="1:5">
      <c r="A168" s="41">
        <v>811423</v>
      </c>
      <c r="B168" s="89" t="str">
        <f>VLOOKUP(A168,'prod-mongo'!A:B,2,FALSE)</f>
        <v>595f813d935f65002110074f</v>
      </c>
      <c r="C168" s="88">
        <f>VLOOKUP('prod-prodcat'!A168,'Item Database'!A:CC,76,FALSE)</f>
        <v>322</v>
      </c>
      <c r="D168" s="90">
        <f>VLOOKUP(C168,'brand-map'!A:B,2,FALSE)</f>
        <v>1486</v>
      </c>
      <c r="E168" s="89" t="s">
        <v>5327</v>
      </c>
    </row>
    <row r="169" spans="1:5">
      <c r="A169" s="41">
        <v>173921</v>
      </c>
      <c r="B169" s="89" t="str">
        <f>VLOOKUP(A169,'prod-mongo'!A:B,2,FALSE)</f>
        <v>595f813d935f650021100750</v>
      </c>
      <c r="C169" s="88">
        <f>VLOOKUP('prod-prodcat'!A169,'Item Database'!A:CC,76,FALSE)</f>
        <v>322</v>
      </c>
      <c r="D169" s="90">
        <f>VLOOKUP(C169,'brand-map'!A:B,2,FALSE)</f>
        <v>1486</v>
      </c>
      <c r="E169" s="89" t="s">
        <v>5327</v>
      </c>
    </row>
    <row r="170" spans="1:5">
      <c r="A170" s="41">
        <v>817078</v>
      </c>
      <c r="B170" s="89" t="str">
        <f>VLOOKUP(A170,'prod-mongo'!A:B,2,FALSE)</f>
        <v>595f813d935f650021100751</v>
      </c>
      <c r="C170" s="88">
        <f>VLOOKUP('prod-prodcat'!A170,'Item Database'!A:CC,76,FALSE)</f>
        <v>322</v>
      </c>
      <c r="D170" s="90">
        <f>VLOOKUP(C170,'brand-map'!A:B,2,FALSE)</f>
        <v>1486</v>
      </c>
      <c r="E170" s="89" t="s">
        <v>5327</v>
      </c>
    </row>
    <row r="171" spans="1:5">
      <c r="A171" s="41">
        <v>817079</v>
      </c>
      <c r="B171" s="89" t="str">
        <f>VLOOKUP(A171,'prod-mongo'!A:B,2,FALSE)</f>
        <v>595f813d935f650021100752</v>
      </c>
      <c r="C171" s="88">
        <f>VLOOKUP('prod-prodcat'!A171,'Item Database'!A:CC,76,FALSE)</f>
        <v>322</v>
      </c>
      <c r="D171" s="90">
        <f>VLOOKUP(C171,'brand-map'!A:B,2,FALSE)</f>
        <v>1486</v>
      </c>
      <c r="E171" s="89" t="s">
        <v>5327</v>
      </c>
    </row>
    <row r="172" spans="1:5">
      <c r="A172" s="41">
        <v>817080</v>
      </c>
      <c r="B172" s="89" t="str">
        <f>VLOOKUP(A172,'prod-mongo'!A:B,2,FALSE)</f>
        <v>595f813d935f650021100753</v>
      </c>
      <c r="C172" s="88">
        <f>VLOOKUP('prod-prodcat'!A172,'Item Database'!A:CC,76,FALSE)</f>
        <v>322</v>
      </c>
      <c r="D172" s="90">
        <f>VLOOKUP(C172,'brand-map'!A:B,2,FALSE)</f>
        <v>1486</v>
      </c>
      <c r="E172" s="89" t="s">
        <v>5327</v>
      </c>
    </row>
    <row r="173" spans="1:5">
      <c r="A173" s="41">
        <v>173919</v>
      </c>
      <c r="B173" s="89" t="str">
        <f>VLOOKUP(A173,'prod-mongo'!A:B,2,FALSE)</f>
        <v>595f813d935f650021100754</v>
      </c>
      <c r="C173" s="88">
        <f>VLOOKUP('prod-prodcat'!A173,'Item Database'!A:CC,76,FALSE)</f>
        <v>322</v>
      </c>
      <c r="D173" s="90">
        <f>VLOOKUP(C173,'brand-map'!A:B,2,FALSE)</f>
        <v>1486</v>
      </c>
      <c r="E173" s="89" t="s">
        <v>5327</v>
      </c>
    </row>
    <row r="174" spans="1:5">
      <c r="A174" s="41">
        <v>532415</v>
      </c>
      <c r="B174" s="89" t="str">
        <f>VLOOKUP(A174,'prod-mongo'!A:B,2,FALSE)</f>
        <v>595f813d935f650021100755</v>
      </c>
      <c r="C174" s="88">
        <f>VLOOKUP('prod-prodcat'!A174,'Item Database'!A:CC,76,FALSE)</f>
        <v>322</v>
      </c>
      <c r="D174" s="90">
        <f>VLOOKUP(C174,'brand-map'!A:B,2,FALSE)</f>
        <v>1486</v>
      </c>
      <c r="E174" s="89" t="s">
        <v>5327</v>
      </c>
    </row>
    <row r="175" spans="1:5">
      <c r="A175" s="41">
        <v>128044</v>
      </c>
      <c r="B175" s="89" t="str">
        <f>VLOOKUP(A175,'prod-mongo'!A:B,2,FALSE)</f>
        <v>595f813d935f650021100756</v>
      </c>
      <c r="C175" s="88">
        <f>VLOOKUP('prod-prodcat'!A175,'Item Database'!A:CC,76,FALSE)</f>
        <v>322</v>
      </c>
      <c r="D175" s="90">
        <f>VLOOKUP(C175,'brand-map'!A:B,2,FALSE)</f>
        <v>1486</v>
      </c>
      <c r="E175" s="89" t="s">
        <v>5327</v>
      </c>
    </row>
    <row r="176" spans="1:5">
      <c r="A176" s="41">
        <v>809063</v>
      </c>
      <c r="B176" s="89" t="str">
        <f>VLOOKUP(A176,'prod-mongo'!A:B,2,FALSE)</f>
        <v>595f813d935f650021100757</v>
      </c>
      <c r="C176" s="88">
        <f>VLOOKUP('prod-prodcat'!A176,'Item Database'!A:CC,76,FALSE)</f>
        <v>69</v>
      </c>
      <c r="D176" s="90">
        <f>VLOOKUP(C176,'brand-map'!A:B,2,FALSE)</f>
        <v>1254</v>
      </c>
      <c r="E176" s="89" t="s">
        <v>5327</v>
      </c>
    </row>
    <row r="177" spans="1:5">
      <c r="A177" s="41">
        <v>817570</v>
      </c>
      <c r="B177" s="89" t="str">
        <f>VLOOKUP(A177,'prod-mongo'!A:B,2,FALSE)</f>
        <v>595f813d935f650021100758</v>
      </c>
      <c r="C177" s="88">
        <f>VLOOKUP('prod-prodcat'!A177,'Item Database'!A:CC,76,FALSE)</f>
        <v>72</v>
      </c>
      <c r="D177" s="90">
        <f>VLOOKUP(C177,'brand-map'!A:B,2,FALSE)</f>
        <v>1257</v>
      </c>
      <c r="E177" s="89" t="s">
        <v>5327</v>
      </c>
    </row>
    <row r="178" spans="1:5">
      <c r="A178" s="41">
        <v>137272</v>
      </c>
      <c r="B178" s="89" t="str">
        <f>VLOOKUP(A178,'prod-mongo'!A:B,2,FALSE)</f>
        <v>595f813d935f650021100759</v>
      </c>
      <c r="C178" s="88">
        <f>VLOOKUP('prod-prodcat'!A178,'Item Database'!A:CC,76,FALSE)</f>
        <v>692</v>
      </c>
      <c r="D178" s="90">
        <f>VLOOKUP(C178,'brand-map'!A:B,2,FALSE)</f>
        <v>1823</v>
      </c>
      <c r="E178" s="89" t="s">
        <v>5327</v>
      </c>
    </row>
    <row r="179" spans="1:5">
      <c r="A179" s="41">
        <v>815390</v>
      </c>
      <c r="B179" s="89" t="str">
        <f>VLOOKUP(A179,'prod-mongo'!A:B,2,FALSE)</f>
        <v>595f813d935f65002110075a</v>
      </c>
      <c r="C179" s="88">
        <f>VLOOKUP('prod-prodcat'!A179,'Item Database'!A:CC,76,FALSE)</f>
        <v>1160</v>
      </c>
      <c r="D179" s="90">
        <f>VLOOKUP(C179,'brand-map'!A:B,2,FALSE)</f>
        <v>2165</v>
      </c>
      <c r="E179" s="89" t="s">
        <v>5327</v>
      </c>
    </row>
    <row r="180" spans="1:5">
      <c r="A180" s="41">
        <v>24362</v>
      </c>
      <c r="B180" s="89" t="str">
        <f>VLOOKUP(A180,'prod-mongo'!A:B,2,FALSE)</f>
        <v>595f813d935f65002110075b</v>
      </c>
      <c r="C180" s="88">
        <f>VLOOKUP('prod-prodcat'!A180,'Item Database'!A:CC,76,FALSE)</f>
        <v>71</v>
      </c>
      <c r="D180" s="90">
        <f>VLOOKUP(C180,'brand-map'!A:B,2,FALSE)</f>
        <v>1256</v>
      </c>
      <c r="E180" s="89" t="s">
        <v>5327</v>
      </c>
    </row>
    <row r="181" spans="1:5">
      <c r="A181" s="41">
        <v>174237</v>
      </c>
      <c r="B181" s="89" t="str">
        <f>VLOOKUP(A181,'prod-mongo'!A:B,2,FALSE)</f>
        <v>595f813d935f65002110075c</v>
      </c>
      <c r="C181" s="88">
        <f>VLOOKUP('prod-prodcat'!A181,'Item Database'!A:CC,76,FALSE)</f>
        <v>280</v>
      </c>
      <c r="D181" s="90">
        <f>VLOOKUP(C181,'brand-map'!A:B,2,FALSE)</f>
        <v>1446</v>
      </c>
      <c r="E181" s="89" t="s">
        <v>5327</v>
      </c>
    </row>
    <row r="182" spans="1:5">
      <c r="A182" s="41">
        <v>171592</v>
      </c>
      <c r="B182" s="89" t="str">
        <f>VLOOKUP(A182,'prod-mongo'!A:B,2,FALSE)</f>
        <v>595f813d935f65002110075d</v>
      </c>
      <c r="C182" s="88">
        <f>VLOOKUP('prod-prodcat'!A182,'Item Database'!A:CC,76,FALSE)</f>
        <v>692</v>
      </c>
      <c r="D182" s="90">
        <f>VLOOKUP(C182,'brand-map'!A:B,2,FALSE)</f>
        <v>1823</v>
      </c>
      <c r="E182" s="89" t="s">
        <v>5327</v>
      </c>
    </row>
    <row r="183" spans="1:5">
      <c r="A183" s="41">
        <v>650026</v>
      </c>
      <c r="B183" s="89" t="str">
        <f>VLOOKUP(A183,'prod-mongo'!A:B,2,FALSE)</f>
        <v>595f813d935f65002110075e</v>
      </c>
      <c r="C183" s="88">
        <f>VLOOKUP('prod-prodcat'!A183,'Item Database'!A:CC,76,FALSE)</f>
        <v>930</v>
      </c>
      <c r="D183" s="90">
        <f>VLOOKUP(C183,'brand-map'!A:B,2,FALSE)</f>
        <v>1948</v>
      </c>
      <c r="E183" s="89" t="s">
        <v>5327</v>
      </c>
    </row>
    <row r="184" spans="1:5">
      <c r="A184" s="41">
        <v>201787</v>
      </c>
      <c r="B184" s="89" t="str">
        <f>VLOOKUP(A184,'prod-mongo'!A:B,2,FALSE)</f>
        <v>595f813d935f65002110075f</v>
      </c>
      <c r="C184" s="88">
        <f>VLOOKUP('prod-prodcat'!A184,'Item Database'!A:CC,76,FALSE)</f>
        <v>373</v>
      </c>
      <c r="D184" s="90">
        <f>VLOOKUP(C184,'brand-map'!A:B,2,FALSE)</f>
        <v>1531</v>
      </c>
      <c r="E184" s="89" t="s">
        <v>5327</v>
      </c>
    </row>
    <row r="185" spans="1:5">
      <c r="A185" s="41">
        <v>24388</v>
      </c>
      <c r="B185" s="89" t="str">
        <f>VLOOKUP(A185,'prod-mongo'!A:B,2,FALSE)</f>
        <v>595f813d935f650021100760</v>
      </c>
      <c r="C185" s="88">
        <f>VLOOKUP('prod-prodcat'!A185,'Item Database'!A:CC,76,FALSE)</f>
        <v>71</v>
      </c>
      <c r="D185" s="90">
        <f>VLOOKUP(C185,'brand-map'!A:B,2,FALSE)</f>
        <v>1256</v>
      </c>
      <c r="E185" s="89" t="s">
        <v>5327</v>
      </c>
    </row>
    <row r="186" spans="1:5">
      <c r="A186" s="41">
        <v>24856</v>
      </c>
      <c r="B186" s="89" t="str">
        <f>VLOOKUP(A186,'prod-mongo'!A:B,2,FALSE)</f>
        <v>595f813d935f650021100761</v>
      </c>
      <c r="C186" s="88">
        <f>VLOOKUP('prod-prodcat'!A186,'Item Database'!A:CC,76,FALSE)</f>
        <v>71</v>
      </c>
      <c r="D186" s="90">
        <f>VLOOKUP(C186,'brand-map'!A:B,2,FALSE)</f>
        <v>1256</v>
      </c>
      <c r="E186" s="89" t="s">
        <v>5327</v>
      </c>
    </row>
    <row r="187" spans="1:5">
      <c r="A187" s="41">
        <v>182072</v>
      </c>
      <c r="B187" s="89" t="str">
        <f>VLOOKUP(A187,'prod-mongo'!A:B,2,FALSE)</f>
        <v>595f813d935f650021100762</v>
      </c>
      <c r="C187" s="88">
        <f>VLOOKUP('prod-prodcat'!A187,'Item Database'!A:CC,76,FALSE)</f>
        <v>673</v>
      </c>
      <c r="D187" s="90">
        <f>VLOOKUP(C187,'brand-map'!A:B,2,FALSE)</f>
        <v>1804</v>
      </c>
      <c r="E187" s="89" t="s">
        <v>5327</v>
      </c>
    </row>
    <row r="188" spans="1:5">
      <c r="A188" s="41">
        <v>198599</v>
      </c>
      <c r="B188" s="89" t="str">
        <f>VLOOKUP(A188,'prod-mongo'!A:B,2,FALSE)</f>
        <v>595f813d935f650021100763</v>
      </c>
      <c r="C188" s="88">
        <f>VLOOKUP('prod-prodcat'!A188,'Item Database'!A:CC,76,FALSE)</f>
        <v>80</v>
      </c>
      <c r="D188" s="90">
        <f>VLOOKUP(C188,'brand-map'!A:B,2,FALSE)</f>
        <v>1264</v>
      </c>
      <c r="E188" s="89" t="s">
        <v>5327</v>
      </c>
    </row>
    <row r="189" spans="1:5">
      <c r="A189" s="41">
        <v>109346</v>
      </c>
      <c r="B189" s="89" t="str">
        <f>VLOOKUP(A189,'prod-mongo'!A:B,2,FALSE)</f>
        <v>595f813d935f650021100764</v>
      </c>
      <c r="C189" s="88">
        <f>VLOOKUP('prod-prodcat'!A189,'Item Database'!A:CC,76,FALSE)</f>
        <v>336</v>
      </c>
      <c r="D189" s="90">
        <f>VLOOKUP(C189,'brand-map'!A:B,2,FALSE)</f>
        <v>1498</v>
      </c>
      <c r="E189" s="89" t="s">
        <v>5327</v>
      </c>
    </row>
    <row r="190" spans="1:5">
      <c r="A190" s="41">
        <v>224356</v>
      </c>
      <c r="B190" s="89" t="str">
        <f>VLOOKUP(A190,'prod-mongo'!A:B,2,FALSE)</f>
        <v>595f813d935f650021100765</v>
      </c>
      <c r="C190" s="88">
        <f>VLOOKUP('prod-prodcat'!A190,'Item Database'!A:CC,76,FALSE)</f>
        <v>110</v>
      </c>
      <c r="D190" s="90">
        <f>VLOOKUP(C190,'brand-map'!A:B,2,FALSE)</f>
        <v>1290</v>
      </c>
      <c r="E190" s="89" t="s">
        <v>5327</v>
      </c>
    </row>
    <row r="191" spans="1:5">
      <c r="A191" s="41">
        <v>978393</v>
      </c>
      <c r="B191" s="89" t="str">
        <f>VLOOKUP(A191,'prod-mongo'!A:B,2,FALSE)</f>
        <v>595f813d935f650021100766</v>
      </c>
      <c r="C191" s="88">
        <f>VLOOKUP('prod-prodcat'!A191,'Item Database'!A:CC,76,FALSE)</f>
        <v>0</v>
      </c>
      <c r="D191" s="90">
        <f>VLOOKUP(C191,'brand-map'!A:B,2,FALSE)</f>
        <v>1193</v>
      </c>
      <c r="E191" s="89" t="s">
        <v>5327</v>
      </c>
    </row>
    <row r="192" spans="1:5">
      <c r="A192" s="41">
        <v>228286</v>
      </c>
      <c r="B192" s="89" t="str">
        <f>VLOOKUP(A192,'prod-mongo'!A:B,2,FALSE)</f>
        <v>595f813d935f650021100767</v>
      </c>
      <c r="C192" s="88">
        <f>VLOOKUP('prod-prodcat'!A192,'Item Database'!A:CC,76,FALSE)</f>
        <v>0</v>
      </c>
      <c r="D192" s="90">
        <f>VLOOKUP(C192,'brand-map'!A:B,2,FALSE)</f>
        <v>1193</v>
      </c>
      <c r="E192" s="89" t="s">
        <v>5327</v>
      </c>
    </row>
    <row r="193" spans="1:5">
      <c r="A193" s="41">
        <v>163474</v>
      </c>
      <c r="B193" s="89" t="str">
        <f>VLOOKUP(A193,'prod-mongo'!A:B,2,FALSE)</f>
        <v>595f813d935f650021100768</v>
      </c>
      <c r="C193" s="88">
        <f>VLOOKUP('prod-prodcat'!A193,'Item Database'!A:CC,76,FALSE)</f>
        <v>135</v>
      </c>
      <c r="D193" s="90">
        <f>VLOOKUP(C193,'brand-map'!A:B,2,FALSE)</f>
        <v>1312</v>
      </c>
      <c r="E193" s="89" t="s">
        <v>5327</v>
      </c>
    </row>
    <row r="194" spans="1:5">
      <c r="A194" s="41">
        <v>100516</v>
      </c>
      <c r="B194" s="89" t="str">
        <f>VLOOKUP(A194,'prod-mongo'!A:B,2,FALSE)</f>
        <v>595f813d935f650021100769</v>
      </c>
      <c r="C194" s="88">
        <f>VLOOKUP('prod-prodcat'!A194,'Item Database'!A:CC,76,FALSE)</f>
        <v>135</v>
      </c>
      <c r="D194" s="90">
        <f>VLOOKUP(C194,'brand-map'!A:B,2,FALSE)</f>
        <v>1312</v>
      </c>
      <c r="E194" s="89" t="s">
        <v>5327</v>
      </c>
    </row>
    <row r="195" spans="1:5">
      <c r="A195" s="41">
        <v>219560</v>
      </c>
      <c r="B195" s="89" t="str">
        <f>VLOOKUP(A195,'prod-mongo'!A:B,2,FALSE)</f>
        <v>595f813d935f65002110076a</v>
      </c>
      <c r="C195" s="88">
        <f>VLOOKUP('prod-prodcat'!A195,'Item Database'!A:CC,76,FALSE)</f>
        <v>992</v>
      </c>
      <c r="D195" s="90">
        <f>VLOOKUP(C195,'brand-map'!A:B,2,FALSE)</f>
        <v>2003</v>
      </c>
      <c r="E195" s="89" t="s">
        <v>5327</v>
      </c>
    </row>
    <row r="196" spans="1:5">
      <c r="A196" s="41">
        <v>161190</v>
      </c>
      <c r="B196" s="89" t="str">
        <f>VLOOKUP(A196,'prod-mongo'!A:B,2,FALSE)</f>
        <v>595f813d935f65002110076b</v>
      </c>
      <c r="C196" s="88">
        <f>VLOOKUP('prod-prodcat'!A196,'Item Database'!A:CC,76,FALSE)</f>
        <v>98</v>
      </c>
      <c r="D196" s="90">
        <f>VLOOKUP(C196,'brand-map'!A:B,2,FALSE)</f>
        <v>1278</v>
      </c>
      <c r="E196" s="89" t="s">
        <v>5327</v>
      </c>
    </row>
    <row r="197" spans="1:5">
      <c r="A197" s="41">
        <v>142144</v>
      </c>
      <c r="B197" s="89" t="str">
        <f>VLOOKUP(A197,'prod-mongo'!A:B,2,FALSE)</f>
        <v>595f813d935f65002110076c</v>
      </c>
      <c r="C197" s="88">
        <f>VLOOKUP('prod-prodcat'!A197,'Item Database'!A:CC,76,FALSE)</f>
        <v>98</v>
      </c>
      <c r="D197" s="90">
        <f>VLOOKUP(C197,'brand-map'!A:B,2,FALSE)</f>
        <v>1278</v>
      </c>
      <c r="E197" s="89" t="s">
        <v>5327</v>
      </c>
    </row>
    <row r="198" spans="1:5">
      <c r="A198" s="41">
        <v>219555</v>
      </c>
      <c r="B198" s="89" t="str">
        <f>VLOOKUP(A198,'prod-mongo'!A:B,2,FALSE)</f>
        <v>595f813d935f65002110076d</v>
      </c>
      <c r="C198" s="88">
        <f>VLOOKUP('prod-prodcat'!A198,'Item Database'!A:CC,76,FALSE)</f>
        <v>992</v>
      </c>
      <c r="D198" s="90">
        <f>VLOOKUP(C198,'brand-map'!A:B,2,FALSE)</f>
        <v>2003</v>
      </c>
      <c r="E198" s="89" t="s">
        <v>5327</v>
      </c>
    </row>
    <row r="199" spans="1:5">
      <c r="A199" s="41">
        <v>59215</v>
      </c>
      <c r="B199" s="89" t="str">
        <f>VLOOKUP(A199,'prod-mongo'!A:B,2,FALSE)</f>
        <v>595f813d935f65002110076e</v>
      </c>
      <c r="C199" s="88">
        <f>VLOOKUP('prod-prodcat'!A199,'Item Database'!A:CC,76,FALSE)</f>
        <v>98</v>
      </c>
      <c r="D199" s="90">
        <f>VLOOKUP(C199,'brand-map'!A:B,2,FALSE)</f>
        <v>1278</v>
      </c>
      <c r="E199" s="89" t="s">
        <v>5327</v>
      </c>
    </row>
    <row r="200" spans="1:5">
      <c r="A200" s="41">
        <v>358579</v>
      </c>
      <c r="B200" s="89" t="str">
        <f>VLOOKUP(A200,'prod-mongo'!A:B,2,FALSE)</f>
        <v>595f813d935f65002110076f</v>
      </c>
      <c r="C200" s="88">
        <f>VLOOKUP('prod-prodcat'!A200,'Item Database'!A:CC,76,FALSE)</f>
        <v>98</v>
      </c>
      <c r="D200" s="90">
        <f>VLOOKUP(C200,'brand-map'!A:B,2,FALSE)</f>
        <v>1278</v>
      </c>
      <c r="E200" s="89" t="s">
        <v>5327</v>
      </c>
    </row>
    <row r="201" spans="1:5">
      <c r="A201" s="41">
        <v>212514</v>
      </c>
      <c r="B201" s="89" t="str">
        <f>VLOOKUP(A201,'prod-mongo'!A:B,2,FALSE)</f>
        <v>595f813d935f650021100770</v>
      </c>
      <c r="C201" s="88">
        <f>VLOOKUP('prod-prodcat'!A201,'Item Database'!A:CC,76,FALSE)</f>
        <v>402</v>
      </c>
      <c r="D201" s="90">
        <f>VLOOKUP(C201,'brand-map'!A:B,2,FALSE)</f>
        <v>1557</v>
      </c>
      <c r="E201" s="89" t="s">
        <v>5327</v>
      </c>
    </row>
    <row r="202" spans="1:5">
      <c r="A202" s="41">
        <v>197852</v>
      </c>
      <c r="B202" s="89" t="str">
        <f>VLOOKUP(A202,'prod-mongo'!A:B,2,FALSE)</f>
        <v>595f813d935f650021100771</v>
      </c>
      <c r="C202" s="88">
        <f>VLOOKUP('prod-prodcat'!A202,'Item Database'!A:CC,76,FALSE)</f>
        <v>402</v>
      </c>
      <c r="D202" s="90">
        <f>VLOOKUP(C202,'brand-map'!A:B,2,FALSE)</f>
        <v>1557</v>
      </c>
      <c r="E202" s="89" t="s">
        <v>5327</v>
      </c>
    </row>
    <row r="203" spans="1:5">
      <c r="A203" s="41">
        <v>223284</v>
      </c>
      <c r="B203" s="89" t="str">
        <f>VLOOKUP(A203,'prod-mongo'!A:B,2,FALSE)</f>
        <v>595f813d935f650021100772</v>
      </c>
      <c r="C203" s="88">
        <f>VLOOKUP('prod-prodcat'!A203,'Item Database'!A:CC,76,FALSE)</f>
        <v>402</v>
      </c>
      <c r="D203" s="90">
        <f>VLOOKUP(C203,'brand-map'!A:B,2,FALSE)</f>
        <v>1557</v>
      </c>
      <c r="E203" s="89" t="s">
        <v>5327</v>
      </c>
    </row>
    <row r="204" spans="1:5">
      <c r="A204" s="41">
        <v>146131</v>
      </c>
      <c r="B204" s="89" t="str">
        <f>VLOOKUP(A204,'prod-mongo'!A:B,2,FALSE)</f>
        <v>595f813d935f650021100773</v>
      </c>
      <c r="C204" s="88">
        <f>VLOOKUP('prod-prodcat'!A204,'Item Database'!A:CC,76,FALSE)</f>
        <v>1111</v>
      </c>
      <c r="D204" s="90">
        <f>VLOOKUP(C204,'brand-map'!A:B,2,FALSE)</f>
        <v>2117</v>
      </c>
      <c r="E204" s="89" t="s">
        <v>5327</v>
      </c>
    </row>
    <row r="205" spans="1:5">
      <c r="A205" s="41">
        <v>146128</v>
      </c>
      <c r="B205" s="89" t="str">
        <f>VLOOKUP(A205,'prod-mongo'!A:B,2,FALSE)</f>
        <v>595f813d935f650021100774</v>
      </c>
      <c r="C205" s="88">
        <f>VLOOKUP('prod-prodcat'!A205,'Item Database'!A:CC,76,FALSE)</f>
        <v>1111</v>
      </c>
      <c r="D205" s="90">
        <f>VLOOKUP(C205,'brand-map'!A:B,2,FALSE)</f>
        <v>2117</v>
      </c>
      <c r="E205" s="89" t="s">
        <v>5327</v>
      </c>
    </row>
    <row r="206" spans="1:5">
      <c r="A206" s="41">
        <v>173820</v>
      </c>
      <c r="B206" s="89" t="str">
        <f>VLOOKUP(A206,'prod-mongo'!A:B,2,FALSE)</f>
        <v>595f813d935f650021100775</v>
      </c>
      <c r="C206" s="88">
        <f>VLOOKUP('prod-prodcat'!A206,'Item Database'!A:CC,76,FALSE)</f>
        <v>877</v>
      </c>
      <c r="D206" s="90">
        <f>VLOOKUP(C206,'brand-map'!A:B,2,FALSE)</f>
        <v>1905</v>
      </c>
      <c r="E206" s="89" t="s">
        <v>5327</v>
      </c>
    </row>
    <row r="207" spans="1:5">
      <c r="A207" s="41">
        <v>179087</v>
      </c>
      <c r="B207" s="89" t="str">
        <f>VLOOKUP(A207,'prod-mongo'!A:B,2,FALSE)</f>
        <v>595f813d935f650021100776</v>
      </c>
      <c r="C207" s="88">
        <f>VLOOKUP('prod-prodcat'!A207,'Item Database'!A:CC,76,FALSE)</f>
        <v>73</v>
      </c>
      <c r="D207" s="90">
        <f>VLOOKUP(C207,'brand-map'!A:B,2,FALSE)</f>
        <v>1258</v>
      </c>
      <c r="E207" s="89" t="s">
        <v>5327</v>
      </c>
    </row>
    <row r="208" spans="1:5">
      <c r="A208" s="41">
        <v>820676</v>
      </c>
      <c r="B208" s="89" t="str">
        <f>VLOOKUP(A208,'prod-mongo'!A:B,2,FALSE)</f>
        <v>595f813d935f650021100777</v>
      </c>
      <c r="C208" s="88">
        <f>VLOOKUP('prod-prodcat'!A208,'Item Database'!A:CC,76,FALSE)</f>
        <v>1067</v>
      </c>
      <c r="D208" s="90">
        <f>VLOOKUP(C208,'brand-map'!A:B,2,FALSE)</f>
        <v>2074</v>
      </c>
      <c r="E208" s="89" t="s">
        <v>5327</v>
      </c>
    </row>
    <row r="209" spans="1:5">
      <c r="A209" s="41">
        <v>141413</v>
      </c>
      <c r="B209" s="89" t="str">
        <f>VLOOKUP(A209,'prod-mongo'!A:B,2,FALSE)</f>
        <v>595f813d935f650021100778</v>
      </c>
      <c r="C209" s="88">
        <f>VLOOKUP('prod-prodcat'!A209,'Item Database'!A:CC,76,FALSE)</f>
        <v>729</v>
      </c>
      <c r="D209" s="90">
        <f>VLOOKUP(C209,'brand-map'!A:B,2,FALSE)</f>
        <v>1859</v>
      </c>
      <c r="E209" s="89" t="s">
        <v>5327</v>
      </c>
    </row>
    <row r="210" spans="1:5">
      <c r="A210" s="41">
        <v>124964</v>
      </c>
      <c r="B210" s="89" t="str">
        <f>VLOOKUP(A210,'prod-mongo'!A:B,2,FALSE)</f>
        <v>595f813d935f650021100779</v>
      </c>
      <c r="C210" s="88">
        <f>VLOOKUP('prod-prodcat'!A210,'Item Database'!A:CC,76,FALSE)</f>
        <v>729</v>
      </c>
      <c r="D210" s="90">
        <f>VLOOKUP(C210,'brand-map'!A:B,2,FALSE)</f>
        <v>1859</v>
      </c>
      <c r="E210" s="89" t="s">
        <v>5327</v>
      </c>
    </row>
    <row r="211" spans="1:5">
      <c r="A211" s="41">
        <v>218760</v>
      </c>
      <c r="B211" s="89" t="str">
        <f>VLOOKUP(A211,'prod-mongo'!A:B,2,FALSE)</f>
        <v>595f813d935f65002110077a</v>
      </c>
      <c r="C211" s="88">
        <f>VLOOKUP('prod-prodcat'!A211,'Item Database'!A:CC,76,FALSE)</f>
        <v>1082</v>
      </c>
      <c r="D211" s="90">
        <f>VLOOKUP(C211,'brand-map'!A:B,2,FALSE)</f>
        <v>2089</v>
      </c>
      <c r="E211" s="89" t="s">
        <v>5327</v>
      </c>
    </row>
    <row r="212" spans="1:5">
      <c r="A212" s="41">
        <v>128267</v>
      </c>
      <c r="B212" s="89" t="str">
        <f>VLOOKUP(A212,'prod-mongo'!A:B,2,FALSE)</f>
        <v>595f813d935f65002110077b</v>
      </c>
      <c r="C212" s="88">
        <f>VLOOKUP('prod-prodcat'!A212,'Item Database'!A:CC,76,FALSE)</f>
        <v>92</v>
      </c>
      <c r="D212" s="90">
        <f>VLOOKUP(C212,'brand-map'!A:B,2,FALSE)</f>
        <v>1274</v>
      </c>
      <c r="E212" s="89" t="s">
        <v>5327</v>
      </c>
    </row>
    <row r="213" spans="1:5">
      <c r="A213" s="41">
        <v>150200</v>
      </c>
      <c r="B213" s="89" t="str">
        <f>VLOOKUP(A213,'prod-mongo'!A:B,2,FALSE)</f>
        <v>595f813d935f65002110077c</v>
      </c>
      <c r="C213" s="88">
        <f>VLOOKUP('prod-prodcat'!A213,'Item Database'!A:CC,76,FALSE)</f>
        <v>583</v>
      </c>
      <c r="D213" s="90">
        <f>VLOOKUP(C213,'brand-map'!A:B,2,FALSE)</f>
        <v>1725</v>
      </c>
      <c r="E213" s="89" t="s">
        <v>5327</v>
      </c>
    </row>
    <row r="214" spans="1:5">
      <c r="A214" s="41">
        <v>200887</v>
      </c>
      <c r="B214" s="89" t="str">
        <f>VLOOKUP(A214,'prod-mongo'!A:B,2,FALSE)</f>
        <v>595f813d935f65002110077d</v>
      </c>
      <c r="C214" s="88">
        <f>VLOOKUP('prod-prodcat'!A214,'Item Database'!A:CC,76,FALSE)</f>
        <v>397</v>
      </c>
      <c r="D214" s="90">
        <f>VLOOKUP(C214,'brand-map'!A:B,2,FALSE)</f>
        <v>1553</v>
      </c>
      <c r="E214" s="89" t="s">
        <v>5327</v>
      </c>
    </row>
    <row r="215" spans="1:5">
      <c r="A215" s="41">
        <v>111757</v>
      </c>
      <c r="B215" s="89" t="str">
        <f>VLOOKUP(A215,'prod-mongo'!A:B,2,FALSE)</f>
        <v>595f813d935f65002110077e</v>
      </c>
      <c r="C215" s="88">
        <f>VLOOKUP('prod-prodcat'!A215,'Item Database'!A:CC,76,FALSE)</f>
        <v>869</v>
      </c>
      <c r="D215" s="90">
        <f>VLOOKUP(C215,'brand-map'!A:B,2,FALSE)</f>
        <v>1897</v>
      </c>
      <c r="E215" s="89" t="s">
        <v>5327</v>
      </c>
    </row>
    <row r="216" spans="1:5">
      <c r="A216" s="41">
        <v>140647</v>
      </c>
      <c r="B216" s="89" t="str">
        <f>VLOOKUP(A216,'prod-mongo'!A:B,2,FALSE)</f>
        <v>595f813d935f65002110077f</v>
      </c>
      <c r="C216" s="88">
        <f>VLOOKUP('prod-prodcat'!A216,'Item Database'!A:CC,76,FALSE)</f>
        <v>87</v>
      </c>
      <c r="D216" s="90">
        <f>VLOOKUP(C216,'brand-map'!A:B,2,FALSE)</f>
        <v>1271</v>
      </c>
      <c r="E216" s="89" t="s">
        <v>5327</v>
      </c>
    </row>
    <row r="217" spans="1:5">
      <c r="A217" s="41">
        <v>182997</v>
      </c>
      <c r="B217" s="89" t="str">
        <f>VLOOKUP(A217,'prod-mongo'!A:B,2,FALSE)</f>
        <v>595f813d935f650021100780</v>
      </c>
      <c r="C217" s="88">
        <f>VLOOKUP('prod-prodcat'!A217,'Item Database'!A:CC,76,FALSE)</f>
        <v>692</v>
      </c>
      <c r="D217" s="90">
        <f>VLOOKUP(C217,'brand-map'!A:B,2,FALSE)</f>
        <v>1823</v>
      </c>
      <c r="E217" s="89" t="s">
        <v>5327</v>
      </c>
    </row>
    <row r="218" spans="1:5">
      <c r="A218" s="41">
        <v>111642</v>
      </c>
      <c r="B218" s="89" t="str">
        <f>VLOOKUP(A218,'prod-mongo'!A:B,2,FALSE)</f>
        <v>595f813e935f650021100781</v>
      </c>
      <c r="C218" s="88">
        <f>VLOOKUP('prod-prodcat'!A218,'Item Database'!A:CC,76,FALSE)</f>
        <v>362</v>
      </c>
      <c r="D218" s="90">
        <f>VLOOKUP(C218,'brand-map'!A:B,2,FALSE)</f>
        <v>1522</v>
      </c>
      <c r="E218" s="89" t="s">
        <v>5327</v>
      </c>
    </row>
    <row r="219" spans="1:5">
      <c r="A219" s="41">
        <v>58851</v>
      </c>
      <c r="B219" s="89" t="str">
        <f>VLOOKUP(A219,'prod-mongo'!A:B,2,FALSE)</f>
        <v>595f813e935f650021100782</v>
      </c>
      <c r="C219" s="88">
        <f>VLOOKUP('prod-prodcat'!A219,'Item Database'!A:CC,76,FALSE)</f>
        <v>272</v>
      </c>
      <c r="D219" s="90">
        <f>VLOOKUP(C219,'brand-map'!A:B,2,FALSE)</f>
        <v>1438</v>
      </c>
      <c r="E219" s="89" t="s">
        <v>5327</v>
      </c>
    </row>
    <row r="220" spans="1:5">
      <c r="A220" s="41">
        <v>99281</v>
      </c>
      <c r="B220" s="89" t="str">
        <f>VLOOKUP(A220,'prod-mongo'!A:B,2,FALSE)</f>
        <v>595f813e935f650021100783</v>
      </c>
      <c r="C220" s="88">
        <f>VLOOKUP('prod-prodcat'!A220,'Item Database'!A:CC,76,FALSE)</f>
        <v>262</v>
      </c>
      <c r="D220" s="90">
        <f>VLOOKUP(C220,'brand-map'!A:B,2,FALSE)</f>
        <v>1429</v>
      </c>
      <c r="E220" s="89" t="s">
        <v>5327</v>
      </c>
    </row>
    <row r="221" spans="1:5">
      <c r="A221" s="41">
        <v>45344</v>
      </c>
      <c r="B221" s="89" t="str">
        <f>VLOOKUP(A221,'prod-mongo'!A:B,2,FALSE)</f>
        <v>595f813e935f650021100784</v>
      </c>
      <c r="C221" s="88">
        <f>VLOOKUP('prod-prodcat'!A221,'Item Database'!A:CC,76,FALSE)</f>
        <v>620</v>
      </c>
      <c r="D221" s="90">
        <f>VLOOKUP(C221,'brand-map'!A:B,2,FALSE)</f>
        <v>1758</v>
      </c>
      <c r="E221" s="89" t="s">
        <v>5327</v>
      </c>
    </row>
    <row r="222" spans="1:5">
      <c r="A222" s="41">
        <v>162753</v>
      </c>
      <c r="B222" s="89" t="str">
        <f>VLOOKUP(A222,'prod-mongo'!A:B,2,FALSE)</f>
        <v>595f813e935f650021100785</v>
      </c>
      <c r="C222" s="88">
        <f>VLOOKUP('prod-prodcat'!A222,'Item Database'!A:CC,76,FALSE)</f>
        <v>30</v>
      </c>
      <c r="D222" s="90">
        <f>VLOOKUP(C222,'brand-map'!A:B,2,FALSE)</f>
        <v>1217</v>
      </c>
      <c r="E222" s="89" t="s">
        <v>5327</v>
      </c>
    </row>
    <row r="223" spans="1:5">
      <c r="A223" s="41">
        <v>227651</v>
      </c>
      <c r="B223" s="89" t="str">
        <f>VLOOKUP(A223,'prod-mongo'!A:B,2,FALSE)</f>
        <v>595f813e935f650021100786</v>
      </c>
      <c r="C223" s="88">
        <f>VLOOKUP('prod-prodcat'!A223,'Item Database'!A:CC,76,FALSE)</f>
        <v>692</v>
      </c>
      <c r="D223" s="90">
        <f>VLOOKUP(C223,'brand-map'!A:B,2,FALSE)</f>
        <v>1823</v>
      </c>
      <c r="E223" s="89" t="s">
        <v>5327</v>
      </c>
    </row>
    <row r="224" spans="1:5">
      <c r="A224" s="41">
        <v>164598</v>
      </c>
      <c r="B224" s="89" t="str">
        <f>VLOOKUP(A224,'prod-mongo'!A:B,2,FALSE)</f>
        <v>595f813e935f650021100787</v>
      </c>
      <c r="C224" s="88">
        <f>VLOOKUP('prod-prodcat'!A224,'Item Database'!A:CC,76,FALSE)</f>
        <v>692</v>
      </c>
      <c r="D224" s="90">
        <f>VLOOKUP(C224,'brand-map'!A:B,2,FALSE)</f>
        <v>1823</v>
      </c>
      <c r="E224" s="89" t="s">
        <v>5327</v>
      </c>
    </row>
    <row r="225" spans="1:5">
      <c r="A225" s="41">
        <v>217985</v>
      </c>
      <c r="B225" s="89" t="str">
        <f>VLOOKUP(A225,'prod-mongo'!A:B,2,FALSE)</f>
        <v>595f813e935f650021100788</v>
      </c>
      <c r="C225" s="88">
        <f>VLOOKUP('prod-prodcat'!A225,'Item Database'!A:CC,76,FALSE)</f>
        <v>961</v>
      </c>
      <c r="D225" s="90">
        <f>VLOOKUP(C225,'brand-map'!A:B,2,FALSE)</f>
        <v>1976</v>
      </c>
      <c r="E225" s="89" t="s">
        <v>5327</v>
      </c>
    </row>
    <row r="226" spans="1:5">
      <c r="A226" s="41">
        <v>226132</v>
      </c>
      <c r="B226" s="89" t="str">
        <f>VLOOKUP(A226,'prod-mongo'!A:B,2,FALSE)</f>
        <v>595f813e935f650021100789</v>
      </c>
      <c r="C226" s="88">
        <f>VLOOKUP('prod-prodcat'!A226,'Item Database'!A:CC,76,FALSE)</f>
        <v>359</v>
      </c>
      <c r="D226" s="90">
        <f>VLOOKUP(C226,'brand-map'!A:B,2,FALSE)</f>
        <v>1519</v>
      </c>
      <c r="E226" s="89" t="s">
        <v>5327</v>
      </c>
    </row>
    <row r="227" spans="1:5">
      <c r="A227" s="41">
        <v>227737</v>
      </c>
      <c r="B227" s="89" t="str">
        <f>VLOOKUP(A227,'prod-mongo'!A:B,2,FALSE)</f>
        <v>595f813e935f65002110078a</v>
      </c>
      <c r="C227" s="88">
        <f>VLOOKUP('prod-prodcat'!A227,'Item Database'!A:CC,76,FALSE)</f>
        <v>1182</v>
      </c>
      <c r="D227" s="90">
        <f>VLOOKUP(C227,'brand-map'!A:B,2,FALSE)</f>
        <v>2186</v>
      </c>
      <c r="E227" s="89" t="s">
        <v>5327</v>
      </c>
    </row>
    <row r="228" spans="1:5">
      <c r="A228" s="41">
        <v>105656</v>
      </c>
      <c r="B228" s="89" t="str">
        <f>VLOOKUP(A228,'prod-mongo'!A:B,2,FALSE)</f>
        <v>595f813e935f65002110078b</v>
      </c>
      <c r="C228" s="88">
        <f>VLOOKUP('prod-prodcat'!A228,'Item Database'!A:CC,76,FALSE)</f>
        <v>180</v>
      </c>
      <c r="D228" s="90">
        <f>VLOOKUP(C228,'brand-map'!A:B,2,FALSE)</f>
        <v>1352</v>
      </c>
      <c r="E228" s="89" t="s">
        <v>5327</v>
      </c>
    </row>
    <row r="229" spans="1:5">
      <c r="A229" s="41">
        <v>916071</v>
      </c>
      <c r="B229" s="89" t="str">
        <f>VLOOKUP(A229,'prod-mongo'!A:B,2,FALSE)</f>
        <v>595f813e935f65002110078c</v>
      </c>
      <c r="C229" s="88">
        <f>VLOOKUP('prod-prodcat'!A229,'Item Database'!A:CC,76,FALSE)</f>
        <v>517</v>
      </c>
      <c r="D229" s="90">
        <f>VLOOKUP(C229,'brand-map'!A:B,2,FALSE)</f>
        <v>1664</v>
      </c>
      <c r="E229" s="89" t="s">
        <v>5327</v>
      </c>
    </row>
    <row r="230" spans="1:5">
      <c r="A230" s="41">
        <v>176565</v>
      </c>
      <c r="B230" s="89" t="str">
        <f>VLOOKUP(A230,'prod-mongo'!A:B,2,FALSE)</f>
        <v>595f813e935f65002110078d</v>
      </c>
      <c r="C230" s="88">
        <f>VLOOKUP('prod-prodcat'!A230,'Item Database'!A:CC,76,FALSE)</f>
        <v>517</v>
      </c>
      <c r="D230" s="90">
        <f>VLOOKUP(C230,'brand-map'!A:B,2,FALSE)</f>
        <v>1664</v>
      </c>
      <c r="E230" s="89" t="s">
        <v>5327</v>
      </c>
    </row>
    <row r="231" spans="1:5">
      <c r="A231" s="41">
        <v>104418</v>
      </c>
      <c r="B231" s="89" t="str">
        <f>VLOOKUP(A231,'prod-mongo'!A:B,2,FALSE)</f>
        <v>595f813e935f65002110078e</v>
      </c>
      <c r="C231" s="88">
        <f>VLOOKUP('prod-prodcat'!A231,'Item Database'!A:CC,76,FALSE)</f>
        <v>541</v>
      </c>
      <c r="D231" s="90">
        <f>VLOOKUP(C231,'brand-map'!A:B,2,FALSE)</f>
        <v>1687</v>
      </c>
      <c r="E231" s="89" t="s">
        <v>5327</v>
      </c>
    </row>
    <row r="232" spans="1:5">
      <c r="A232" s="41">
        <v>131050</v>
      </c>
      <c r="B232" s="89" t="str">
        <f>VLOOKUP(A232,'prod-mongo'!A:B,2,FALSE)</f>
        <v>595f813e935f65002110078f</v>
      </c>
      <c r="C232" s="88">
        <f>VLOOKUP('prod-prodcat'!A232,'Item Database'!A:CC,76,FALSE)</f>
        <v>908</v>
      </c>
      <c r="D232" s="90">
        <f>VLOOKUP(C232,'brand-map'!A:B,2,FALSE)</f>
        <v>1930</v>
      </c>
      <c r="E232" s="89" t="s">
        <v>5327</v>
      </c>
    </row>
    <row r="233" spans="1:5">
      <c r="A233" s="41">
        <v>539760</v>
      </c>
      <c r="B233" s="89" t="str">
        <f>VLOOKUP(A233,'prod-mongo'!A:B,2,FALSE)</f>
        <v>595f813e935f650021100790</v>
      </c>
      <c r="C233" s="88">
        <f>VLOOKUP('prod-prodcat'!A233,'Item Database'!A:CC,76,FALSE)</f>
        <v>15</v>
      </c>
      <c r="D233" s="90">
        <f>VLOOKUP(C233,'brand-map'!A:B,2,FALSE)</f>
        <v>1203</v>
      </c>
      <c r="E233" s="89" t="s">
        <v>5327</v>
      </c>
    </row>
    <row r="234" spans="1:5">
      <c r="A234" s="41">
        <v>328887</v>
      </c>
      <c r="B234" s="89" t="str">
        <f>VLOOKUP(A234,'prod-mongo'!A:B,2,FALSE)</f>
        <v>595f813e935f650021100791</v>
      </c>
      <c r="C234" s="88">
        <f>VLOOKUP('prod-prodcat'!A234,'Item Database'!A:CC,76,FALSE)</f>
        <v>193</v>
      </c>
      <c r="D234" s="90">
        <f>VLOOKUP(C234,'brand-map'!A:B,2,FALSE)</f>
        <v>1364</v>
      </c>
      <c r="E234" s="89" t="s">
        <v>5327</v>
      </c>
    </row>
    <row r="235" spans="1:5">
      <c r="A235" s="41">
        <v>232376</v>
      </c>
      <c r="B235" s="89" t="str">
        <f>VLOOKUP(A235,'prod-mongo'!A:B,2,FALSE)</f>
        <v>595f813e935f650021100792</v>
      </c>
      <c r="C235" s="88">
        <f>VLOOKUP('prod-prodcat'!A235,'Item Database'!A:CC,76,FALSE)</f>
        <v>589</v>
      </c>
      <c r="D235" s="90">
        <f>VLOOKUP(C235,'brand-map'!A:B,2,FALSE)</f>
        <v>1731</v>
      </c>
      <c r="E235" s="89" t="s">
        <v>5327</v>
      </c>
    </row>
    <row r="236" spans="1:5">
      <c r="A236" s="41">
        <v>818845</v>
      </c>
      <c r="B236" s="89" t="str">
        <f>VLOOKUP(A236,'prod-mongo'!A:B,2,FALSE)</f>
        <v>595f813e935f650021100793</v>
      </c>
      <c r="C236" s="88">
        <f>VLOOKUP('prod-prodcat'!A236,'Item Database'!A:CC,76,FALSE)</f>
        <v>991</v>
      </c>
      <c r="D236" s="90">
        <f>VLOOKUP(C236,'brand-map'!A:B,2,FALSE)</f>
        <v>2002</v>
      </c>
      <c r="E236" s="89" t="s">
        <v>5327</v>
      </c>
    </row>
    <row r="237" spans="1:5">
      <c r="A237" s="41">
        <v>148440</v>
      </c>
      <c r="B237" s="89" t="str">
        <f>VLOOKUP(A237,'prod-mongo'!A:B,2,FALSE)</f>
        <v>595f813e935f650021100794</v>
      </c>
      <c r="C237" s="88">
        <f>VLOOKUP('prod-prodcat'!A237,'Item Database'!A:CC,76,FALSE)</f>
        <v>349</v>
      </c>
      <c r="D237" s="90">
        <f>VLOOKUP(C237,'brand-map'!A:B,2,FALSE)</f>
        <v>1510</v>
      </c>
      <c r="E237" s="89" t="s">
        <v>5327</v>
      </c>
    </row>
    <row r="238" spans="1:5">
      <c r="A238" s="41">
        <v>806933</v>
      </c>
      <c r="B238" s="89" t="str">
        <f>VLOOKUP(A238,'prod-mongo'!A:B,2,FALSE)</f>
        <v>595f813e935f650021100795</v>
      </c>
      <c r="C238" s="88">
        <f>VLOOKUP('prod-prodcat'!A238,'Item Database'!A:CC,76,FALSE)</f>
        <v>751</v>
      </c>
      <c r="D238" s="90">
        <f>VLOOKUP(C238,'brand-map'!A:B,2,FALSE)</f>
        <v>1880</v>
      </c>
      <c r="E238" s="89" t="s">
        <v>5327</v>
      </c>
    </row>
    <row r="239" spans="1:5">
      <c r="A239" s="41">
        <v>226141</v>
      </c>
      <c r="B239" s="89" t="str">
        <f>VLOOKUP(A239,'prod-mongo'!A:B,2,FALSE)</f>
        <v>595f813e935f650021100796</v>
      </c>
      <c r="C239" s="88">
        <f>VLOOKUP('prod-prodcat'!A239,'Item Database'!A:CC,76,FALSE)</f>
        <v>488</v>
      </c>
      <c r="D239" s="90">
        <f>VLOOKUP(C239,'brand-map'!A:B,2,FALSE)</f>
        <v>1635</v>
      </c>
      <c r="E239" s="89" t="s">
        <v>5327</v>
      </c>
    </row>
    <row r="240" spans="1:5">
      <c r="A240" s="41">
        <v>217972</v>
      </c>
      <c r="B240" s="89" t="str">
        <f>VLOOKUP(A240,'prod-mongo'!A:B,2,FALSE)</f>
        <v>595f813e935f650021100797</v>
      </c>
      <c r="C240" s="88">
        <f>VLOOKUP('prod-prodcat'!A240,'Item Database'!A:CC,76,FALSE)</f>
        <v>961</v>
      </c>
      <c r="D240" s="90">
        <f>VLOOKUP(C240,'brand-map'!A:B,2,FALSE)</f>
        <v>1976</v>
      </c>
      <c r="E240" s="89" t="s">
        <v>5327</v>
      </c>
    </row>
    <row r="241" spans="1:5">
      <c r="A241" s="41">
        <v>805327</v>
      </c>
      <c r="B241" s="89" t="str">
        <f>VLOOKUP(A241,'prod-mongo'!A:B,2,FALSE)</f>
        <v>595f813e935f650021100798</v>
      </c>
      <c r="C241" s="88">
        <f>VLOOKUP('prod-prodcat'!A241,'Item Database'!A:CC,76,FALSE)</f>
        <v>961</v>
      </c>
      <c r="D241" s="90">
        <f>VLOOKUP(C241,'brand-map'!A:B,2,FALSE)</f>
        <v>1976</v>
      </c>
      <c r="E241" s="89" t="s">
        <v>5327</v>
      </c>
    </row>
    <row r="242" spans="1:5">
      <c r="A242" s="41">
        <v>819203</v>
      </c>
      <c r="B242" s="89" t="str">
        <f>VLOOKUP(A242,'prod-mongo'!A:B,2,FALSE)</f>
        <v>595f813e935f650021100799</v>
      </c>
      <c r="C242" s="88">
        <f>VLOOKUP('prod-prodcat'!A242,'Item Database'!A:CC,76,FALSE)</f>
        <v>102</v>
      </c>
      <c r="D242" s="90">
        <f>VLOOKUP(C242,'brand-map'!A:B,2,FALSE)</f>
        <v>1282</v>
      </c>
      <c r="E242" s="89" t="s">
        <v>5327</v>
      </c>
    </row>
    <row r="243" spans="1:5">
      <c r="A243" s="41">
        <v>818789</v>
      </c>
      <c r="B243" s="89" t="str">
        <f>VLOOKUP(A243,'prod-mongo'!A:B,2,FALSE)</f>
        <v>595f813e935f65002110079a</v>
      </c>
      <c r="C243" s="88">
        <f>VLOOKUP('prod-prodcat'!A243,'Item Database'!A:CC,76,FALSE)</f>
        <v>961</v>
      </c>
      <c r="D243" s="90">
        <f>VLOOKUP(C243,'brand-map'!A:B,2,FALSE)</f>
        <v>1976</v>
      </c>
      <c r="E243" s="89" t="s">
        <v>5327</v>
      </c>
    </row>
    <row r="244" spans="1:5">
      <c r="A244" s="41">
        <v>207826</v>
      </c>
      <c r="B244" s="89" t="str">
        <f>VLOOKUP(A244,'prod-mongo'!A:B,2,FALSE)</f>
        <v>595f813e935f65002110079b</v>
      </c>
      <c r="C244" s="88">
        <f>VLOOKUP('prod-prodcat'!A244,'Item Database'!A:CC,76,FALSE)</f>
        <v>1421</v>
      </c>
      <c r="D244" s="90">
        <f>VLOOKUP(C244,'brand-map'!A:B,2,FALSE)</f>
        <v>2416</v>
      </c>
      <c r="E244" s="89" t="s">
        <v>5327</v>
      </c>
    </row>
    <row r="245" spans="1:5">
      <c r="A245" s="41">
        <v>444092</v>
      </c>
      <c r="B245" s="89" t="str">
        <f>VLOOKUP(A245,'prod-mongo'!A:B,2,FALSE)</f>
        <v>595f813e935f65002110079c</v>
      </c>
      <c r="C245" s="88">
        <f>VLOOKUP('prod-prodcat'!A245,'Item Database'!A:CC,76,FALSE)</f>
        <v>916</v>
      </c>
      <c r="D245" s="90">
        <f>VLOOKUP(C245,'brand-map'!A:B,2,FALSE)</f>
        <v>1938</v>
      </c>
      <c r="E245" s="89" t="s">
        <v>5327</v>
      </c>
    </row>
    <row r="246" spans="1:5">
      <c r="A246" s="41">
        <v>810335</v>
      </c>
      <c r="B246" s="89" t="str">
        <f>VLOOKUP(A246,'prod-mongo'!A:B,2,FALSE)</f>
        <v>595f813e935f65002110079d</v>
      </c>
      <c r="C246" s="88">
        <f>VLOOKUP('prod-prodcat'!A246,'Item Database'!A:CC,76,FALSE)</f>
        <v>53</v>
      </c>
      <c r="D246" s="90">
        <f>VLOOKUP(C246,'brand-map'!A:B,2,FALSE)</f>
        <v>1238</v>
      </c>
      <c r="E246" s="89" t="s">
        <v>5327</v>
      </c>
    </row>
    <row r="247" spans="1:5">
      <c r="A247" s="41">
        <v>810336</v>
      </c>
      <c r="B247" s="89" t="str">
        <f>VLOOKUP(A247,'prod-mongo'!A:B,2,FALSE)</f>
        <v>595f813e935f65002110079e</v>
      </c>
      <c r="C247" s="88">
        <f>VLOOKUP('prod-prodcat'!A247,'Item Database'!A:CC,76,FALSE)</f>
        <v>53</v>
      </c>
      <c r="D247" s="90">
        <f>VLOOKUP(C247,'brand-map'!A:B,2,FALSE)</f>
        <v>1238</v>
      </c>
      <c r="E247" s="89" t="s">
        <v>5327</v>
      </c>
    </row>
    <row r="248" spans="1:5">
      <c r="A248" s="41">
        <v>228851</v>
      </c>
      <c r="B248" s="89" t="str">
        <f>VLOOKUP(A248,'prod-mongo'!A:B,2,FALSE)</f>
        <v>595f813e935f65002110079f</v>
      </c>
      <c r="C248" s="88">
        <f>VLOOKUP('prod-prodcat'!A248,'Item Database'!A:CC,76,FALSE)</f>
        <v>214</v>
      </c>
      <c r="D248" s="90">
        <f>VLOOKUP(C248,'brand-map'!A:B,2,FALSE)</f>
        <v>1385</v>
      </c>
      <c r="E248" s="89" t="s">
        <v>5327</v>
      </c>
    </row>
    <row r="249" spans="1:5">
      <c r="A249" s="41">
        <v>891891</v>
      </c>
      <c r="B249" s="89" t="str">
        <f>VLOOKUP(A249,'prod-mongo'!A:B,2,FALSE)</f>
        <v>595f813e935f6500211007a0</v>
      </c>
      <c r="C249" s="88">
        <f>VLOOKUP('prod-prodcat'!A249,'Item Database'!A:CC,76,FALSE)</f>
        <v>248</v>
      </c>
      <c r="D249" s="90">
        <f>VLOOKUP(C249,'brand-map'!A:B,2,FALSE)</f>
        <v>1416</v>
      </c>
      <c r="E249" s="89" t="s">
        <v>5327</v>
      </c>
    </row>
    <row r="250" spans="1:5">
      <c r="A250" s="41">
        <v>152101</v>
      </c>
      <c r="B250" s="89" t="str">
        <f>VLOOKUP(A250,'prod-mongo'!A:B,2,FALSE)</f>
        <v>595f813e935f6500211007a1</v>
      </c>
      <c r="C250" s="88">
        <f>VLOOKUP('prod-prodcat'!A250,'Item Database'!A:CC,76,FALSE)</f>
        <v>248</v>
      </c>
      <c r="D250" s="90">
        <f>VLOOKUP(C250,'brand-map'!A:B,2,FALSE)</f>
        <v>1416</v>
      </c>
      <c r="E250" s="89" t="s">
        <v>5327</v>
      </c>
    </row>
    <row r="251" spans="1:5">
      <c r="A251" s="41">
        <v>269775</v>
      </c>
      <c r="B251" s="89" t="str">
        <f>VLOOKUP(A251,'prod-mongo'!A:B,2,FALSE)</f>
        <v>595f813e935f6500211007a2</v>
      </c>
      <c r="C251" s="88">
        <f>VLOOKUP('prod-prodcat'!A251,'Item Database'!A:CC,76,FALSE)</f>
        <v>538</v>
      </c>
      <c r="D251" s="90">
        <f>VLOOKUP(C251,'brand-map'!A:B,2,FALSE)</f>
        <v>1684</v>
      </c>
      <c r="E251" s="89" t="s">
        <v>5327</v>
      </c>
    </row>
    <row r="252" spans="1:5">
      <c r="A252" s="41">
        <v>269777</v>
      </c>
      <c r="B252" s="89" t="str">
        <f>VLOOKUP(A252,'prod-mongo'!A:B,2,FALSE)</f>
        <v>595f813e935f6500211007a3</v>
      </c>
      <c r="C252" s="88">
        <f>VLOOKUP('prod-prodcat'!A252,'Item Database'!A:CC,76,FALSE)</f>
        <v>538</v>
      </c>
      <c r="D252" s="90">
        <f>VLOOKUP(C252,'brand-map'!A:B,2,FALSE)</f>
        <v>1684</v>
      </c>
      <c r="E252" s="89" t="s">
        <v>5327</v>
      </c>
    </row>
    <row r="253" spans="1:5">
      <c r="A253" s="41">
        <v>198499</v>
      </c>
      <c r="B253" s="89" t="str">
        <f>VLOOKUP(A253,'prod-mongo'!A:B,2,FALSE)</f>
        <v>595f813e935f6500211007a4</v>
      </c>
      <c r="C253" s="88">
        <f>VLOOKUP('prod-prodcat'!A253,'Item Database'!A:CC,76,FALSE)</f>
        <v>80</v>
      </c>
      <c r="D253" s="90">
        <f>VLOOKUP(C253,'brand-map'!A:B,2,FALSE)</f>
        <v>1264</v>
      </c>
      <c r="E253" s="89" t="s">
        <v>5327</v>
      </c>
    </row>
    <row r="254" spans="1:5">
      <c r="A254" s="41">
        <v>923650</v>
      </c>
      <c r="B254" s="89" t="str">
        <f>VLOOKUP(A254,'prod-mongo'!A:B,2,FALSE)</f>
        <v>595f813e935f6500211007a5</v>
      </c>
      <c r="C254" s="88">
        <f>VLOOKUP('prod-prodcat'!A254,'Item Database'!A:CC,76,FALSE)</f>
        <v>520</v>
      </c>
      <c r="D254" s="90">
        <f>VLOOKUP(C254,'brand-map'!A:B,2,FALSE)</f>
        <v>1667</v>
      </c>
      <c r="E254" s="89" t="s">
        <v>5327</v>
      </c>
    </row>
    <row r="255" spans="1:5">
      <c r="A255" s="41">
        <v>818707</v>
      </c>
      <c r="B255" s="89" t="str">
        <f>VLOOKUP(A255,'prod-mongo'!A:B,2,FALSE)</f>
        <v>595f813e935f6500211007a6</v>
      </c>
      <c r="C255" s="88">
        <f>VLOOKUP('prod-prodcat'!A255,'Item Database'!A:CC,76,FALSE)</f>
        <v>0</v>
      </c>
      <c r="D255" s="90">
        <f>VLOOKUP(C255,'brand-map'!A:B,2,FALSE)</f>
        <v>1193</v>
      </c>
      <c r="E255" s="89" t="s">
        <v>5327</v>
      </c>
    </row>
    <row r="256" spans="1:5">
      <c r="A256" s="41">
        <v>777672</v>
      </c>
      <c r="B256" s="89" t="str">
        <f>VLOOKUP(A256,'prod-mongo'!A:B,2,FALSE)</f>
        <v>595f813e935f6500211007a7</v>
      </c>
      <c r="C256" s="88">
        <f>VLOOKUP('prod-prodcat'!A256,'Item Database'!A:CC,76,FALSE)</f>
        <v>0</v>
      </c>
      <c r="D256" s="90">
        <f>VLOOKUP(C256,'brand-map'!A:B,2,FALSE)</f>
        <v>1193</v>
      </c>
      <c r="E256" s="89" t="s">
        <v>5327</v>
      </c>
    </row>
    <row r="257" spans="1:5">
      <c r="A257" s="41">
        <v>777301</v>
      </c>
      <c r="B257" s="89" t="str">
        <f>VLOOKUP(A257,'prod-mongo'!A:B,2,FALSE)</f>
        <v>595f813e935f6500211007a8</v>
      </c>
      <c r="C257" s="88">
        <f>VLOOKUP('prod-prodcat'!A257,'Item Database'!A:CC,76,FALSE)</f>
        <v>0</v>
      </c>
      <c r="D257" s="90">
        <f>VLOOKUP(C257,'brand-map'!A:B,2,FALSE)</f>
        <v>1193</v>
      </c>
      <c r="E257" s="89" t="s">
        <v>5327</v>
      </c>
    </row>
    <row r="258" spans="1:5">
      <c r="A258" s="41">
        <v>777851</v>
      </c>
      <c r="B258" s="89" t="str">
        <f>VLOOKUP(A258,'prod-mongo'!A:B,2,FALSE)</f>
        <v>595f813e935f6500211007a9</v>
      </c>
      <c r="C258" s="88">
        <f>VLOOKUP('prod-prodcat'!A258,'Item Database'!A:CC,76,FALSE)</f>
        <v>0</v>
      </c>
      <c r="D258" s="90">
        <f>VLOOKUP(C258,'brand-map'!A:B,2,FALSE)</f>
        <v>1193</v>
      </c>
      <c r="E258" s="89" t="s">
        <v>5327</v>
      </c>
    </row>
    <row r="259" spans="1:5">
      <c r="A259" s="41">
        <v>777759</v>
      </c>
      <c r="B259" s="89" t="str">
        <f>VLOOKUP(A259,'prod-mongo'!A:B,2,FALSE)</f>
        <v>595f813e935f6500211007aa</v>
      </c>
      <c r="C259" s="88">
        <f>VLOOKUP('prod-prodcat'!A259,'Item Database'!A:CC,76,FALSE)</f>
        <v>0</v>
      </c>
      <c r="D259" s="90">
        <f>VLOOKUP(C259,'brand-map'!A:B,2,FALSE)</f>
        <v>1193</v>
      </c>
      <c r="E259" s="89" t="s">
        <v>5327</v>
      </c>
    </row>
    <row r="260" spans="1:5">
      <c r="A260" s="41">
        <v>804140</v>
      </c>
      <c r="B260" s="89" t="str">
        <f>VLOOKUP(A260,'prod-mongo'!A:B,2,FALSE)</f>
        <v>595f813e935f6500211007ab</v>
      </c>
      <c r="C260" s="88">
        <f>VLOOKUP('prod-prodcat'!A260,'Item Database'!A:CC,76,FALSE)</f>
        <v>694</v>
      </c>
      <c r="D260" s="90">
        <f>VLOOKUP(C260,'brand-map'!A:B,2,FALSE)</f>
        <v>1825</v>
      </c>
      <c r="E260" s="89" t="s">
        <v>5327</v>
      </c>
    </row>
    <row r="261" spans="1:5">
      <c r="A261" s="41">
        <v>804141</v>
      </c>
      <c r="B261" s="89" t="str">
        <f>VLOOKUP(A261,'prod-mongo'!A:B,2,FALSE)</f>
        <v>595f813e935f6500211007ac</v>
      </c>
      <c r="C261" s="88">
        <f>VLOOKUP('prod-prodcat'!A261,'Item Database'!A:CC,76,FALSE)</f>
        <v>694</v>
      </c>
      <c r="D261" s="90">
        <f>VLOOKUP(C261,'brand-map'!A:B,2,FALSE)</f>
        <v>1825</v>
      </c>
      <c r="E261" s="89" t="s">
        <v>5327</v>
      </c>
    </row>
    <row r="262" spans="1:5">
      <c r="A262" s="41">
        <v>106855</v>
      </c>
      <c r="B262" s="89" t="str">
        <f>VLOOKUP(A262,'prod-mongo'!A:B,2,FALSE)</f>
        <v>595f813e935f6500211007ad</v>
      </c>
      <c r="C262" s="88">
        <f>VLOOKUP('prod-prodcat'!A262,'Item Database'!A:CC,76,FALSE)</f>
        <v>394</v>
      </c>
      <c r="D262" s="90">
        <f>VLOOKUP(C262,'brand-map'!A:B,2,FALSE)</f>
        <v>1550</v>
      </c>
      <c r="E262" s="89" t="s">
        <v>5327</v>
      </c>
    </row>
    <row r="263" spans="1:5">
      <c r="A263" s="41">
        <v>163720</v>
      </c>
      <c r="B263" s="89" t="str">
        <f>VLOOKUP(A263,'prod-mongo'!A:B,2,FALSE)</f>
        <v>595f813e935f6500211007ae</v>
      </c>
      <c r="C263" s="88">
        <f>VLOOKUP('prod-prodcat'!A263,'Item Database'!A:CC,76,FALSE)</f>
        <v>140</v>
      </c>
      <c r="D263" s="90">
        <f>VLOOKUP(C263,'brand-map'!A:B,2,FALSE)</f>
        <v>1317</v>
      </c>
      <c r="E263" s="89" t="s">
        <v>5327</v>
      </c>
    </row>
    <row r="264" spans="1:5">
      <c r="A264" s="41">
        <v>163721</v>
      </c>
      <c r="B264" s="89" t="str">
        <f>VLOOKUP(A264,'prod-mongo'!A:B,2,FALSE)</f>
        <v>595f813e935f6500211007af</v>
      </c>
      <c r="C264" s="88">
        <f>VLOOKUP('prod-prodcat'!A264,'Item Database'!A:CC,76,FALSE)</f>
        <v>394</v>
      </c>
      <c r="D264" s="90">
        <f>VLOOKUP(C264,'brand-map'!A:B,2,FALSE)</f>
        <v>1550</v>
      </c>
      <c r="E264" s="89" t="s">
        <v>5327</v>
      </c>
    </row>
    <row r="265" spans="1:5">
      <c r="A265" s="41">
        <v>126790</v>
      </c>
      <c r="B265" s="89" t="str">
        <f>VLOOKUP(A265,'prod-mongo'!A:B,2,FALSE)</f>
        <v>595f813e935f6500211007b0</v>
      </c>
      <c r="C265" s="88">
        <f>VLOOKUP('prod-prodcat'!A265,'Item Database'!A:CC,76,FALSE)</f>
        <v>38</v>
      </c>
      <c r="D265" s="90">
        <f>VLOOKUP(C265,'brand-map'!A:B,2,FALSE)</f>
        <v>1224</v>
      </c>
      <c r="E265" s="89" t="s">
        <v>5327</v>
      </c>
    </row>
    <row r="266" spans="1:5">
      <c r="A266" s="41">
        <v>148700</v>
      </c>
      <c r="B266" s="89" t="str">
        <f>VLOOKUP(A266,'prod-mongo'!A:B,2,FALSE)</f>
        <v>595f813e935f6500211007b1</v>
      </c>
      <c r="C266" s="88">
        <f>VLOOKUP('prod-prodcat'!A266,'Item Database'!A:CC,76,FALSE)</f>
        <v>1163</v>
      </c>
      <c r="D266" s="90">
        <f>VLOOKUP(C266,'brand-map'!A:B,2,FALSE)</f>
        <v>2168</v>
      </c>
      <c r="E266" s="89" t="s">
        <v>5327</v>
      </c>
    </row>
    <row r="267" spans="1:5">
      <c r="A267" s="41">
        <v>198882</v>
      </c>
      <c r="B267" s="89" t="str">
        <f>VLOOKUP(A267,'prod-mongo'!A:B,2,FALSE)</f>
        <v>595f813e935f6500211007b2</v>
      </c>
      <c r="C267" s="88">
        <f>VLOOKUP('prod-prodcat'!A267,'Item Database'!A:CC,76,FALSE)</f>
        <v>39</v>
      </c>
      <c r="D267" s="90">
        <f>VLOOKUP(C267,'brand-map'!A:B,2,FALSE)</f>
        <v>1225</v>
      </c>
      <c r="E267" s="89" t="s">
        <v>5327</v>
      </c>
    </row>
    <row r="268" spans="1:5">
      <c r="A268" s="41">
        <v>110462</v>
      </c>
      <c r="B268" s="89" t="str">
        <f>VLOOKUP(A268,'prod-mongo'!A:B,2,FALSE)</f>
        <v>595f813e935f6500211007b3</v>
      </c>
      <c r="C268" s="88">
        <f>VLOOKUP('prod-prodcat'!A268,'Item Database'!A:CC,76,FALSE)</f>
        <v>938</v>
      </c>
      <c r="D268" s="90">
        <f>VLOOKUP(C268,'brand-map'!A:B,2,FALSE)</f>
        <v>1956</v>
      </c>
      <c r="E268" s="89" t="s">
        <v>5327</v>
      </c>
    </row>
    <row r="269" spans="1:5">
      <c r="A269" s="41">
        <v>180321</v>
      </c>
      <c r="B269" s="89" t="str">
        <f>VLOOKUP(A269,'prod-mongo'!A:B,2,FALSE)</f>
        <v>595f813e935f6500211007b4</v>
      </c>
      <c r="C269" s="88">
        <f>VLOOKUP('prod-prodcat'!A269,'Item Database'!A:CC,76,FALSE)</f>
        <v>692</v>
      </c>
      <c r="D269" s="90">
        <f>VLOOKUP(C269,'brand-map'!A:B,2,FALSE)</f>
        <v>1823</v>
      </c>
      <c r="E269" s="89" t="s">
        <v>5327</v>
      </c>
    </row>
    <row r="270" spans="1:5">
      <c r="A270" s="41">
        <v>40651</v>
      </c>
      <c r="B270" s="89" t="str">
        <f>VLOOKUP(A270,'prod-mongo'!A:B,2,FALSE)</f>
        <v>595f813e935f6500211007b5</v>
      </c>
      <c r="C270" s="88">
        <f>VLOOKUP('prod-prodcat'!A270,'Item Database'!A:CC,76,FALSE)</f>
        <v>692</v>
      </c>
      <c r="D270" s="90">
        <f>VLOOKUP(C270,'brand-map'!A:B,2,FALSE)</f>
        <v>1823</v>
      </c>
      <c r="E270" s="89" t="s">
        <v>5327</v>
      </c>
    </row>
    <row r="271" spans="1:5">
      <c r="A271" s="41">
        <v>157729</v>
      </c>
      <c r="B271" s="89" t="str">
        <f>VLOOKUP(A271,'prod-mongo'!A:B,2,FALSE)</f>
        <v>595f813e935f6500211007b6</v>
      </c>
      <c r="C271" s="88">
        <f>VLOOKUP('prod-prodcat'!A271,'Item Database'!A:CC,76,FALSE)</f>
        <v>120</v>
      </c>
      <c r="D271" s="90">
        <f>VLOOKUP(C271,'brand-map'!A:B,2,FALSE)</f>
        <v>1299</v>
      </c>
      <c r="E271" s="89" t="s">
        <v>5327</v>
      </c>
    </row>
    <row r="272" spans="1:5">
      <c r="A272" s="41">
        <v>136818</v>
      </c>
      <c r="B272" s="89" t="str">
        <f>VLOOKUP(A272,'prod-mongo'!A:B,2,FALSE)</f>
        <v>595f813e935f6500211007b7</v>
      </c>
      <c r="C272" s="88">
        <f>VLOOKUP('prod-prodcat'!A272,'Item Database'!A:CC,76,FALSE)</f>
        <v>637</v>
      </c>
      <c r="D272" s="90">
        <f>VLOOKUP(C272,'brand-map'!A:B,2,FALSE)</f>
        <v>1774</v>
      </c>
      <c r="E272" s="89" t="s">
        <v>5327</v>
      </c>
    </row>
    <row r="273" spans="1:5">
      <c r="A273" s="41">
        <v>127011</v>
      </c>
      <c r="B273" s="89" t="str">
        <f>VLOOKUP(A273,'prod-mongo'!A:B,2,FALSE)</f>
        <v>595f813e935f6500211007b8</v>
      </c>
      <c r="C273" s="88">
        <f>VLOOKUP('prod-prodcat'!A273,'Item Database'!A:CC,76,FALSE)</f>
        <v>38</v>
      </c>
      <c r="D273" s="90">
        <f>VLOOKUP(C273,'brand-map'!A:B,2,FALSE)</f>
        <v>1224</v>
      </c>
      <c r="E273" s="89" t="s">
        <v>5327</v>
      </c>
    </row>
    <row r="274" spans="1:5">
      <c r="A274" s="41">
        <v>803943</v>
      </c>
      <c r="B274" s="89" t="str">
        <f>VLOOKUP(A274,'prod-mongo'!A:B,2,FALSE)</f>
        <v>595f813e935f6500211007b9</v>
      </c>
      <c r="C274" s="88">
        <f>VLOOKUP('prod-prodcat'!A274,'Item Database'!A:CC,76,FALSE)</f>
        <v>38</v>
      </c>
      <c r="D274" s="90">
        <f>VLOOKUP(C274,'brand-map'!A:B,2,FALSE)</f>
        <v>1224</v>
      </c>
      <c r="E274" s="89" t="s">
        <v>5327</v>
      </c>
    </row>
    <row r="275" spans="1:5">
      <c r="A275" s="41">
        <v>803945</v>
      </c>
      <c r="B275" s="89" t="str">
        <f>VLOOKUP(A275,'prod-mongo'!A:B,2,FALSE)</f>
        <v>595f813e935f6500211007ba</v>
      </c>
      <c r="C275" s="88">
        <f>VLOOKUP('prod-prodcat'!A275,'Item Database'!A:CC,76,FALSE)</f>
        <v>38</v>
      </c>
      <c r="D275" s="90">
        <f>VLOOKUP(C275,'brand-map'!A:B,2,FALSE)</f>
        <v>1224</v>
      </c>
      <c r="E275" s="89" t="s">
        <v>5327</v>
      </c>
    </row>
    <row r="276" spans="1:5">
      <c r="A276" s="41">
        <v>163724</v>
      </c>
      <c r="B276" s="89" t="str">
        <f>VLOOKUP(A276,'prod-mongo'!A:B,2,FALSE)</f>
        <v>595f813e935f6500211007bb</v>
      </c>
      <c r="C276" s="88">
        <f>VLOOKUP('prod-prodcat'!A276,'Item Database'!A:CC,76,FALSE)</f>
        <v>394</v>
      </c>
      <c r="D276" s="90">
        <f>VLOOKUP(C276,'brand-map'!A:B,2,FALSE)</f>
        <v>1550</v>
      </c>
      <c r="E276" s="89" t="s">
        <v>5327</v>
      </c>
    </row>
    <row r="277" spans="1:5">
      <c r="A277" s="41">
        <v>374933</v>
      </c>
      <c r="B277" s="89" t="str">
        <f>VLOOKUP(A277,'prod-mongo'!A:B,2,FALSE)</f>
        <v>595f813e935f6500211007bc</v>
      </c>
      <c r="C277" s="88">
        <f>VLOOKUP('prod-prodcat'!A277,'Item Database'!A:CC,76,FALSE)</f>
        <v>139</v>
      </c>
      <c r="D277" s="90">
        <f>VLOOKUP(C277,'brand-map'!A:B,2,FALSE)</f>
        <v>1316</v>
      </c>
      <c r="E277" s="89" t="s">
        <v>5327</v>
      </c>
    </row>
    <row r="278" spans="1:5">
      <c r="A278" s="41">
        <v>198417</v>
      </c>
      <c r="B278" s="89" t="str">
        <f>VLOOKUP(A278,'prod-mongo'!A:B,2,FALSE)</f>
        <v>595f813e935f6500211007bd</v>
      </c>
      <c r="C278" s="88">
        <f>VLOOKUP('prod-prodcat'!A278,'Item Database'!A:CC,76,FALSE)</f>
        <v>547</v>
      </c>
      <c r="D278" s="90">
        <f>VLOOKUP(C278,'brand-map'!A:B,2,FALSE)</f>
        <v>1692</v>
      </c>
      <c r="E278" s="89" t="s">
        <v>5327</v>
      </c>
    </row>
    <row r="279" spans="1:5">
      <c r="A279" s="41">
        <v>144241</v>
      </c>
      <c r="B279" s="89" t="str">
        <f>VLOOKUP(A279,'prod-mongo'!A:B,2,FALSE)</f>
        <v>595f813e935f6500211007be</v>
      </c>
      <c r="C279" s="88">
        <f>VLOOKUP('prod-prodcat'!A279,'Item Database'!A:CC,76,FALSE)</f>
        <v>547</v>
      </c>
      <c r="D279" s="90">
        <f>VLOOKUP(C279,'brand-map'!A:B,2,FALSE)</f>
        <v>1692</v>
      </c>
      <c r="E279" s="89" t="s">
        <v>5327</v>
      </c>
    </row>
    <row r="280" spans="1:5">
      <c r="A280" s="41">
        <v>144245</v>
      </c>
      <c r="B280" s="89" t="str">
        <f>VLOOKUP(A280,'prod-mongo'!A:B,2,FALSE)</f>
        <v>595f813e935f6500211007bf</v>
      </c>
      <c r="C280" s="88">
        <f>VLOOKUP('prod-prodcat'!A280,'Item Database'!A:CC,76,FALSE)</f>
        <v>547</v>
      </c>
      <c r="D280" s="90">
        <f>VLOOKUP(C280,'brand-map'!A:B,2,FALSE)</f>
        <v>1692</v>
      </c>
      <c r="E280" s="89" t="s">
        <v>5327</v>
      </c>
    </row>
    <row r="281" spans="1:5">
      <c r="A281" s="41">
        <v>123182</v>
      </c>
      <c r="B281" s="89" t="str">
        <f>VLOOKUP(A281,'prod-mongo'!A:B,2,FALSE)</f>
        <v>59141fc6b21a1d00824f5180</v>
      </c>
      <c r="C281" s="88">
        <f>VLOOKUP('prod-prodcat'!A281,'Item Database'!A:CC,76,FALSE)</f>
        <v>457</v>
      </c>
      <c r="D281" s="90">
        <f>VLOOKUP(C281,'brand-map'!A:B,2,FALSE)</f>
        <v>1610</v>
      </c>
      <c r="E281" s="89" t="s">
        <v>5327</v>
      </c>
    </row>
    <row r="282" spans="1:5">
      <c r="A282" s="41">
        <v>123184</v>
      </c>
      <c r="B282" s="89" t="str">
        <f>VLOOKUP(A282,'prod-mongo'!A:B,2,FALSE)</f>
        <v>5914201fb21a1d00824f64ef</v>
      </c>
      <c r="C282" s="88">
        <f>VLOOKUP('prod-prodcat'!A282,'Item Database'!A:CC,76,FALSE)</f>
        <v>457</v>
      </c>
      <c r="D282" s="90">
        <f>VLOOKUP(C282,'brand-map'!A:B,2,FALSE)</f>
        <v>1610</v>
      </c>
      <c r="E282" s="89" t="s">
        <v>5327</v>
      </c>
    </row>
    <row r="283" spans="1:5">
      <c r="A283" s="41">
        <v>106251</v>
      </c>
      <c r="B283" s="89" t="str">
        <f>VLOOKUP(A283,'prod-mongo'!A:B,2,FALSE)</f>
        <v>595f813e935f6500211007c0</v>
      </c>
      <c r="C283" s="88">
        <f>VLOOKUP('prod-prodcat'!A283,'Item Database'!A:CC,76,FALSE)</f>
        <v>547</v>
      </c>
      <c r="D283" s="90">
        <f>VLOOKUP(C283,'brand-map'!A:B,2,FALSE)</f>
        <v>1692</v>
      </c>
      <c r="E283" s="89" t="s">
        <v>5327</v>
      </c>
    </row>
    <row r="284" spans="1:5">
      <c r="A284" s="41">
        <v>106250</v>
      </c>
      <c r="B284" s="89" t="str">
        <f>VLOOKUP(A284,'prod-mongo'!A:B,2,FALSE)</f>
        <v>595f813e935f6500211007c1</v>
      </c>
      <c r="C284" s="88">
        <f>VLOOKUP('prod-prodcat'!A284,'Item Database'!A:CC,76,FALSE)</f>
        <v>547</v>
      </c>
      <c r="D284" s="90">
        <f>VLOOKUP(C284,'brand-map'!A:B,2,FALSE)</f>
        <v>1692</v>
      </c>
      <c r="E284" s="89" t="s">
        <v>5327</v>
      </c>
    </row>
    <row r="285" spans="1:5">
      <c r="A285" s="41">
        <v>161691</v>
      </c>
      <c r="B285" s="89" t="str">
        <f>VLOOKUP(A285,'prod-mongo'!A:B,2,FALSE)</f>
        <v>595f813e935f6500211007c2</v>
      </c>
      <c r="C285" s="88">
        <f>VLOOKUP('prod-prodcat'!A285,'Item Database'!A:CC,76,FALSE)</f>
        <v>1180</v>
      </c>
      <c r="D285" s="90">
        <f>VLOOKUP(C285,'brand-map'!A:B,2,FALSE)</f>
        <v>2185</v>
      </c>
      <c r="E285" s="89" t="s">
        <v>5327</v>
      </c>
    </row>
    <row r="286" spans="1:5">
      <c r="A286" s="41">
        <v>107326</v>
      </c>
      <c r="B286" s="89" t="str">
        <f>VLOOKUP(A286,'prod-mongo'!A:B,2,FALSE)</f>
        <v>59142009b21a1d00824f60a3</v>
      </c>
      <c r="C286" s="88">
        <f>VLOOKUP('prod-prodcat'!A286,'Item Database'!A:CC,76,FALSE)</f>
        <v>692</v>
      </c>
      <c r="D286" s="90">
        <f>VLOOKUP(C286,'brand-map'!A:B,2,FALSE)</f>
        <v>1823</v>
      </c>
      <c r="E286" s="89" t="s">
        <v>5327</v>
      </c>
    </row>
    <row r="287" spans="1:5">
      <c r="A287" s="41">
        <v>107325</v>
      </c>
      <c r="B287" s="89" t="str">
        <f>VLOOKUP(A287,'prod-mongo'!A:B,2,FALSE)</f>
        <v>59141fffb21a1d00824f5ef3</v>
      </c>
      <c r="C287" s="88">
        <f>VLOOKUP('prod-prodcat'!A287,'Item Database'!A:CC,76,FALSE)</f>
        <v>692</v>
      </c>
      <c r="D287" s="90">
        <f>VLOOKUP(C287,'brand-map'!A:B,2,FALSE)</f>
        <v>1823</v>
      </c>
      <c r="E287" s="89" t="s">
        <v>5327</v>
      </c>
    </row>
    <row r="288" spans="1:5">
      <c r="A288" s="41">
        <v>114011</v>
      </c>
      <c r="B288" s="89" t="str">
        <f>VLOOKUP(A288,'prod-mongo'!A:B,2,FALSE)</f>
        <v>59141fd7b21a1d00824f5531</v>
      </c>
      <c r="C288" s="88">
        <f>VLOOKUP('prod-prodcat'!A288,'Item Database'!A:CC,76,FALSE)</f>
        <v>692</v>
      </c>
      <c r="D288" s="90">
        <f>VLOOKUP(C288,'brand-map'!A:B,2,FALSE)</f>
        <v>1823</v>
      </c>
      <c r="E288" s="89" t="s">
        <v>5327</v>
      </c>
    </row>
    <row r="289" spans="1:5">
      <c r="A289" s="41">
        <v>113969</v>
      </c>
      <c r="B289" s="89" t="str">
        <f>VLOOKUP(A289,'prod-mongo'!A:B,2,FALSE)</f>
        <v>59141fc5b21a1d00824f516a</v>
      </c>
      <c r="C289" s="88">
        <f>VLOOKUP('prod-prodcat'!A289,'Item Database'!A:CC,76,FALSE)</f>
        <v>692</v>
      </c>
      <c r="D289" s="90">
        <f>VLOOKUP(C289,'brand-map'!A:B,2,FALSE)</f>
        <v>1823</v>
      </c>
      <c r="E289" s="89" t="s">
        <v>5327</v>
      </c>
    </row>
    <row r="290" spans="1:5">
      <c r="A290" s="41">
        <v>37817</v>
      </c>
      <c r="B290" s="89" t="str">
        <f>VLOOKUP(A290,'prod-mongo'!A:B,2,FALSE)</f>
        <v>595f813e935f6500211007c3</v>
      </c>
      <c r="C290" s="88">
        <f>VLOOKUP('prod-prodcat'!A290,'Item Database'!A:CC,76,FALSE)</f>
        <v>103</v>
      </c>
      <c r="D290" s="90">
        <f>VLOOKUP(C290,'brand-map'!A:B,2,FALSE)</f>
        <v>1283</v>
      </c>
      <c r="E290" s="89" t="s">
        <v>5327</v>
      </c>
    </row>
    <row r="291" spans="1:5">
      <c r="A291" s="41">
        <v>161259</v>
      </c>
      <c r="B291" s="89" t="str">
        <f>VLOOKUP(A291,'prod-mongo'!A:B,2,FALSE)</f>
        <v>595f813e935f6500211007c4</v>
      </c>
      <c r="C291" s="88">
        <f>VLOOKUP('prod-prodcat'!A291,'Item Database'!A:CC,76,FALSE)</f>
        <v>103</v>
      </c>
      <c r="D291" s="90">
        <f>VLOOKUP(C291,'brand-map'!A:B,2,FALSE)</f>
        <v>1283</v>
      </c>
      <c r="E291" s="89" t="s">
        <v>5327</v>
      </c>
    </row>
    <row r="292" spans="1:5">
      <c r="A292" s="41">
        <v>146447</v>
      </c>
      <c r="B292" s="89" t="str">
        <f>VLOOKUP(A292,'prod-mongo'!A:B,2,FALSE)</f>
        <v>595f813e935f6500211007c5</v>
      </c>
      <c r="C292" s="88">
        <f>VLOOKUP('prod-prodcat'!A292,'Item Database'!A:CC,76,FALSE)</f>
        <v>233</v>
      </c>
      <c r="D292" s="90">
        <f>VLOOKUP(C292,'brand-map'!A:B,2,FALSE)</f>
        <v>1401</v>
      </c>
      <c r="E292" s="89" t="s">
        <v>5327</v>
      </c>
    </row>
    <row r="293" spans="1:5">
      <c r="A293" s="41">
        <v>194766</v>
      </c>
      <c r="B293" s="89" t="str">
        <f>VLOOKUP(A293,'prod-mongo'!A:B,2,FALSE)</f>
        <v>5914200fb21a1d00824f61fd</v>
      </c>
      <c r="C293" s="88">
        <f>VLOOKUP('prod-prodcat'!A293,'Item Database'!A:CC,76,FALSE)</f>
        <v>233</v>
      </c>
      <c r="D293" s="90">
        <f>VLOOKUP(C293,'brand-map'!A:B,2,FALSE)</f>
        <v>1401</v>
      </c>
      <c r="E293" s="89" t="s">
        <v>5327</v>
      </c>
    </row>
    <row r="294" spans="1:5">
      <c r="A294" s="41">
        <v>147361</v>
      </c>
      <c r="B294" s="89" t="str">
        <f>VLOOKUP(A294,'prod-mongo'!A:B,2,FALSE)</f>
        <v>59141fcdb21a1d00824f52bf</v>
      </c>
      <c r="C294" s="88">
        <f>VLOOKUP('prod-prodcat'!A294,'Item Database'!A:CC,76,FALSE)</f>
        <v>233</v>
      </c>
      <c r="D294" s="90">
        <f>VLOOKUP(C294,'brand-map'!A:B,2,FALSE)</f>
        <v>1401</v>
      </c>
      <c r="E294" s="89" t="s">
        <v>5327</v>
      </c>
    </row>
    <row r="295" spans="1:5">
      <c r="A295" s="41">
        <v>902837</v>
      </c>
      <c r="B295" s="89" t="str">
        <f>VLOOKUP(A295,'prod-mongo'!A:B,2,FALSE)</f>
        <v>59142019b21a1d00824f63a5</v>
      </c>
      <c r="C295" s="88">
        <f>VLOOKUP('prod-prodcat'!A295,'Item Database'!A:CC,76,FALSE)</f>
        <v>474</v>
      </c>
      <c r="D295" s="90">
        <f>VLOOKUP(C295,'brand-map'!A:B,2,FALSE)</f>
        <v>1626</v>
      </c>
      <c r="E295" s="89" t="s">
        <v>5327</v>
      </c>
    </row>
    <row r="296" spans="1:5">
      <c r="A296" s="41">
        <v>125537</v>
      </c>
      <c r="B296" s="89" t="str">
        <f>VLOOKUP(A296,'prod-mongo'!A:B,2,FALSE)</f>
        <v>595f813e935f6500211007c6</v>
      </c>
      <c r="C296" s="88">
        <f>VLOOKUP('prod-prodcat'!A296,'Item Database'!A:CC,76,FALSE)</f>
        <v>474</v>
      </c>
      <c r="D296" s="90">
        <f>VLOOKUP(C296,'brand-map'!A:B,2,FALSE)</f>
        <v>1626</v>
      </c>
      <c r="E296" s="89" t="s">
        <v>5327</v>
      </c>
    </row>
    <row r="297" spans="1:5">
      <c r="A297" s="41">
        <v>147395</v>
      </c>
      <c r="B297" s="89" t="str">
        <f>VLOOKUP(A297,'prod-mongo'!A:B,2,FALSE)</f>
        <v>595f813e935f6500211007c7</v>
      </c>
      <c r="C297" s="88">
        <f>VLOOKUP('prod-prodcat'!A297,'Item Database'!A:CC,76,FALSE)</f>
        <v>233</v>
      </c>
      <c r="D297" s="90">
        <f>VLOOKUP(C297,'brand-map'!A:B,2,FALSE)</f>
        <v>1401</v>
      </c>
      <c r="E297" s="89" t="s">
        <v>5327</v>
      </c>
    </row>
    <row r="298" spans="1:5">
      <c r="A298" s="41">
        <v>109609</v>
      </c>
      <c r="B298" s="89" t="str">
        <f>VLOOKUP(A298,'prod-mongo'!A:B,2,FALSE)</f>
        <v>59142010b21a1d00824f6241</v>
      </c>
      <c r="C298" s="88">
        <f>VLOOKUP('prod-prodcat'!A298,'Item Database'!A:CC,76,FALSE)</f>
        <v>556</v>
      </c>
      <c r="D298" s="90">
        <f>VLOOKUP(C298,'brand-map'!A:B,2,FALSE)</f>
        <v>1701</v>
      </c>
      <c r="E298" s="89" t="s">
        <v>5327</v>
      </c>
    </row>
    <row r="299" spans="1:5">
      <c r="A299" s="41">
        <v>75972</v>
      </c>
      <c r="B299" s="89" t="str">
        <f>VLOOKUP(A299,'prod-mongo'!A:B,2,FALSE)</f>
        <v>595f813f935f6500211007c8</v>
      </c>
      <c r="C299" s="88">
        <f>VLOOKUP('prod-prodcat'!A299,'Item Database'!A:CC,76,FALSE)</f>
        <v>944</v>
      </c>
      <c r="D299" s="90">
        <f>VLOOKUP(C299,'brand-map'!A:B,2,FALSE)</f>
        <v>1962</v>
      </c>
      <c r="E299" s="89" t="s">
        <v>5327</v>
      </c>
    </row>
    <row r="300" spans="1:5">
      <c r="A300" s="41">
        <v>114083</v>
      </c>
      <c r="B300" s="89" t="str">
        <f>VLOOKUP(A300,'prod-mongo'!A:B,2,FALSE)</f>
        <v>59142009b21a1d00824f6099</v>
      </c>
      <c r="C300" s="88">
        <f>VLOOKUP('prod-prodcat'!A300,'Item Database'!A:CC,76,FALSE)</f>
        <v>556</v>
      </c>
      <c r="D300" s="90">
        <f>VLOOKUP(C300,'brand-map'!A:B,2,FALSE)</f>
        <v>1701</v>
      </c>
      <c r="E300" s="89" t="s">
        <v>5327</v>
      </c>
    </row>
    <row r="301" spans="1:5">
      <c r="A301" s="41">
        <v>148794</v>
      </c>
      <c r="B301" s="89" t="str">
        <f>VLOOKUP(A301,'prod-mongo'!A:B,2,FALSE)</f>
        <v>59141fffb21a1d00824f5f00</v>
      </c>
      <c r="C301" s="88">
        <f>VLOOKUP('prod-prodcat'!A301,'Item Database'!A:CC,76,FALSE)</f>
        <v>692</v>
      </c>
      <c r="D301" s="90">
        <f>VLOOKUP(C301,'brand-map'!A:B,2,FALSE)</f>
        <v>1823</v>
      </c>
      <c r="E301" s="89" t="s">
        <v>5327</v>
      </c>
    </row>
    <row r="302" spans="1:5">
      <c r="A302" s="41">
        <v>156524</v>
      </c>
      <c r="B302" s="89" t="str">
        <f>VLOOKUP(A302,'prod-mongo'!A:B,2,FALSE)</f>
        <v>595f813f935f6500211007c9</v>
      </c>
      <c r="C302" s="88">
        <f>VLOOKUP('prod-prodcat'!A302,'Item Database'!A:CC,76,FALSE)</f>
        <v>742</v>
      </c>
      <c r="D302" s="90">
        <f>VLOOKUP(C302,'brand-map'!A:B,2,FALSE)</f>
        <v>1872</v>
      </c>
      <c r="E302" s="89" t="s">
        <v>5327</v>
      </c>
    </row>
    <row r="303" spans="1:5">
      <c r="A303" s="41">
        <v>185841</v>
      </c>
      <c r="B303" s="89" t="str">
        <f>VLOOKUP(A303,'prod-mongo'!A:B,2,FALSE)</f>
        <v>595f813f935f6500211007ca</v>
      </c>
      <c r="C303" s="88">
        <f>VLOOKUP('prod-prodcat'!A303,'Item Database'!A:CC,76,FALSE)</f>
        <v>0</v>
      </c>
      <c r="D303" s="90">
        <f>VLOOKUP(C303,'brand-map'!A:B,2,FALSE)</f>
        <v>1193</v>
      </c>
      <c r="E303" s="89" t="s">
        <v>5327</v>
      </c>
    </row>
    <row r="304" spans="1:5">
      <c r="A304" s="41">
        <v>185844</v>
      </c>
      <c r="B304" s="89" t="str">
        <f>VLOOKUP(A304,'prod-mongo'!A:B,2,FALSE)</f>
        <v>595f813f935f6500211007cb</v>
      </c>
      <c r="C304" s="88">
        <f>VLOOKUP('prod-prodcat'!A304,'Item Database'!A:CC,76,FALSE)</f>
        <v>0</v>
      </c>
      <c r="D304" s="90">
        <f>VLOOKUP(C304,'brand-map'!A:B,2,FALSE)</f>
        <v>1193</v>
      </c>
      <c r="E304" s="89" t="s">
        <v>5327</v>
      </c>
    </row>
    <row r="305" spans="1:5">
      <c r="A305" s="41">
        <v>819253</v>
      </c>
      <c r="B305" s="89" t="str">
        <f>VLOOKUP(A305,'prod-mongo'!A:B,2,FALSE)</f>
        <v>595f813f935f6500211007cc</v>
      </c>
      <c r="C305" s="88">
        <f>VLOOKUP('prod-prodcat'!A305,'Item Database'!A:CC,76,FALSE)</f>
        <v>0</v>
      </c>
      <c r="D305" s="90">
        <f>VLOOKUP(C305,'brand-map'!A:B,2,FALSE)</f>
        <v>1193</v>
      </c>
      <c r="E305" s="89" t="s">
        <v>5327</v>
      </c>
    </row>
    <row r="306" spans="1:5">
      <c r="A306" s="41">
        <v>148797</v>
      </c>
      <c r="B306" s="89" t="str">
        <f>VLOOKUP(A306,'prod-mongo'!A:B,2,FALSE)</f>
        <v>595f813f935f6500211007cd</v>
      </c>
      <c r="C306" s="88">
        <f>VLOOKUP('prod-prodcat'!A306,'Item Database'!A:CC,76,FALSE)</f>
        <v>250</v>
      </c>
      <c r="D306" s="90">
        <f>VLOOKUP(C306,'brand-map'!A:B,2,FALSE)</f>
        <v>1418</v>
      </c>
      <c r="E306" s="89" t="s">
        <v>5327</v>
      </c>
    </row>
    <row r="307" spans="1:5">
      <c r="A307" s="41">
        <v>48620</v>
      </c>
      <c r="B307" s="89" t="str">
        <f>VLOOKUP(A307,'prod-mongo'!A:B,2,FALSE)</f>
        <v>595f813f935f6500211007ce</v>
      </c>
      <c r="C307" s="88">
        <f>VLOOKUP('prod-prodcat'!A307,'Item Database'!A:CC,76,FALSE)</f>
        <v>866</v>
      </c>
      <c r="D307" s="90">
        <f>VLOOKUP(C307,'brand-map'!A:B,2,FALSE)</f>
        <v>1894</v>
      </c>
      <c r="E307" s="89" t="s">
        <v>5327</v>
      </c>
    </row>
    <row r="308" spans="1:5">
      <c r="A308" s="41">
        <v>91858</v>
      </c>
      <c r="B308" s="89" t="str">
        <f>VLOOKUP(A308,'prod-mongo'!A:B,2,FALSE)</f>
        <v>59141fd6b21a1d00824f5506</v>
      </c>
      <c r="C308" s="88">
        <f>VLOOKUP('prod-prodcat'!A308,'Item Database'!A:CC,76,FALSE)</f>
        <v>939</v>
      </c>
      <c r="D308" s="90">
        <f>VLOOKUP(C308,'brand-map'!A:B,2,FALSE)</f>
        <v>1957</v>
      </c>
      <c r="E308" s="89" t="s">
        <v>5327</v>
      </c>
    </row>
    <row r="309" spans="1:5">
      <c r="A309" s="41">
        <v>124213</v>
      </c>
      <c r="B309" s="89" t="str">
        <f>VLOOKUP(A309,'prod-mongo'!A:B,2,FALSE)</f>
        <v>5914201fb21a1d00824f64f7</v>
      </c>
      <c r="C309" s="88">
        <f>VLOOKUP('prod-prodcat'!A309,'Item Database'!A:CC,76,FALSE)</f>
        <v>692</v>
      </c>
      <c r="D309" s="90">
        <f>VLOOKUP(C309,'brand-map'!A:B,2,FALSE)</f>
        <v>1823</v>
      </c>
      <c r="E309" s="89" t="s">
        <v>5327</v>
      </c>
    </row>
    <row r="310" spans="1:5">
      <c r="A310" s="41">
        <v>24908</v>
      </c>
      <c r="B310" s="89" t="str">
        <f>VLOOKUP(A310,'prod-mongo'!A:B,2,FALSE)</f>
        <v>595f813f935f6500211007cf</v>
      </c>
      <c r="C310" s="88">
        <f>VLOOKUP('prod-prodcat'!A310,'Item Database'!A:CC,76,FALSE)</f>
        <v>526</v>
      </c>
      <c r="D310" s="90">
        <f>VLOOKUP(C310,'brand-map'!A:B,2,FALSE)</f>
        <v>1672</v>
      </c>
      <c r="E310" s="89" t="s">
        <v>5327</v>
      </c>
    </row>
    <row r="311" spans="1:5">
      <c r="A311" s="41">
        <v>206297</v>
      </c>
      <c r="B311" s="89" t="str">
        <f>VLOOKUP(A311,'prod-mongo'!A:B,2,FALSE)</f>
        <v>59141fcab21a1d00824f524d</v>
      </c>
      <c r="C311" s="88">
        <f>VLOOKUP('prod-prodcat'!A311,'Item Database'!A:CC,76,FALSE)</f>
        <v>519</v>
      </c>
      <c r="D311" s="90">
        <f>VLOOKUP(C311,'brand-map'!A:B,2,FALSE)</f>
        <v>1666</v>
      </c>
      <c r="E311" s="89" t="s">
        <v>5327</v>
      </c>
    </row>
    <row r="312" spans="1:5">
      <c r="A312" s="41">
        <v>110597</v>
      </c>
      <c r="B312" s="89" t="str">
        <f>VLOOKUP(A312,'prod-mongo'!A:B,2,FALSE)</f>
        <v>595f813f935f6500211007d0</v>
      </c>
      <c r="C312" s="88">
        <f>VLOOKUP('prod-prodcat'!A312,'Item Database'!A:CC,76,FALSE)</f>
        <v>278</v>
      </c>
      <c r="D312" s="90">
        <f>VLOOKUP(C312,'brand-map'!A:B,2,FALSE)</f>
        <v>1444</v>
      </c>
      <c r="E312" s="89" t="s">
        <v>5327</v>
      </c>
    </row>
    <row r="313" spans="1:5">
      <c r="A313" s="41">
        <v>140316</v>
      </c>
      <c r="B313" s="89" t="str">
        <f>VLOOKUP(A313,'prod-mongo'!A:B,2,FALSE)</f>
        <v>595f813f935f6500211007d1</v>
      </c>
      <c r="C313" s="88">
        <f>VLOOKUP('prod-prodcat'!A313,'Item Database'!A:CC,76,FALSE)</f>
        <v>270</v>
      </c>
      <c r="D313" s="90">
        <f>VLOOKUP(C313,'brand-map'!A:B,2,FALSE)</f>
        <v>1436</v>
      </c>
      <c r="E313" s="89" t="s">
        <v>5327</v>
      </c>
    </row>
    <row r="314" spans="1:5">
      <c r="A314" s="41">
        <v>108096</v>
      </c>
      <c r="B314" s="89" t="str">
        <f>VLOOKUP(A314,'prod-mongo'!A:B,2,FALSE)</f>
        <v>595f813f935f6500211007d2</v>
      </c>
      <c r="C314" s="88">
        <f>VLOOKUP('prod-prodcat'!A314,'Item Database'!A:CC,76,FALSE)</f>
        <v>519</v>
      </c>
      <c r="D314" s="90">
        <f>VLOOKUP(C314,'brand-map'!A:B,2,FALSE)</f>
        <v>1666</v>
      </c>
      <c r="E314" s="89" t="s">
        <v>5327</v>
      </c>
    </row>
    <row r="315" spans="1:5">
      <c r="A315" s="41">
        <v>145864</v>
      </c>
      <c r="B315" s="89" t="str">
        <f>VLOOKUP(A315,'prod-mongo'!A:B,2,FALSE)</f>
        <v>59141ff6b21a1d00824f5c9c</v>
      </c>
      <c r="C315" s="88">
        <f>VLOOKUP('prod-prodcat'!A315,'Item Database'!A:CC,76,FALSE)</f>
        <v>692</v>
      </c>
      <c r="D315" s="90">
        <f>VLOOKUP(C315,'brand-map'!A:B,2,FALSE)</f>
        <v>1823</v>
      </c>
      <c r="E315" s="89" t="s">
        <v>5327</v>
      </c>
    </row>
    <row r="316" spans="1:5">
      <c r="A316" s="41">
        <v>150719</v>
      </c>
      <c r="B316" s="89" t="str">
        <f>VLOOKUP(A316,'prod-mongo'!A:B,2,FALSE)</f>
        <v>59141fd7b21a1d00824f5540</v>
      </c>
      <c r="C316" s="88">
        <f>VLOOKUP('prod-prodcat'!A316,'Item Database'!A:CC,76,FALSE)</f>
        <v>692</v>
      </c>
      <c r="D316" s="90">
        <f>VLOOKUP(C316,'brand-map'!A:B,2,FALSE)</f>
        <v>1823</v>
      </c>
      <c r="E316" s="89" t="s">
        <v>5327</v>
      </c>
    </row>
    <row r="317" spans="1:5">
      <c r="A317" s="41">
        <v>115833</v>
      </c>
      <c r="B317" s="89" t="str">
        <f>VLOOKUP(A317,'prod-mongo'!A:B,2,FALSE)</f>
        <v>595f813f935f6500211007d3</v>
      </c>
      <c r="C317" s="88">
        <f>VLOOKUP('prod-prodcat'!A317,'Item Database'!A:CC,76,FALSE)</f>
        <v>425</v>
      </c>
      <c r="D317" s="90">
        <f>VLOOKUP(C317,'brand-map'!A:B,2,FALSE)</f>
        <v>1579</v>
      </c>
      <c r="E317" s="89" t="s">
        <v>5327</v>
      </c>
    </row>
    <row r="318" spans="1:5">
      <c r="A318" s="41">
        <v>220840</v>
      </c>
      <c r="B318" s="89" t="str">
        <f>VLOOKUP(A318,'prod-mongo'!A:B,2,FALSE)</f>
        <v>595f813f935f6500211007d4</v>
      </c>
      <c r="C318" s="88">
        <f>VLOOKUP('prod-prodcat'!A318,'Item Database'!A:CC,76,FALSE)</f>
        <v>378</v>
      </c>
      <c r="D318" s="90">
        <f>VLOOKUP(C318,'brand-map'!A:B,2,FALSE)</f>
        <v>1536</v>
      </c>
      <c r="E318" s="89" t="s">
        <v>5327</v>
      </c>
    </row>
    <row r="319" spans="1:5">
      <c r="A319" s="41">
        <v>985296</v>
      </c>
      <c r="B319" s="89" t="str">
        <f>VLOOKUP(A319,'prod-mongo'!A:B,2,FALSE)</f>
        <v>595f813f935f6500211007d5</v>
      </c>
      <c r="C319" s="88">
        <f>VLOOKUP('prod-prodcat'!A319,'Item Database'!A:CC,76,FALSE)</f>
        <v>726</v>
      </c>
      <c r="D319" s="90">
        <f>VLOOKUP(C319,'brand-map'!A:B,2,FALSE)</f>
        <v>1856</v>
      </c>
      <c r="E319" s="89" t="s">
        <v>5327</v>
      </c>
    </row>
    <row r="320" spans="1:5">
      <c r="A320" s="41">
        <v>159224</v>
      </c>
      <c r="B320" s="89" t="str">
        <f>VLOOKUP(A320,'prod-mongo'!A:B,2,FALSE)</f>
        <v>595f813f935f6500211007d6</v>
      </c>
      <c r="C320" s="88">
        <f>VLOOKUP('prod-prodcat'!A320,'Item Database'!A:CC,76,FALSE)</f>
        <v>269</v>
      </c>
      <c r="D320" s="90">
        <f>VLOOKUP(C320,'brand-map'!A:B,2,FALSE)</f>
        <v>1435</v>
      </c>
      <c r="E320" s="89" t="s">
        <v>5327</v>
      </c>
    </row>
    <row r="321" spans="1:5">
      <c r="A321" s="41">
        <v>812552</v>
      </c>
      <c r="B321" s="89" t="str">
        <f>VLOOKUP(A321,'prod-mongo'!A:B,2,FALSE)</f>
        <v>595f813f935f6500211007d7</v>
      </c>
      <c r="C321" s="88">
        <f>VLOOKUP('prod-prodcat'!A321,'Item Database'!A:CC,76,FALSE)</f>
        <v>482</v>
      </c>
      <c r="D321" s="90">
        <f>VLOOKUP(C321,'brand-map'!A:B,2,FALSE)</f>
        <v>1630</v>
      </c>
      <c r="E321" s="89" t="s">
        <v>5327</v>
      </c>
    </row>
    <row r="322" spans="1:5">
      <c r="A322" s="41">
        <v>104083</v>
      </c>
      <c r="B322" s="89" t="str">
        <f>VLOOKUP(A322,'prod-mongo'!A:B,2,FALSE)</f>
        <v>595f813f935f6500211007d8</v>
      </c>
      <c r="C322" s="88">
        <f>VLOOKUP('prod-prodcat'!A322,'Item Database'!A:CC,76,FALSE)</f>
        <v>77</v>
      </c>
      <c r="D322" s="90">
        <f>VLOOKUP(C322,'brand-map'!A:B,2,FALSE)</f>
        <v>1261</v>
      </c>
      <c r="E322" s="89" t="s">
        <v>5327</v>
      </c>
    </row>
    <row r="323" spans="1:5">
      <c r="A323" s="41">
        <v>3198</v>
      </c>
      <c r="B323" s="89" t="str">
        <f>VLOOKUP(A323,'prod-mongo'!A:B,2,FALSE)</f>
        <v>595f813f935f6500211007d9</v>
      </c>
      <c r="C323" s="88">
        <f>VLOOKUP('prod-prodcat'!A323,'Item Database'!A:CC,76,FALSE)</f>
        <v>396</v>
      </c>
      <c r="D323" s="90">
        <f>VLOOKUP(C323,'brand-map'!A:B,2,FALSE)</f>
        <v>1552</v>
      </c>
      <c r="E323" s="89" t="s">
        <v>5327</v>
      </c>
    </row>
    <row r="324" spans="1:5">
      <c r="A324" s="41">
        <v>191268</v>
      </c>
      <c r="B324" s="89" t="str">
        <f>VLOOKUP(A324,'prod-mongo'!A:B,2,FALSE)</f>
        <v>595f813f935f6500211007da</v>
      </c>
      <c r="C324" s="88">
        <f>VLOOKUP('prod-prodcat'!A324,'Item Database'!A:CC,76,FALSE)</f>
        <v>176</v>
      </c>
      <c r="D324" s="90">
        <f>VLOOKUP(C324,'brand-map'!A:B,2,FALSE)</f>
        <v>1349</v>
      </c>
      <c r="E324" s="89" t="s">
        <v>5327</v>
      </c>
    </row>
    <row r="325" spans="1:5">
      <c r="A325" s="41">
        <v>191269</v>
      </c>
      <c r="B325" s="89" t="str">
        <f>VLOOKUP(A325,'prod-mongo'!A:B,2,FALSE)</f>
        <v>595f813f935f6500211007db</v>
      </c>
      <c r="C325" s="88">
        <f>VLOOKUP('prod-prodcat'!A325,'Item Database'!A:CC,76,FALSE)</f>
        <v>176</v>
      </c>
      <c r="D325" s="90">
        <f>VLOOKUP(C325,'brand-map'!A:B,2,FALSE)</f>
        <v>1349</v>
      </c>
      <c r="E325" s="89" t="s">
        <v>5327</v>
      </c>
    </row>
    <row r="326" spans="1:5">
      <c r="A326" s="41">
        <v>191270</v>
      </c>
      <c r="B326" s="89" t="str">
        <f>VLOOKUP(A326,'prod-mongo'!A:B,2,FALSE)</f>
        <v>595f813f935f6500211007dc</v>
      </c>
      <c r="C326" s="88">
        <f>VLOOKUP('prod-prodcat'!A326,'Item Database'!A:CC,76,FALSE)</f>
        <v>176</v>
      </c>
      <c r="D326" s="90">
        <f>VLOOKUP(C326,'brand-map'!A:B,2,FALSE)</f>
        <v>1349</v>
      </c>
      <c r="E326" s="89" t="s">
        <v>5327</v>
      </c>
    </row>
    <row r="327" spans="1:5">
      <c r="A327" s="41">
        <v>191282</v>
      </c>
      <c r="B327" s="89" t="str">
        <f>VLOOKUP(A327,'prod-mongo'!A:B,2,FALSE)</f>
        <v>595f813f935f6500211007dd</v>
      </c>
      <c r="C327" s="88">
        <f>VLOOKUP('prod-prodcat'!A327,'Item Database'!A:CC,76,FALSE)</f>
        <v>297</v>
      </c>
      <c r="D327" s="90">
        <f>VLOOKUP(C327,'brand-map'!A:B,2,FALSE)</f>
        <v>1463</v>
      </c>
      <c r="E327" s="89" t="s">
        <v>5327</v>
      </c>
    </row>
    <row r="328" spans="1:5">
      <c r="A328" s="41">
        <v>166966</v>
      </c>
      <c r="B328" s="89" t="str">
        <f>VLOOKUP(A328,'prod-mongo'!A:B,2,FALSE)</f>
        <v>595f813f935f6500211007de</v>
      </c>
      <c r="C328" s="88">
        <f>VLOOKUP('prod-prodcat'!A328,'Item Database'!A:CC,76,FALSE)</f>
        <v>531</v>
      </c>
      <c r="D328" s="90">
        <f>VLOOKUP(C328,'brand-map'!A:B,2,FALSE)</f>
        <v>1677</v>
      </c>
      <c r="E328" s="89" t="s">
        <v>5327</v>
      </c>
    </row>
    <row r="329" spans="1:5">
      <c r="A329" s="41">
        <v>213602</v>
      </c>
      <c r="B329" s="89" t="str">
        <f>VLOOKUP(A329,'prod-mongo'!A:B,2,FALSE)</f>
        <v>59141ff3b21a1d00824f5bbf</v>
      </c>
      <c r="C329" s="88">
        <f>VLOOKUP('prod-prodcat'!A329,'Item Database'!A:CC,76,FALSE)</f>
        <v>1163</v>
      </c>
      <c r="D329" s="90">
        <f>VLOOKUP(C329,'brand-map'!A:B,2,FALSE)</f>
        <v>2168</v>
      </c>
      <c r="E329" s="89" t="s">
        <v>5327</v>
      </c>
    </row>
    <row r="330" spans="1:5">
      <c r="A330" s="41">
        <v>237085</v>
      </c>
      <c r="B330" s="89" t="str">
        <f>VLOOKUP(A330,'prod-mongo'!A:B,2,FALSE)</f>
        <v>595f813f935f6500211007df</v>
      </c>
      <c r="C330" s="88">
        <f>VLOOKUP('prod-prodcat'!A330,'Item Database'!A:CC,76,FALSE)</f>
        <v>305</v>
      </c>
      <c r="D330" s="90">
        <f>VLOOKUP(C330,'brand-map'!A:B,2,FALSE)</f>
        <v>1471</v>
      </c>
      <c r="E330" s="89" t="s">
        <v>5327</v>
      </c>
    </row>
    <row r="331" spans="1:5">
      <c r="A331" s="41">
        <v>47177</v>
      </c>
      <c r="B331" s="89" t="str">
        <f>VLOOKUP(A331,'prod-mongo'!A:B,2,FALSE)</f>
        <v>595f813f935f6500211007e0</v>
      </c>
      <c r="C331" s="88">
        <f>VLOOKUP('prod-prodcat'!A331,'Item Database'!A:CC,76,FALSE)</f>
        <v>534</v>
      </c>
      <c r="D331" s="90">
        <f>VLOOKUP(C331,'brand-map'!A:B,2,FALSE)</f>
        <v>1680</v>
      </c>
      <c r="E331" s="89" t="s">
        <v>5327</v>
      </c>
    </row>
    <row r="332" spans="1:5">
      <c r="A332" s="41">
        <v>182798</v>
      </c>
      <c r="B332" s="89" t="str">
        <f>VLOOKUP(A332,'prod-mongo'!A:B,2,FALSE)</f>
        <v>595f813f935f6500211007e1</v>
      </c>
      <c r="C332" s="88">
        <f>VLOOKUP('prod-prodcat'!A332,'Item Database'!A:CC,76,FALSE)</f>
        <v>1007</v>
      </c>
      <c r="D332" s="90">
        <f>VLOOKUP(C332,'brand-map'!A:B,2,FALSE)</f>
        <v>2016</v>
      </c>
      <c r="E332" s="89" t="s">
        <v>5327</v>
      </c>
    </row>
    <row r="333" spans="1:5">
      <c r="A333" s="41">
        <v>132322</v>
      </c>
      <c r="B333" s="89" t="str">
        <f>VLOOKUP(A333,'prod-mongo'!A:B,2,FALSE)</f>
        <v>595f813f935f6500211007e2</v>
      </c>
      <c r="C333" s="88">
        <f>VLOOKUP('prod-prodcat'!A333,'Item Database'!A:CC,76,FALSE)</f>
        <v>493</v>
      </c>
      <c r="D333" s="90">
        <f>VLOOKUP(C333,'brand-map'!A:B,2,FALSE)</f>
        <v>1640</v>
      </c>
      <c r="E333" s="89" t="s">
        <v>5327</v>
      </c>
    </row>
    <row r="334" spans="1:5">
      <c r="A334" s="41">
        <v>146569</v>
      </c>
      <c r="B334" s="89" t="str">
        <f>VLOOKUP(A334,'prod-mongo'!A:B,2,FALSE)</f>
        <v>5914201fb21a1d00824f64dd</v>
      </c>
      <c r="C334" s="88">
        <f>VLOOKUP('prod-prodcat'!A334,'Item Database'!A:CC,76,FALSE)</f>
        <v>316</v>
      </c>
      <c r="D334" s="90">
        <f>VLOOKUP(C334,'brand-map'!A:B,2,FALSE)</f>
        <v>1481</v>
      </c>
      <c r="E334" s="89" t="s">
        <v>5327</v>
      </c>
    </row>
    <row r="335" spans="1:5">
      <c r="A335" s="41">
        <v>438256</v>
      </c>
      <c r="B335" s="89" t="str">
        <f>VLOOKUP(A335,'prod-mongo'!A:B,2,FALSE)</f>
        <v>59142008b21a1d00824f6073</v>
      </c>
      <c r="C335" s="88">
        <f>VLOOKUP('prod-prodcat'!A335,'Item Database'!A:CC,76,FALSE)</f>
        <v>242</v>
      </c>
      <c r="D335" s="90">
        <f>VLOOKUP(C335,'brand-map'!A:B,2,FALSE)</f>
        <v>1410</v>
      </c>
      <c r="E335" s="89" t="s">
        <v>5327</v>
      </c>
    </row>
    <row r="336" spans="1:5">
      <c r="A336" s="41">
        <v>756132</v>
      </c>
      <c r="B336" s="89" t="str">
        <f>VLOOKUP(A336,'prod-mongo'!A:B,2,FALSE)</f>
        <v>595f813f935f6500211007e3</v>
      </c>
      <c r="C336" s="88">
        <f>VLOOKUP('prod-prodcat'!A336,'Item Database'!A:CC,76,FALSE)</f>
        <v>705</v>
      </c>
      <c r="D336" s="90">
        <f>VLOOKUP(C336,'brand-map'!A:B,2,FALSE)</f>
        <v>1836</v>
      </c>
      <c r="E336" s="89" t="s">
        <v>5327</v>
      </c>
    </row>
    <row r="337" spans="1:5">
      <c r="A337" s="41">
        <v>148798</v>
      </c>
      <c r="B337" s="89" t="str">
        <f>VLOOKUP(A337,'prod-mongo'!A:B,2,FALSE)</f>
        <v>595f813f935f6500211007e4</v>
      </c>
      <c r="C337" s="88">
        <f>VLOOKUP('prod-prodcat'!A337,'Item Database'!A:CC,76,FALSE)</f>
        <v>692</v>
      </c>
      <c r="D337" s="90">
        <f>VLOOKUP(C337,'brand-map'!A:B,2,FALSE)</f>
        <v>1823</v>
      </c>
      <c r="E337" s="89" t="s">
        <v>5327</v>
      </c>
    </row>
    <row r="338" spans="1:5">
      <c r="A338" s="41">
        <v>817583</v>
      </c>
      <c r="B338" s="89" t="str">
        <f>VLOOKUP(A338,'prod-mongo'!A:B,2,FALSE)</f>
        <v>595f813f935f6500211007e5</v>
      </c>
      <c r="C338" s="88">
        <f>VLOOKUP('prod-prodcat'!A338,'Item Database'!A:CC,76,FALSE)</f>
        <v>692</v>
      </c>
      <c r="D338" s="90">
        <f>VLOOKUP(C338,'brand-map'!A:B,2,FALSE)</f>
        <v>1823</v>
      </c>
      <c r="E338" s="89" t="s">
        <v>5327</v>
      </c>
    </row>
    <row r="339" spans="1:5">
      <c r="A339" s="41">
        <v>148929</v>
      </c>
      <c r="B339" s="89" t="str">
        <f>VLOOKUP(A339,'prod-mongo'!A:B,2,FALSE)</f>
        <v>595f813f935f6500211007e6</v>
      </c>
      <c r="C339" s="88">
        <f>VLOOKUP('prod-prodcat'!A339,'Item Database'!A:CC,76,FALSE)</f>
        <v>692</v>
      </c>
      <c r="D339" s="90">
        <f>VLOOKUP(C339,'brand-map'!A:B,2,FALSE)</f>
        <v>1823</v>
      </c>
      <c r="E339" s="89" t="s">
        <v>5327</v>
      </c>
    </row>
    <row r="340" spans="1:5">
      <c r="A340" s="41">
        <v>148930</v>
      </c>
      <c r="B340" s="89" t="str">
        <f>VLOOKUP(A340,'prod-mongo'!A:B,2,FALSE)</f>
        <v>595f813f935f6500211007e7</v>
      </c>
      <c r="C340" s="88">
        <f>VLOOKUP('prod-prodcat'!A340,'Item Database'!A:CC,76,FALSE)</f>
        <v>692</v>
      </c>
      <c r="D340" s="90">
        <f>VLOOKUP(C340,'brand-map'!A:B,2,FALSE)</f>
        <v>1823</v>
      </c>
      <c r="E340" s="89" t="s">
        <v>5327</v>
      </c>
    </row>
    <row r="341" spans="1:5">
      <c r="A341" s="41">
        <v>160365</v>
      </c>
      <c r="B341" s="89" t="str">
        <f>VLOOKUP(A341,'prod-mongo'!A:B,2,FALSE)</f>
        <v>595f813f935f6500211007e8</v>
      </c>
      <c r="C341" s="88">
        <f>VLOOKUP('prod-prodcat'!A341,'Item Database'!A:CC,76,FALSE)</f>
        <v>692</v>
      </c>
      <c r="D341" s="90">
        <f>VLOOKUP(C341,'brand-map'!A:B,2,FALSE)</f>
        <v>1823</v>
      </c>
      <c r="E341" s="89" t="s">
        <v>5327</v>
      </c>
    </row>
    <row r="342" spans="1:5">
      <c r="A342" s="41">
        <v>144591</v>
      </c>
      <c r="B342" s="89" t="str">
        <f>VLOOKUP(A342,'prod-mongo'!A:B,2,FALSE)</f>
        <v>595f813f935f6500211007e9</v>
      </c>
      <c r="C342" s="88">
        <f>VLOOKUP('prod-prodcat'!A342,'Item Database'!A:CC,76,FALSE)</f>
        <v>329</v>
      </c>
      <c r="D342" s="90">
        <f>VLOOKUP(C342,'brand-map'!A:B,2,FALSE)</f>
        <v>1491</v>
      </c>
      <c r="E342" s="89" t="s">
        <v>5327</v>
      </c>
    </row>
    <row r="343" spans="1:5">
      <c r="A343" s="41">
        <v>144758</v>
      </c>
      <c r="B343" s="89" t="str">
        <f>VLOOKUP(A343,'prod-mongo'!A:B,2,FALSE)</f>
        <v>595f813f935f6500211007ea</v>
      </c>
      <c r="C343" s="88">
        <f>VLOOKUP('prod-prodcat'!A343,'Item Database'!A:CC,76,FALSE)</f>
        <v>329</v>
      </c>
      <c r="D343" s="90">
        <f>VLOOKUP(C343,'brand-map'!A:B,2,FALSE)</f>
        <v>1491</v>
      </c>
      <c r="E343" s="89" t="s">
        <v>5327</v>
      </c>
    </row>
    <row r="344" spans="1:5">
      <c r="A344" s="41">
        <v>180864</v>
      </c>
      <c r="B344" s="89" t="str">
        <f>VLOOKUP(A344,'prod-mongo'!A:B,2,FALSE)</f>
        <v>595f813f935f6500211007eb</v>
      </c>
      <c r="C344" s="88">
        <f>VLOOKUP('prod-prodcat'!A344,'Item Database'!A:CC,76,FALSE)</f>
        <v>329</v>
      </c>
      <c r="D344" s="90">
        <f>VLOOKUP(C344,'brand-map'!A:B,2,FALSE)</f>
        <v>1491</v>
      </c>
      <c r="E344" s="89" t="s">
        <v>5327</v>
      </c>
    </row>
    <row r="345" spans="1:5">
      <c r="A345" s="41">
        <v>167622</v>
      </c>
      <c r="B345" s="89" t="str">
        <f>VLOOKUP(A345,'prod-mongo'!A:B,2,FALSE)</f>
        <v>595f813f935f6500211007ec</v>
      </c>
      <c r="C345" s="88">
        <f>VLOOKUP('prod-prodcat'!A345,'Item Database'!A:CC,76,FALSE)</f>
        <v>692</v>
      </c>
      <c r="D345" s="90">
        <f>VLOOKUP(C345,'brand-map'!A:B,2,FALSE)</f>
        <v>1823</v>
      </c>
      <c r="E345" s="89" t="s">
        <v>5327</v>
      </c>
    </row>
    <row r="346" spans="1:5">
      <c r="A346" s="41">
        <v>105328</v>
      </c>
      <c r="B346" s="89" t="str">
        <f>VLOOKUP(A346,'prod-mongo'!A:B,2,FALSE)</f>
        <v>595f813f935f6500211007ed</v>
      </c>
      <c r="C346" s="88">
        <f>VLOOKUP('prod-prodcat'!A346,'Item Database'!A:CC,76,FALSE)</f>
        <v>655</v>
      </c>
      <c r="D346" s="90">
        <f>VLOOKUP(C346,'brand-map'!A:B,2,FALSE)</f>
        <v>1789</v>
      </c>
      <c r="E346" s="89" t="s">
        <v>5327</v>
      </c>
    </row>
    <row r="347" spans="1:5">
      <c r="A347" s="41">
        <v>105329</v>
      </c>
      <c r="B347" s="89" t="str">
        <f>VLOOKUP(A347,'prod-mongo'!A:B,2,FALSE)</f>
        <v>595f813f935f6500211007ee</v>
      </c>
      <c r="C347" s="88">
        <f>VLOOKUP('prod-prodcat'!A347,'Item Database'!A:CC,76,FALSE)</f>
        <v>655</v>
      </c>
      <c r="D347" s="90">
        <f>VLOOKUP(C347,'brand-map'!A:B,2,FALSE)</f>
        <v>1789</v>
      </c>
      <c r="E347" s="89" t="s">
        <v>5327</v>
      </c>
    </row>
    <row r="348" spans="1:5">
      <c r="A348" s="41">
        <v>165217</v>
      </c>
      <c r="B348" s="89" t="str">
        <f>VLOOKUP(A348,'prod-mongo'!A:B,2,FALSE)</f>
        <v>595f813f935f6500211007ef</v>
      </c>
      <c r="C348" s="88">
        <f>VLOOKUP('prod-prodcat'!A348,'Item Database'!A:CC,76,FALSE)</f>
        <v>692</v>
      </c>
      <c r="D348" s="90">
        <f>VLOOKUP(C348,'brand-map'!A:B,2,FALSE)</f>
        <v>1823</v>
      </c>
      <c r="E348" s="89" t="s">
        <v>5327</v>
      </c>
    </row>
    <row r="349" spans="1:5">
      <c r="A349" s="41">
        <v>227026</v>
      </c>
      <c r="B349" s="89" t="str">
        <f>VLOOKUP(A349,'prod-mongo'!A:B,2,FALSE)</f>
        <v>595f813f935f6500211007f0</v>
      </c>
      <c r="C349" s="88">
        <f>VLOOKUP('prod-prodcat'!A349,'Item Database'!A:CC,76,FALSE)</f>
        <v>692</v>
      </c>
      <c r="D349" s="90">
        <f>VLOOKUP(C349,'brand-map'!A:B,2,FALSE)</f>
        <v>1823</v>
      </c>
      <c r="E349" s="89" t="s">
        <v>5327</v>
      </c>
    </row>
    <row r="350" spans="1:5">
      <c r="A350" s="41">
        <v>202025</v>
      </c>
      <c r="B350" s="89" t="str">
        <f>VLOOKUP(A350,'prod-mongo'!A:B,2,FALSE)</f>
        <v>595f813f935f6500211007f1</v>
      </c>
      <c r="C350" s="88">
        <f>VLOOKUP('prod-prodcat'!A350,'Item Database'!A:CC,76,FALSE)</f>
        <v>1184</v>
      </c>
      <c r="D350" s="90">
        <f>VLOOKUP(C350,'brand-map'!A:B,2,FALSE)</f>
        <v>2187</v>
      </c>
      <c r="E350" s="89" t="s">
        <v>5327</v>
      </c>
    </row>
    <row r="351" spans="1:5">
      <c r="A351" s="41">
        <v>316602</v>
      </c>
      <c r="B351" s="89" t="str">
        <f>VLOOKUP(A351,'prod-mongo'!A:B,2,FALSE)</f>
        <v>595f813f935f6500211007f2</v>
      </c>
      <c r="C351" s="88">
        <f>VLOOKUP('prod-prodcat'!A351,'Item Database'!A:CC,76,FALSE)</f>
        <v>1184</v>
      </c>
      <c r="D351" s="90">
        <f>VLOOKUP(C351,'brand-map'!A:B,2,FALSE)</f>
        <v>2187</v>
      </c>
      <c r="E351" s="89" t="s">
        <v>5327</v>
      </c>
    </row>
    <row r="352" spans="1:5">
      <c r="A352" s="41">
        <v>227025</v>
      </c>
      <c r="B352" s="89" t="str">
        <f>VLOOKUP(A352,'prod-mongo'!A:B,2,FALSE)</f>
        <v>595f813f935f6500211007f3</v>
      </c>
      <c r="C352" s="88">
        <f>VLOOKUP('prod-prodcat'!A352,'Item Database'!A:CC,76,FALSE)</f>
        <v>692</v>
      </c>
      <c r="D352" s="90">
        <f>VLOOKUP(C352,'brand-map'!A:B,2,FALSE)</f>
        <v>1823</v>
      </c>
      <c r="E352" s="89" t="s">
        <v>5327</v>
      </c>
    </row>
    <row r="353" spans="1:5">
      <c r="A353" s="41">
        <v>170291</v>
      </c>
      <c r="B353" s="89" t="str">
        <f>VLOOKUP(A353,'prod-mongo'!A:B,2,FALSE)</f>
        <v>595f813f935f6500211007f4</v>
      </c>
      <c r="C353" s="88">
        <f>VLOOKUP('prod-prodcat'!A353,'Item Database'!A:CC,76,FALSE)</f>
        <v>14</v>
      </c>
      <c r="D353" s="90">
        <f>VLOOKUP(C353,'brand-map'!A:B,2,FALSE)</f>
        <v>1202</v>
      </c>
      <c r="E353" s="89" t="s">
        <v>5327</v>
      </c>
    </row>
    <row r="354" spans="1:5">
      <c r="A354" s="41">
        <v>102206</v>
      </c>
      <c r="B354" s="89" t="str">
        <f>VLOOKUP(A354,'prod-mongo'!A:B,2,FALSE)</f>
        <v>59141fc5b21a1d00824f515f</v>
      </c>
      <c r="C354" s="88">
        <f>VLOOKUP('prod-prodcat'!A354,'Item Database'!A:CC,76,FALSE)</f>
        <v>46</v>
      </c>
      <c r="D354" s="90">
        <f>VLOOKUP(C354,'brand-map'!A:B,2,FALSE)</f>
        <v>1231</v>
      </c>
      <c r="E354" s="89" t="s">
        <v>5327</v>
      </c>
    </row>
    <row r="355" spans="1:5">
      <c r="A355" s="41">
        <v>165867</v>
      </c>
      <c r="B355" s="89" t="str">
        <f>VLOOKUP(A355,'prod-mongo'!A:B,2,FALSE)</f>
        <v>595f813f935f6500211007f5</v>
      </c>
      <c r="C355" s="88">
        <f>VLOOKUP('prod-prodcat'!A355,'Item Database'!A:CC,76,FALSE)</f>
        <v>489</v>
      </c>
      <c r="D355" s="90">
        <f>VLOOKUP(C355,'brand-map'!A:B,2,FALSE)</f>
        <v>1636</v>
      </c>
      <c r="E355" s="89" t="s">
        <v>5327</v>
      </c>
    </row>
    <row r="356" spans="1:5">
      <c r="A356" s="41">
        <v>235994</v>
      </c>
      <c r="B356" s="89" t="str">
        <f>VLOOKUP(A356,'prod-mongo'!A:B,2,FALSE)</f>
        <v>595f813f935f6500211007f6</v>
      </c>
      <c r="C356" s="88">
        <f>VLOOKUP('prod-prodcat'!A356,'Item Database'!A:CC,76,FALSE)</f>
        <v>489</v>
      </c>
      <c r="D356" s="90">
        <f>VLOOKUP(C356,'brand-map'!A:B,2,FALSE)</f>
        <v>1636</v>
      </c>
      <c r="E356" s="89" t="s">
        <v>5327</v>
      </c>
    </row>
    <row r="357" spans="1:5">
      <c r="A357" s="41">
        <v>810412</v>
      </c>
      <c r="B357" s="89" t="str">
        <f>VLOOKUP(A357,'prod-mongo'!A:B,2,FALSE)</f>
        <v>595f813f935f6500211007f7</v>
      </c>
      <c r="C357" s="88">
        <f>VLOOKUP('prod-prodcat'!A357,'Item Database'!A:CC,76,FALSE)</f>
        <v>1422</v>
      </c>
      <c r="D357" s="90">
        <f>VLOOKUP(C357,'brand-map'!A:B,2,FALSE)</f>
        <v>2417</v>
      </c>
      <c r="E357" s="89" t="s">
        <v>5327</v>
      </c>
    </row>
    <row r="358" spans="1:5">
      <c r="A358" s="41">
        <v>810413</v>
      </c>
      <c r="B358" s="89" t="str">
        <f>VLOOKUP(A358,'prod-mongo'!A:B,2,FALSE)</f>
        <v>595f813f935f6500211007f8</v>
      </c>
      <c r="C358" s="88">
        <f>VLOOKUP('prod-prodcat'!A358,'Item Database'!A:CC,76,FALSE)</f>
        <v>1422</v>
      </c>
      <c r="D358" s="90">
        <f>VLOOKUP(C358,'brand-map'!A:B,2,FALSE)</f>
        <v>2417</v>
      </c>
      <c r="E358" s="89" t="s">
        <v>5327</v>
      </c>
    </row>
    <row r="359" spans="1:5">
      <c r="A359" s="41">
        <v>810414</v>
      </c>
      <c r="B359" s="89" t="str">
        <f>VLOOKUP(A359,'prod-mongo'!A:B,2,FALSE)</f>
        <v>595f813f935f6500211007f9</v>
      </c>
      <c r="C359" s="88">
        <f>VLOOKUP('prod-prodcat'!A359,'Item Database'!A:CC,76,FALSE)</f>
        <v>1422</v>
      </c>
      <c r="D359" s="90">
        <f>VLOOKUP(C359,'brand-map'!A:B,2,FALSE)</f>
        <v>2417</v>
      </c>
      <c r="E359" s="89" t="s">
        <v>5327</v>
      </c>
    </row>
    <row r="360" spans="1:5">
      <c r="A360" s="41">
        <v>810415</v>
      </c>
      <c r="B360" s="89" t="str">
        <f>VLOOKUP(A360,'prod-mongo'!A:B,2,FALSE)</f>
        <v>595f813f935f6500211007fa</v>
      </c>
      <c r="C360" s="88">
        <f>VLOOKUP('prod-prodcat'!A360,'Item Database'!A:CC,76,FALSE)</f>
        <v>1422</v>
      </c>
      <c r="D360" s="90">
        <f>VLOOKUP(C360,'brand-map'!A:B,2,FALSE)</f>
        <v>2417</v>
      </c>
      <c r="E360" s="89" t="s">
        <v>5327</v>
      </c>
    </row>
    <row r="361" spans="1:5">
      <c r="A361" s="41">
        <v>810416</v>
      </c>
      <c r="B361" s="89" t="str">
        <f>VLOOKUP(A361,'prod-mongo'!A:B,2,FALSE)</f>
        <v>595f813f935f6500211007fb</v>
      </c>
      <c r="C361" s="88">
        <f>VLOOKUP('prod-prodcat'!A361,'Item Database'!A:CC,76,FALSE)</f>
        <v>1422</v>
      </c>
      <c r="D361" s="90">
        <f>VLOOKUP(C361,'brand-map'!A:B,2,FALSE)</f>
        <v>2417</v>
      </c>
      <c r="E361" s="89" t="s">
        <v>5327</v>
      </c>
    </row>
    <row r="362" spans="1:5">
      <c r="A362" s="41">
        <v>810417</v>
      </c>
      <c r="B362" s="89" t="str">
        <f>VLOOKUP(A362,'prod-mongo'!A:B,2,FALSE)</f>
        <v>595f813f935f6500211007fc</v>
      </c>
      <c r="C362" s="88">
        <f>VLOOKUP('prod-prodcat'!A362,'Item Database'!A:CC,76,FALSE)</f>
        <v>1422</v>
      </c>
      <c r="D362" s="90">
        <f>VLOOKUP(C362,'brand-map'!A:B,2,FALSE)</f>
        <v>2417</v>
      </c>
      <c r="E362" s="89" t="s">
        <v>5327</v>
      </c>
    </row>
    <row r="363" spans="1:5">
      <c r="A363" s="41">
        <v>810418</v>
      </c>
      <c r="B363" s="89" t="str">
        <f>VLOOKUP(A363,'prod-mongo'!A:B,2,FALSE)</f>
        <v>595f813f935f6500211007fd</v>
      </c>
      <c r="C363" s="88">
        <f>VLOOKUP('prod-prodcat'!A363,'Item Database'!A:CC,76,FALSE)</f>
        <v>1422</v>
      </c>
      <c r="D363" s="90">
        <f>VLOOKUP(C363,'brand-map'!A:B,2,FALSE)</f>
        <v>2417</v>
      </c>
      <c r="E363" s="89" t="s">
        <v>5327</v>
      </c>
    </row>
    <row r="364" spans="1:5">
      <c r="A364" s="41">
        <v>810419</v>
      </c>
      <c r="B364" s="89" t="str">
        <f>VLOOKUP(A364,'prod-mongo'!A:B,2,FALSE)</f>
        <v>595f813f935f6500211007fe</v>
      </c>
      <c r="C364" s="88">
        <f>VLOOKUP('prod-prodcat'!A364,'Item Database'!A:CC,76,FALSE)</f>
        <v>1422</v>
      </c>
      <c r="D364" s="90">
        <f>VLOOKUP(C364,'brand-map'!A:B,2,FALSE)</f>
        <v>2417</v>
      </c>
      <c r="E364" s="89" t="s">
        <v>5327</v>
      </c>
    </row>
    <row r="365" spans="1:5">
      <c r="A365" s="41">
        <v>810420</v>
      </c>
      <c r="B365" s="89" t="str">
        <f>VLOOKUP(A365,'prod-mongo'!A:B,2,FALSE)</f>
        <v>595f813f935f6500211007ff</v>
      </c>
      <c r="C365" s="88">
        <f>VLOOKUP('prod-prodcat'!A365,'Item Database'!A:CC,76,FALSE)</f>
        <v>1422</v>
      </c>
      <c r="D365" s="90">
        <f>VLOOKUP(C365,'brand-map'!A:B,2,FALSE)</f>
        <v>2417</v>
      </c>
      <c r="E365" s="89" t="s">
        <v>5327</v>
      </c>
    </row>
    <row r="366" spans="1:5">
      <c r="A366" s="41">
        <v>814334</v>
      </c>
      <c r="B366" s="89" t="str">
        <f>VLOOKUP(A366,'prod-mongo'!A:B,2,FALSE)</f>
        <v>595f813f935f650021100800</v>
      </c>
      <c r="C366" s="88">
        <f>VLOOKUP('prod-prodcat'!A366,'Item Database'!A:CC,76,FALSE)</f>
        <v>1422</v>
      </c>
      <c r="D366" s="90">
        <f>VLOOKUP(C366,'brand-map'!A:B,2,FALSE)</f>
        <v>2417</v>
      </c>
      <c r="E366" s="89" t="s">
        <v>5327</v>
      </c>
    </row>
    <row r="367" spans="1:5">
      <c r="A367" s="41">
        <v>810422</v>
      </c>
      <c r="B367" s="89" t="str">
        <f>VLOOKUP(A367,'prod-mongo'!A:B,2,FALSE)</f>
        <v>595f813f935f650021100801</v>
      </c>
      <c r="C367" s="88">
        <f>VLOOKUP('prod-prodcat'!A367,'Item Database'!A:CC,76,FALSE)</f>
        <v>1422</v>
      </c>
      <c r="D367" s="90">
        <f>VLOOKUP(C367,'brand-map'!A:B,2,FALSE)</f>
        <v>2417</v>
      </c>
      <c r="E367" s="89" t="s">
        <v>5327</v>
      </c>
    </row>
    <row r="368" spans="1:5">
      <c r="A368" s="41">
        <v>810423</v>
      </c>
      <c r="B368" s="89" t="str">
        <f>VLOOKUP(A368,'prod-mongo'!A:B,2,FALSE)</f>
        <v>595f813f935f650021100802</v>
      </c>
      <c r="C368" s="88">
        <f>VLOOKUP('prod-prodcat'!A368,'Item Database'!A:CC,76,FALSE)</f>
        <v>1422</v>
      </c>
      <c r="D368" s="90">
        <f>VLOOKUP(C368,'brand-map'!A:B,2,FALSE)</f>
        <v>2417</v>
      </c>
      <c r="E368" s="89" t="s">
        <v>5327</v>
      </c>
    </row>
    <row r="369" spans="1:5">
      <c r="A369" s="41">
        <v>810424</v>
      </c>
      <c r="B369" s="89" t="str">
        <f>VLOOKUP(A369,'prod-mongo'!A:B,2,FALSE)</f>
        <v>595f813f935f650021100803</v>
      </c>
      <c r="C369" s="88">
        <f>VLOOKUP('prod-prodcat'!A369,'Item Database'!A:CC,76,FALSE)</f>
        <v>1422</v>
      </c>
      <c r="D369" s="90">
        <f>VLOOKUP(C369,'brand-map'!A:B,2,FALSE)</f>
        <v>2417</v>
      </c>
      <c r="E369" s="89" t="s">
        <v>5327</v>
      </c>
    </row>
    <row r="370" spans="1:5">
      <c r="A370" s="41">
        <v>229772</v>
      </c>
      <c r="B370" s="89" t="str">
        <f>VLOOKUP(A370,'prod-mongo'!A:B,2,FALSE)</f>
        <v>595f813f935f650021100804</v>
      </c>
      <c r="C370" s="88">
        <f>VLOOKUP('prod-prodcat'!A370,'Item Database'!A:CC,76,FALSE)</f>
        <v>754</v>
      </c>
      <c r="D370" s="90">
        <f>VLOOKUP(C370,'brand-map'!A:B,2,FALSE)</f>
        <v>1883</v>
      </c>
      <c r="E370" s="89" t="s">
        <v>5327</v>
      </c>
    </row>
    <row r="371" spans="1:5">
      <c r="A371" s="41">
        <v>168639</v>
      </c>
      <c r="B371" s="89" t="str">
        <f>VLOOKUP(A371,'prod-mongo'!A:B,2,FALSE)</f>
        <v>595f813f935f650021100805</v>
      </c>
      <c r="C371" s="88">
        <f>VLOOKUP('prod-prodcat'!A371,'Item Database'!A:CC,76,FALSE)</f>
        <v>190</v>
      </c>
      <c r="D371" s="90">
        <f>VLOOKUP(C371,'brand-map'!A:B,2,FALSE)</f>
        <v>1361</v>
      </c>
      <c r="E371" s="89" t="s">
        <v>5327</v>
      </c>
    </row>
    <row r="372" spans="1:5">
      <c r="A372" s="41">
        <v>112881</v>
      </c>
      <c r="B372" s="89" t="str">
        <f>VLOOKUP(A372,'prod-mongo'!A:B,2,FALSE)</f>
        <v>595f813f935f650021100806</v>
      </c>
      <c r="C372" s="88">
        <f>VLOOKUP('prod-prodcat'!A372,'Item Database'!A:CC,76,FALSE)</f>
        <v>307</v>
      </c>
      <c r="D372" s="90">
        <f>VLOOKUP(C372,'brand-map'!A:B,2,FALSE)</f>
        <v>1473</v>
      </c>
      <c r="E372" s="89" t="s">
        <v>5327</v>
      </c>
    </row>
    <row r="373" spans="1:5">
      <c r="A373" s="41">
        <v>91624</v>
      </c>
      <c r="B373" s="89" t="str">
        <f>VLOOKUP(A373,'prod-mongo'!A:B,2,FALSE)</f>
        <v>595f813f935f650021100807</v>
      </c>
      <c r="C373" s="88">
        <f>VLOOKUP('prod-prodcat'!A373,'Item Database'!A:CC,76,FALSE)</f>
        <v>575</v>
      </c>
      <c r="D373" s="90">
        <f>VLOOKUP(C373,'brand-map'!A:B,2,FALSE)</f>
        <v>1717</v>
      </c>
      <c r="E373" s="89" t="s">
        <v>5327</v>
      </c>
    </row>
    <row r="374" spans="1:5">
      <c r="A374" s="41">
        <v>171790</v>
      </c>
      <c r="B374" s="89" t="str">
        <f>VLOOKUP(A374,'prod-mongo'!A:B,2,FALSE)</f>
        <v>595f813f935f650021100808</v>
      </c>
      <c r="C374" s="88">
        <f>VLOOKUP('prod-prodcat'!A374,'Item Database'!A:CC,76,FALSE)</f>
        <v>552</v>
      </c>
      <c r="D374" s="90">
        <f>VLOOKUP(C374,'brand-map'!A:B,2,FALSE)</f>
        <v>1697</v>
      </c>
      <c r="E374" s="89" t="s">
        <v>5327</v>
      </c>
    </row>
    <row r="375" spans="1:5">
      <c r="A375" s="41">
        <v>146642</v>
      </c>
      <c r="B375" s="89" t="str">
        <f>VLOOKUP(A375,'prod-mongo'!A:B,2,FALSE)</f>
        <v>595f813f935f650021100809</v>
      </c>
      <c r="C375" s="88">
        <f>VLOOKUP('prod-prodcat'!A375,'Item Database'!A:CC,76,FALSE)</f>
        <v>889</v>
      </c>
      <c r="D375" s="90">
        <f>VLOOKUP(C375,'brand-map'!A:B,2,FALSE)</f>
        <v>1913</v>
      </c>
      <c r="E375" s="89" t="s">
        <v>5327</v>
      </c>
    </row>
    <row r="376" spans="1:5">
      <c r="A376" s="41">
        <v>821151</v>
      </c>
      <c r="B376" s="89" t="str">
        <f>VLOOKUP(A376,'prod-mongo'!A:B,2,FALSE)</f>
        <v>595f813f935f65002110080a</v>
      </c>
      <c r="C376" s="88">
        <f>VLOOKUP('prod-prodcat'!A376,'Item Database'!A:CC,76,FALSE)</f>
        <v>909</v>
      </c>
      <c r="D376" s="90">
        <f>VLOOKUP(C376,'brand-map'!A:B,2,FALSE)</f>
        <v>1931</v>
      </c>
      <c r="E376" s="89" t="s">
        <v>5327</v>
      </c>
    </row>
    <row r="377" spans="1:5">
      <c r="A377" s="41">
        <v>333981</v>
      </c>
      <c r="B377" s="89" t="str">
        <f>VLOOKUP(A377,'prod-mongo'!A:B,2,FALSE)</f>
        <v>595f813f935f65002110080b</v>
      </c>
      <c r="C377" s="88">
        <f>VLOOKUP('prod-prodcat'!A377,'Item Database'!A:CC,76,FALSE)</f>
        <v>260</v>
      </c>
      <c r="D377" s="90">
        <f>VLOOKUP(C377,'brand-map'!A:B,2,FALSE)</f>
        <v>1427</v>
      </c>
      <c r="E377" s="89" t="s">
        <v>5327</v>
      </c>
    </row>
    <row r="378" spans="1:5">
      <c r="A378" s="41">
        <v>220354</v>
      </c>
      <c r="B378" s="89" t="str">
        <f>VLOOKUP(A378,'prod-mongo'!A:B,2,FALSE)</f>
        <v>595f813f935f65002110080c</v>
      </c>
      <c r="C378" s="88">
        <f>VLOOKUP('prod-prodcat'!A378,'Item Database'!A:CC,76,FALSE)</f>
        <v>744</v>
      </c>
      <c r="D378" s="90">
        <f>VLOOKUP(C378,'brand-map'!A:B,2,FALSE)</f>
        <v>1874</v>
      </c>
      <c r="E378" s="89" t="s">
        <v>5327</v>
      </c>
    </row>
    <row r="379" spans="1:5">
      <c r="A379" s="41">
        <v>112863</v>
      </c>
      <c r="B379" s="89" t="str">
        <f>VLOOKUP(A379,'prod-mongo'!A:B,2,FALSE)</f>
        <v>595f813f935f65002110080d</v>
      </c>
      <c r="C379" s="88">
        <f>VLOOKUP('prod-prodcat'!A379,'Item Database'!A:CC,76,FALSE)</f>
        <v>716</v>
      </c>
      <c r="D379" s="90">
        <f>VLOOKUP(C379,'brand-map'!A:B,2,FALSE)</f>
        <v>1846</v>
      </c>
      <c r="E379" s="89" t="s">
        <v>5327</v>
      </c>
    </row>
    <row r="380" spans="1:5">
      <c r="A380" s="41">
        <v>197584</v>
      </c>
      <c r="B380" s="89" t="str">
        <f>VLOOKUP(A380,'prod-mongo'!A:B,2,FALSE)</f>
        <v>595f813f935f65002110080e</v>
      </c>
      <c r="C380" s="88">
        <f>VLOOKUP('prod-prodcat'!A380,'Item Database'!A:CC,76,FALSE)</f>
        <v>724</v>
      </c>
      <c r="D380" s="90">
        <f>VLOOKUP(C380,'brand-map'!A:B,2,FALSE)</f>
        <v>1854</v>
      </c>
      <c r="E380" s="89" t="s">
        <v>5327</v>
      </c>
    </row>
    <row r="381" spans="1:5">
      <c r="A381" s="41">
        <v>222187</v>
      </c>
      <c r="B381" s="89" t="str">
        <f>VLOOKUP(A381,'prod-mongo'!A:B,2,FALSE)</f>
        <v>595f8140935f65002110080f</v>
      </c>
      <c r="C381" s="88">
        <f>VLOOKUP('prod-prodcat'!A381,'Item Database'!A:CC,76,FALSE)</f>
        <v>716</v>
      </c>
      <c r="D381" s="90">
        <f>VLOOKUP(C381,'brand-map'!A:B,2,FALSE)</f>
        <v>1846</v>
      </c>
      <c r="E381" s="89" t="s">
        <v>5327</v>
      </c>
    </row>
    <row r="382" spans="1:5">
      <c r="A382" s="41">
        <v>55198</v>
      </c>
      <c r="B382" s="89" t="str">
        <f>VLOOKUP(A382,'prod-mongo'!A:B,2,FALSE)</f>
        <v>595f8140935f650021100810</v>
      </c>
      <c r="C382" s="88">
        <f>VLOOKUP('prod-prodcat'!A382,'Item Database'!A:CC,76,FALSE)</f>
        <v>252</v>
      </c>
      <c r="D382" s="90">
        <f>VLOOKUP(C382,'brand-map'!A:B,2,FALSE)</f>
        <v>1420</v>
      </c>
      <c r="E382" s="89" t="s">
        <v>5327</v>
      </c>
    </row>
    <row r="383" spans="1:5">
      <c r="A383" s="41">
        <v>7462</v>
      </c>
      <c r="B383" s="89" t="str">
        <f>VLOOKUP(A383,'prod-mongo'!A:B,2,FALSE)</f>
        <v>595f8140935f650021100811</v>
      </c>
      <c r="C383" s="88">
        <f>VLOOKUP('prod-prodcat'!A383,'Item Database'!A:CC,76,FALSE)</f>
        <v>252</v>
      </c>
      <c r="D383" s="90">
        <f>VLOOKUP(C383,'brand-map'!A:B,2,FALSE)</f>
        <v>1420</v>
      </c>
      <c r="E383" s="89" t="s">
        <v>5327</v>
      </c>
    </row>
    <row r="384" spans="1:5">
      <c r="A384" s="41">
        <v>7618</v>
      </c>
      <c r="B384" s="89" t="str">
        <f>VLOOKUP(A384,'prod-mongo'!A:B,2,FALSE)</f>
        <v>595f8140935f650021100812</v>
      </c>
      <c r="C384" s="88">
        <f>VLOOKUP('prod-prodcat'!A384,'Item Database'!A:CC,76,FALSE)</f>
        <v>252</v>
      </c>
      <c r="D384" s="90">
        <f>VLOOKUP(C384,'brand-map'!A:B,2,FALSE)</f>
        <v>1420</v>
      </c>
      <c r="E384" s="89" t="s">
        <v>5327</v>
      </c>
    </row>
    <row r="385" spans="1:5">
      <c r="A385" s="41">
        <v>219518</v>
      </c>
      <c r="B385" s="89" t="str">
        <f>VLOOKUP(A385,'prod-mongo'!A:B,2,FALSE)</f>
        <v>595f8140935f650021100813</v>
      </c>
      <c r="C385" s="88">
        <f>VLOOKUP('prod-prodcat'!A385,'Item Database'!A:CC,76,FALSE)</f>
        <v>160</v>
      </c>
      <c r="D385" s="90">
        <f>VLOOKUP(C385,'brand-map'!A:B,2,FALSE)</f>
        <v>1335</v>
      </c>
      <c r="E385" s="89" t="s">
        <v>5327</v>
      </c>
    </row>
    <row r="386" spans="1:5">
      <c r="A386" s="41">
        <v>117713</v>
      </c>
      <c r="B386" s="89" t="str">
        <f>VLOOKUP(A386,'prod-mongo'!A:B,2,FALSE)</f>
        <v>595f8140935f650021100814</v>
      </c>
      <c r="C386" s="88">
        <f>VLOOKUP('prod-prodcat'!A386,'Item Database'!A:CC,76,FALSE)</f>
        <v>51</v>
      </c>
      <c r="D386" s="90">
        <f>VLOOKUP(C386,'brand-map'!A:B,2,FALSE)</f>
        <v>1236</v>
      </c>
      <c r="E386" s="89" t="s">
        <v>5327</v>
      </c>
    </row>
    <row r="387" spans="1:5">
      <c r="A387" s="41">
        <v>806603</v>
      </c>
      <c r="B387" s="89" t="str">
        <f>VLOOKUP(A387,'prod-mongo'!A:B,2,FALSE)</f>
        <v>595f8140935f650021100815</v>
      </c>
      <c r="C387" s="88">
        <f>VLOOKUP('prod-prodcat'!A387,'Item Database'!A:CC,76,FALSE)</f>
        <v>160</v>
      </c>
      <c r="D387" s="90">
        <f>VLOOKUP(C387,'brand-map'!A:B,2,FALSE)</f>
        <v>1335</v>
      </c>
      <c r="E387" s="89" t="s">
        <v>5327</v>
      </c>
    </row>
    <row r="388" spans="1:5">
      <c r="A388" s="41">
        <v>111952</v>
      </c>
      <c r="B388" s="89" t="str">
        <f>VLOOKUP(A388,'prod-mongo'!A:B,2,FALSE)</f>
        <v>595f8140935f650021100816</v>
      </c>
      <c r="C388" s="88">
        <f>VLOOKUP('prod-prodcat'!A388,'Item Database'!A:CC,76,FALSE)</f>
        <v>0</v>
      </c>
      <c r="D388" s="90">
        <f>VLOOKUP(C388,'brand-map'!A:B,2,FALSE)</f>
        <v>1193</v>
      </c>
      <c r="E388" s="89" t="s">
        <v>5327</v>
      </c>
    </row>
    <row r="389" spans="1:5">
      <c r="A389" s="41">
        <v>111718</v>
      </c>
      <c r="B389" s="89" t="str">
        <f>VLOOKUP(A389,'prod-mongo'!A:B,2,FALSE)</f>
        <v>595f8140935f650021100817</v>
      </c>
      <c r="C389" s="88">
        <f>VLOOKUP('prod-prodcat'!A389,'Item Database'!A:CC,76,FALSE)</f>
        <v>0</v>
      </c>
      <c r="D389" s="90">
        <f>VLOOKUP(C389,'brand-map'!A:B,2,FALSE)</f>
        <v>1193</v>
      </c>
      <c r="E389" s="89" t="s">
        <v>5327</v>
      </c>
    </row>
    <row r="390" spans="1:5">
      <c r="A390" s="41">
        <v>160355</v>
      </c>
      <c r="B390" s="89" t="str">
        <f>VLOOKUP(A390,'prod-mongo'!A:B,2,FALSE)</f>
        <v>595f8140935f650021100818</v>
      </c>
      <c r="C390" s="88">
        <f>VLOOKUP('prod-prodcat'!A390,'Item Database'!A:CC,76,FALSE)</f>
        <v>692</v>
      </c>
      <c r="D390" s="90">
        <f>VLOOKUP(C390,'brand-map'!A:B,2,FALSE)</f>
        <v>1823</v>
      </c>
      <c r="E390" s="89" t="s">
        <v>5327</v>
      </c>
    </row>
    <row r="391" spans="1:5">
      <c r="A391" s="41">
        <v>160341</v>
      </c>
      <c r="B391" s="89" t="str">
        <f>VLOOKUP(A391,'prod-mongo'!A:B,2,FALSE)</f>
        <v>595f8140935f650021100819</v>
      </c>
      <c r="C391" s="88">
        <f>VLOOKUP('prod-prodcat'!A391,'Item Database'!A:CC,76,FALSE)</f>
        <v>692</v>
      </c>
      <c r="D391" s="90">
        <f>VLOOKUP(C391,'brand-map'!A:B,2,FALSE)</f>
        <v>1823</v>
      </c>
      <c r="E391" s="89" t="s">
        <v>5327</v>
      </c>
    </row>
    <row r="392" spans="1:5">
      <c r="A392" s="41">
        <v>199233</v>
      </c>
      <c r="B392" s="89" t="str">
        <f>VLOOKUP(A392,'prod-mongo'!A:B,2,FALSE)</f>
        <v>595f8140935f65002110081a</v>
      </c>
      <c r="C392" s="88">
        <f>VLOOKUP('prod-prodcat'!A392,'Item Database'!A:CC,76,FALSE)</f>
        <v>457</v>
      </c>
      <c r="D392" s="90">
        <f>VLOOKUP(C392,'brand-map'!A:B,2,FALSE)</f>
        <v>1610</v>
      </c>
      <c r="E392" s="89" t="s">
        <v>5327</v>
      </c>
    </row>
    <row r="393" spans="1:5">
      <c r="A393" s="41">
        <v>126779</v>
      </c>
      <c r="B393" s="89" t="str">
        <f>VLOOKUP(A393,'prod-mongo'!A:B,2,FALSE)</f>
        <v>595f8140935f65002110081b</v>
      </c>
      <c r="C393" s="88">
        <f>VLOOKUP('prod-prodcat'!A393,'Item Database'!A:CC,76,FALSE)</f>
        <v>1068</v>
      </c>
      <c r="D393" s="90">
        <f>VLOOKUP(C393,'brand-map'!A:B,2,FALSE)</f>
        <v>2075</v>
      </c>
      <c r="E393" s="89" t="s">
        <v>5327</v>
      </c>
    </row>
    <row r="394" spans="1:5">
      <c r="A394" s="41">
        <v>820677</v>
      </c>
      <c r="B394" s="89" t="str">
        <f>VLOOKUP(A394,'prod-mongo'!A:B,2,FALSE)</f>
        <v>595f8140935f65002110081c</v>
      </c>
      <c r="C394" s="88">
        <f>VLOOKUP('prod-prodcat'!A394,'Item Database'!A:CC,76,FALSE)</f>
        <v>103</v>
      </c>
      <c r="D394" s="90">
        <f>VLOOKUP(C394,'brand-map'!A:B,2,FALSE)</f>
        <v>1283</v>
      </c>
      <c r="E394" s="89" t="s">
        <v>5327</v>
      </c>
    </row>
    <row r="395" spans="1:5">
      <c r="A395" s="41">
        <v>817651</v>
      </c>
      <c r="B395" s="89" t="str">
        <f>VLOOKUP(A395,'prod-mongo'!A:B,2,FALSE)</f>
        <v>595f8140935f65002110081d</v>
      </c>
      <c r="C395" s="88">
        <f>VLOOKUP('prod-prodcat'!A395,'Item Database'!A:CC,76,FALSE)</f>
        <v>744</v>
      </c>
      <c r="D395" s="90">
        <f>VLOOKUP(C395,'brand-map'!A:B,2,FALSE)</f>
        <v>1874</v>
      </c>
      <c r="E395" s="89" t="s">
        <v>5327</v>
      </c>
    </row>
    <row r="396" spans="1:5">
      <c r="A396" s="41">
        <v>140215</v>
      </c>
      <c r="B396" s="89" t="str">
        <f>VLOOKUP(A396,'prod-mongo'!A:B,2,FALSE)</f>
        <v>595f8140935f65002110081e</v>
      </c>
      <c r="C396" s="88">
        <f>VLOOKUP('prod-prodcat'!A396,'Item Database'!A:CC,76,FALSE)</f>
        <v>744</v>
      </c>
      <c r="D396" s="90">
        <f>VLOOKUP(C396,'brand-map'!A:B,2,FALSE)</f>
        <v>1874</v>
      </c>
      <c r="E396" s="89" t="s">
        <v>5327</v>
      </c>
    </row>
    <row r="397" spans="1:5">
      <c r="A397" s="41">
        <v>805176</v>
      </c>
      <c r="B397" s="89" t="str">
        <f>VLOOKUP(A397,'prod-mongo'!A:B,2,FALSE)</f>
        <v>595f8140935f65002110081f</v>
      </c>
      <c r="C397" s="88">
        <f>VLOOKUP('prod-prodcat'!A397,'Item Database'!A:CC,76,FALSE)</f>
        <v>160</v>
      </c>
      <c r="D397" s="90">
        <f>VLOOKUP(C397,'brand-map'!A:B,2,FALSE)</f>
        <v>1335</v>
      </c>
      <c r="E397" s="89" t="s">
        <v>5327</v>
      </c>
    </row>
    <row r="398" spans="1:5">
      <c r="A398" s="41">
        <v>821184</v>
      </c>
      <c r="B398" s="89" t="str">
        <f>VLOOKUP(A398,'prod-mongo'!A:B,2,FALSE)</f>
        <v>595f8140935f650021100820</v>
      </c>
      <c r="C398" s="88">
        <f>VLOOKUP('prod-prodcat'!A398,'Item Database'!A:CC,76,FALSE)</f>
        <v>151</v>
      </c>
      <c r="D398" s="90">
        <f>VLOOKUP(C398,'brand-map'!A:B,2,FALSE)</f>
        <v>1328</v>
      </c>
      <c r="E398" s="89" t="s">
        <v>5327</v>
      </c>
    </row>
    <row r="399" spans="1:5">
      <c r="A399" s="41">
        <v>223806</v>
      </c>
      <c r="B399" s="89" t="str">
        <f>VLOOKUP(A399,'prod-mongo'!A:B,2,FALSE)</f>
        <v>595f8140935f650021100821</v>
      </c>
      <c r="C399" s="88">
        <f>VLOOKUP('prod-prodcat'!A399,'Item Database'!A:CC,76,FALSE)</f>
        <v>0</v>
      </c>
      <c r="D399" s="90">
        <f>VLOOKUP(C399,'brand-map'!A:B,2,FALSE)</f>
        <v>1193</v>
      </c>
      <c r="E399" s="89" t="s">
        <v>5327</v>
      </c>
    </row>
    <row r="400" spans="1:5">
      <c r="A400" s="41">
        <v>143699</v>
      </c>
      <c r="B400" s="89" t="str">
        <f>VLOOKUP(A400,'prod-mongo'!A:B,2,FALSE)</f>
        <v>595f8140935f650021100822</v>
      </c>
      <c r="C400" s="88">
        <f>VLOOKUP('prod-prodcat'!A400,'Item Database'!A:CC,76,FALSE)</f>
        <v>692</v>
      </c>
      <c r="D400" s="90">
        <f>VLOOKUP(C400,'brand-map'!A:B,2,FALSE)</f>
        <v>1823</v>
      </c>
      <c r="E400" s="89" t="s">
        <v>5327</v>
      </c>
    </row>
    <row r="401" spans="1:5">
      <c r="A401" s="41">
        <v>108814</v>
      </c>
      <c r="B401" s="89" t="str">
        <f>VLOOKUP(A401,'prod-mongo'!A:B,2,FALSE)</f>
        <v>595f8140935f650021100823</v>
      </c>
      <c r="C401" s="88">
        <f>VLOOKUP('prod-prodcat'!A401,'Item Database'!A:CC,76,FALSE)</f>
        <v>712</v>
      </c>
      <c r="D401" s="90">
        <f>VLOOKUP(C401,'brand-map'!A:B,2,FALSE)</f>
        <v>1842</v>
      </c>
      <c r="E401" s="89" t="s">
        <v>5327</v>
      </c>
    </row>
    <row r="402" spans="1:5">
      <c r="A402" s="41">
        <v>549718</v>
      </c>
      <c r="B402" s="89" t="str">
        <f>VLOOKUP(A402,'prod-mongo'!A:B,2,FALSE)</f>
        <v>595f8140935f650021100824</v>
      </c>
      <c r="C402" s="88">
        <f>VLOOKUP('prod-prodcat'!A402,'Item Database'!A:CC,76,FALSE)</f>
        <v>627</v>
      </c>
      <c r="D402" s="90">
        <f>VLOOKUP(C402,'brand-map'!A:B,2,FALSE)</f>
        <v>1765</v>
      </c>
      <c r="E402" s="89" t="s">
        <v>5327</v>
      </c>
    </row>
    <row r="403" spans="1:5">
      <c r="A403" s="41">
        <v>802616</v>
      </c>
      <c r="B403" s="89" t="str">
        <f>VLOOKUP(A403,'prod-mongo'!A:B,2,FALSE)</f>
        <v>595f8140935f650021100825</v>
      </c>
      <c r="C403" s="88">
        <f>VLOOKUP('prod-prodcat'!A403,'Item Database'!A:CC,76,FALSE)</f>
        <v>454</v>
      </c>
      <c r="D403" s="90">
        <f>VLOOKUP(C403,'brand-map'!A:B,2,FALSE)</f>
        <v>1607</v>
      </c>
      <c r="E403" s="89" t="s">
        <v>5327</v>
      </c>
    </row>
    <row r="404" spans="1:5">
      <c r="A404" s="41">
        <v>215798</v>
      </c>
      <c r="B404" s="89" t="str">
        <f>VLOOKUP(A404,'prod-mongo'!A:B,2,FALSE)</f>
        <v>595f8140935f650021100826</v>
      </c>
      <c r="C404" s="88">
        <f>VLOOKUP('prod-prodcat'!A404,'Item Database'!A:CC,76,FALSE)</f>
        <v>1080</v>
      </c>
      <c r="D404" s="90">
        <f>VLOOKUP(C404,'brand-map'!A:B,2,FALSE)</f>
        <v>2087</v>
      </c>
      <c r="E404" s="89" t="s">
        <v>5327</v>
      </c>
    </row>
    <row r="405" spans="1:5">
      <c r="A405" s="41">
        <v>809961</v>
      </c>
      <c r="B405" s="89" t="str">
        <f>VLOOKUP(A405,'prod-mongo'!A:B,2,FALSE)</f>
        <v>595f8140935f650021100827</v>
      </c>
      <c r="C405" s="88">
        <f>VLOOKUP('prod-prodcat'!A405,'Item Database'!A:CC,76,FALSE)</f>
        <v>366</v>
      </c>
      <c r="D405" s="90">
        <f>VLOOKUP(C405,'brand-map'!A:B,2,FALSE)</f>
        <v>1526</v>
      </c>
      <c r="E405" s="89" t="s">
        <v>5327</v>
      </c>
    </row>
    <row r="406" spans="1:5">
      <c r="A406" s="41">
        <v>147866</v>
      </c>
      <c r="B406" s="89" t="str">
        <f>VLOOKUP(A406,'prod-mongo'!A:B,2,FALSE)</f>
        <v>595f8140935f650021100828</v>
      </c>
      <c r="C406" s="88">
        <f>VLOOKUP('prod-prodcat'!A406,'Item Database'!A:CC,76,FALSE)</f>
        <v>93</v>
      </c>
      <c r="D406" s="90">
        <f>VLOOKUP(C406,'brand-map'!A:B,2,FALSE)</f>
        <v>1275</v>
      </c>
      <c r="E406" s="89" t="s">
        <v>5327</v>
      </c>
    </row>
    <row r="407" spans="1:5">
      <c r="A407" s="41">
        <v>835172</v>
      </c>
      <c r="B407" s="89" t="str">
        <f>VLOOKUP(A407,'prod-mongo'!A:B,2,FALSE)</f>
        <v>595f8140935f650021100829</v>
      </c>
      <c r="C407" s="88">
        <f>VLOOKUP('prod-prodcat'!A407,'Item Database'!A:CC,76,FALSE)</f>
        <v>206</v>
      </c>
      <c r="D407" s="90">
        <f>VLOOKUP(C407,'brand-map'!A:B,2,FALSE)</f>
        <v>1377</v>
      </c>
      <c r="E407" s="89" t="s">
        <v>5327</v>
      </c>
    </row>
    <row r="408" spans="1:5">
      <c r="A408" s="41">
        <v>224003</v>
      </c>
      <c r="B408" s="89" t="str">
        <f>VLOOKUP(A408,'prod-mongo'!A:B,2,FALSE)</f>
        <v>595f8140935f65002110082a</v>
      </c>
      <c r="C408" s="88">
        <f>VLOOKUP('prod-prodcat'!A408,'Item Database'!A:CC,76,FALSE)</f>
        <v>245</v>
      </c>
      <c r="D408" s="90">
        <f>VLOOKUP(C408,'brand-map'!A:B,2,FALSE)</f>
        <v>1413</v>
      </c>
      <c r="E408" s="89" t="s">
        <v>5327</v>
      </c>
    </row>
    <row r="409" spans="1:5">
      <c r="A409" s="41">
        <v>463619</v>
      </c>
      <c r="B409" s="89" t="str">
        <f>VLOOKUP(A409,'prod-mongo'!A:B,2,FALSE)</f>
        <v>595f8140935f65002110082b</v>
      </c>
      <c r="C409" s="88">
        <f>VLOOKUP('prod-prodcat'!A409,'Item Database'!A:CC,76,FALSE)</f>
        <v>428</v>
      </c>
      <c r="D409" s="90">
        <f>VLOOKUP(C409,'brand-map'!A:B,2,FALSE)</f>
        <v>1582</v>
      </c>
      <c r="E409" s="89" t="s">
        <v>5327</v>
      </c>
    </row>
    <row r="410" spans="1:5">
      <c r="A410" s="41">
        <v>818088</v>
      </c>
      <c r="B410" s="89" t="str">
        <f>VLOOKUP(A410,'prod-mongo'!A:B,2,FALSE)</f>
        <v>595f8140935f65002110082c</v>
      </c>
      <c r="C410" s="88">
        <f>VLOOKUP('prod-prodcat'!A410,'Item Database'!A:CC,76,FALSE)</f>
        <v>350</v>
      </c>
      <c r="D410" s="90">
        <f>VLOOKUP(C410,'brand-map'!A:B,2,FALSE)</f>
        <v>1511</v>
      </c>
      <c r="E410" s="89" t="s">
        <v>5327</v>
      </c>
    </row>
    <row r="411" spans="1:5">
      <c r="A411" s="41">
        <v>818635</v>
      </c>
      <c r="B411" s="89" t="str">
        <f>VLOOKUP(A411,'prod-mongo'!A:B,2,FALSE)</f>
        <v>595f8140935f65002110082d</v>
      </c>
      <c r="C411" s="88">
        <f>VLOOKUP('prod-prodcat'!A411,'Item Database'!A:CC,76,FALSE)</f>
        <v>998</v>
      </c>
      <c r="D411" s="90">
        <f>VLOOKUP(C411,'brand-map'!A:B,2,FALSE)</f>
        <v>2007</v>
      </c>
      <c r="E411" s="89" t="s">
        <v>5327</v>
      </c>
    </row>
    <row r="412" spans="1:5">
      <c r="A412" s="41">
        <v>200072</v>
      </c>
      <c r="B412" s="89" t="str">
        <f>VLOOKUP(A412,'prod-mongo'!A:B,2,FALSE)</f>
        <v>595f8140935f65002110082e</v>
      </c>
      <c r="C412" s="88">
        <f>VLOOKUP('prod-prodcat'!A412,'Item Database'!A:CC,76,FALSE)</f>
        <v>1012</v>
      </c>
      <c r="D412" s="90">
        <f>VLOOKUP(C412,'brand-map'!A:B,2,FALSE)</f>
        <v>2021</v>
      </c>
      <c r="E412" s="89" t="s">
        <v>5327</v>
      </c>
    </row>
    <row r="413" spans="1:5">
      <c r="A413" s="41">
        <v>138804</v>
      </c>
      <c r="B413" s="89" t="str">
        <f>VLOOKUP(A413,'prod-mongo'!A:B,2,FALSE)</f>
        <v>595f8140935f65002110082f</v>
      </c>
      <c r="C413" s="88">
        <f>VLOOKUP('prod-prodcat'!A413,'Item Database'!A:CC,76,FALSE)</f>
        <v>62</v>
      </c>
      <c r="D413" s="90">
        <f>VLOOKUP(C413,'brand-map'!A:B,2,FALSE)</f>
        <v>1247</v>
      </c>
      <c r="E413" s="89" t="s">
        <v>5327</v>
      </c>
    </row>
    <row r="414" spans="1:5">
      <c r="A414" s="41">
        <v>216333</v>
      </c>
      <c r="B414" s="89" t="str">
        <f>VLOOKUP(A414,'prod-mongo'!A:B,2,FALSE)</f>
        <v>595f8140935f650021100830</v>
      </c>
      <c r="C414" s="88">
        <f>VLOOKUP('prod-prodcat'!A414,'Item Database'!A:CC,76,FALSE)</f>
        <v>108</v>
      </c>
      <c r="D414" s="90">
        <f>VLOOKUP(C414,'brand-map'!A:B,2,FALSE)</f>
        <v>1288</v>
      </c>
      <c r="E414" s="89" t="s">
        <v>5327</v>
      </c>
    </row>
    <row r="415" spans="1:5">
      <c r="A415" s="41">
        <v>811575</v>
      </c>
      <c r="B415" s="89" t="str">
        <f>VLOOKUP(A415,'prod-mongo'!A:B,2,FALSE)</f>
        <v>595f8140935f650021100831</v>
      </c>
      <c r="C415" s="88">
        <f>VLOOKUP('prod-prodcat'!A415,'Item Database'!A:CC,76,FALSE)</f>
        <v>575</v>
      </c>
      <c r="D415" s="90">
        <f>VLOOKUP(C415,'brand-map'!A:B,2,FALSE)</f>
        <v>1717</v>
      </c>
      <c r="E415" s="89" t="s">
        <v>5327</v>
      </c>
    </row>
    <row r="416" spans="1:5">
      <c r="A416" s="41">
        <v>144958</v>
      </c>
      <c r="B416" s="89" t="str">
        <f>VLOOKUP(A416,'prod-mongo'!A:B,2,FALSE)</f>
        <v>595f8140935f650021100832</v>
      </c>
      <c r="C416" s="88">
        <f>VLOOKUP('prod-prodcat'!A416,'Item Database'!A:CC,76,FALSE)</f>
        <v>307</v>
      </c>
      <c r="D416" s="90">
        <f>VLOOKUP(C416,'brand-map'!A:B,2,FALSE)</f>
        <v>1473</v>
      </c>
      <c r="E416" s="89" t="s">
        <v>5327</v>
      </c>
    </row>
    <row r="417" spans="1:5">
      <c r="A417" s="41">
        <v>315991</v>
      </c>
      <c r="B417" s="89" t="str">
        <f>VLOOKUP(A417,'prod-mongo'!A:B,2,FALSE)</f>
        <v>595f8140935f650021100833</v>
      </c>
      <c r="C417" s="88">
        <f>VLOOKUP('prod-prodcat'!A417,'Item Database'!A:CC,76,FALSE)</f>
        <v>108</v>
      </c>
      <c r="D417" s="90">
        <f>VLOOKUP(C417,'brand-map'!A:B,2,FALSE)</f>
        <v>1288</v>
      </c>
      <c r="E417" s="89" t="s">
        <v>5327</v>
      </c>
    </row>
    <row r="418" spans="1:5">
      <c r="A418" s="41">
        <v>146114</v>
      </c>
      <c r="B418" s="89" t="str">
        <f>VLOOKUP(A418,'prod-mongo'!A:B,2,FALSE)</f>
        <v>595f8140935f650021100834</v>
      </c>
      <c r="C418" s="88">
        <f>VLOOKUP('prod-prodcat'!A418,'Item Database'!A:CC,76,FALSE)</f>
        <v>108</v>
      </c>
      <c r="D418" s="90">
        <f>VLOOKUP(C418,'brand-map'!A:B,2,FALSE)</f>
        <v>1288</v>
      </c>
      <c r="E418" s="89" t="s">
        <v>5327</v>
      </c>
    </row>
    <row r="419" spans="1:5">
      <c r="A419" s="41">
        <v>218732</v>
      </c>
      <c r="B419" s="89" t="str">
        <f>VLOOKUP(A419,'prod-mongo'!A:B,2,FALSE)</f>
        <v>595f8140935f650021100835</v>
      </c>
      <c r="C419" s="88">
        <f>VLOOKUP('prod-prodcat'!A419,'Item Database'!A:CC,76,FALSE)</f>
        <v>746</v>
      </c>
      <c r="D419" s="90">
        <f>VLOOKUP(C419,'brand-map'!A:B,2,FALSE)</f>
        <v>1875</v>
      </c>
      <c r="E419" s="89" t="s">
        <v>5327</v>
      </c>
    </row>
    <row r="420" spans="1:5">
      <c r="A420" s="41">
        <v>149864</v>
      </c>
      <c r="B420" s="89" t="str">
        <f>VLOOKUP(A420,'prod-mongo'!A:B,2,FALSE)</f>
        <v>595f8140935f650021100836</v>
      </c>
      <c r="C420" s="88">
        <f>VLOOKUP('prod-prodcat'!A420,'Item Database'!A:CC,76,FALSE)</f>
        <v>216</v>
      </c>
      <c r="D420" s="90">
        <f>VLOOKUP(C420,'brand-map'!A:B,2,FALSE)</f>
        <v>1387</v>
      </c>
      <c r="E420" s="89" t="s">
        <v>5327</v>
      </c>
    </row>
    <row r="421" spans="1:5">
      <c r="A421" s="41">
        <v>150522</v>
      </c>
      <c r="B421" s="89" t="str">
        <f>VLOOKUP(A421,'prod-mongo'!A:B,2,FALSE)</f>
        <v>595f8140935f650021100837</v>
      </c>
      <c r="C421" s="88">
        <f>VLOOKUP('prod-prodcat'!A421,'Item Database'!A:CC,76,FALSE)</f>
        <v>894</v>
      </c>
      <c r="D421" s="90">
        <f>VLOOKUP(C421,'brand-map'!A:B,2,FALSE)</f>
        <v>1918</v>
      </c>
      <c r="E421" s="89" t="s">
        <v>5327</v>
      </c>
    </row>
    <row r="422" spans="1:5">
      <c r="A422" s="41">
        <v>809830</v>
      </c>
      <c r="B422" s="89" t="str">
        <f>VLOOKUP(A422,'prod-mongo'!A:B,2,FALSE)</f>
        <v>595f8140935f650021100838</v>
      </c>
      <c r="C422" s="88">
        <f>VLOOKUP('prod-prodcat'!A422,'Item Database'!A:CC,76,FALSE)</f>
        <v>894</v>
      </c>
      <c r="D422" s="90">
        <f>VLOOKUP(C422,'brand-map'!A:B,2,FALSE)</f>
        <v>1918</v>
      </c>
      <c r="E422" s="89" t="s">
        <v>5327</v>
      </c>
    </row>
    <row r="423" spans="1:5">
      <c r="A423" s="41">
        <v>197876</v>
      </c>
      <c r="B423" s="89" t="str">
        <f>VLOOKUP(A423,'prod-mongo'!A:B,2,FALSE)</f>
        <v>595f8140935f650021100839</v>
      </c>
      <c r="C423" s="88">
        <f>VLOOKUP('prod-prodcat'!A423,'Item Database'!A:CC,76,FALSE)</f>
        <v>216</v>
      </c>
      <c r="D423" s="90">
        <f>VLOOKUP(C423,'brand-map'!A:B,2,FALSE)</f>
        <v>1387</v>
      </c>
      <c r="E423" s="89" t="s">
        <v>5327</v>
      </c>
    </row>
    <row r="424" spans="1:5">
      <c r="A424" s="41">
        <v>107109</v>
      </c>
      <c r="B424" s="89" t="str">
        <f>VLOOKUP(A424,'prod-mongo'!A:B,2,FALSE)</f>
        <v>595f8140935f65002110083a</v>
      </c>
      <c r="C424" s="88">
        <f>VLOOKUP('prod-prodcat'!A424,'Item Database'!A:CC,76,FALSE)</f>
        <v>307</v>
      </c>
      <c r="D424" s="90">
        <f>VLOOKUP(C424,'brand-map'!A:B,2,FALSE)</f>
        <v>1473</v>
      </c>
      <c r="E424" s="89" t="s">
        <v>5327</v>
      </c>
    </row>
    <row r="425" spans="1:5">
      <c r="A425" s="41">
        <v>144533</v>
      </c>
      <c r="B425" s="89" t="str">
        <f>VLOOKUP(A425,'prod-mongo'!A:B,2,FALSE)</f>
        <v>595f8140935f65002110083b</v>
      </c>
      <c r="C425" s="88">
        <f>VLOOKUP('prod-prodcat'!A425,'Item Database'!A:CC,76,FALSE)</f>
        <v>443</v>
      </c>
      <c r="D425" s="90">
        <f>VLOOKUP(C425,'brand-map'!A:B,2,FALSE)</f>
        <v>1597</v>
      </c>
      <c r="E425" s="89" t="s">
        <v>5327</v>
      </c>
    </row>
    <row r="426" spans="1:5">
      <c r="A426" s="41">
        <v>224330</v>
      </c>
      <c r="B426" s="89" t="str">
        <f>VLOOKUP(A426,'prod-mongo'!A:B,2,FALSE)</f>
        <v>595f8140935f65002110083c</v>
      </c>
      <c r="C426" s="88">
        <f>VLOOKUP('prod-prodcat'!A426,'Item Database'!A:CC,76,FALSE)</f>
        <v>57</v>
      </c>
      <c r="D426" s="90">
        <f>VLOOKUP(C426,'brand-map'!A:B,2,FALSE)</f>
        <v>1242</v>
      </c>
      <c r="E426" s="89" t="s">
        <v>5327</v>
      </c>
    </row>
    <row r="427" spans="1:5">
      <c r="A427" s="41">
        <v>818783</v>
      </c>
      <c r="B427" s="89" t="str">
        <f>VLOOKUP(A427,'prod-mongo'!A:B,2,FALSE)</f>
        <v>595f8140935f65002110083d</v>
      </c>
      <c r="C427" s="88">
        <f>VLOOKUP('prod-prodcat'!A427,'Item Database'!A:CC,76,FALSE)</f>
        <v>575</v>
      </c>
      <c r="D427" s="90">
        <f>VLOOKUP(C427,'brand-map'!A:B,2,FALSE)</f>
        <v>1717</v>
      </c>
      <c r="E427" s="89" t="s">
        <v>5327</v>
      </c>
    </row>
    <row r="428" spans="1:5">
      <c r="A428" s="41">
        <v>805991</v>
      </c>
      <c r="B428" s="89" t="str">
        <f>VLOOKUP(A428,'prod-mongo'!A:B,2,FALSE)</f>
        <v>595f8140935f65002110083e</v>
      </c>
      <c r="C428" s="88">
        <f>VLOOKUP('prod-prodcat'!A428,'Item Database'!A:CC,76,FALSE)</f>
        <v>921</v>
      </c>
      <c r="D428" s="90">
        <f>VLOOKUP(C428,'brand-map'!A:B,2,FALSE)</f>
        <v>1943</v>
      </c>
      <c r="E428" s="89" t="s">
        <v>5327</v>
      </c>
    </row>
    <row r="429" spans="1:5">
      <c r="A429" s="41">
        <v>223670</v>
      </c>
      <c r="B429" s="89" t="str">
        <f>VLOOKUP(A429,'prod-mongo'!A:B,2,FALSE)</f>
        <v>595f8140935f65002110083f</v>
      </c>
      <c r="C429" s="88">
        <f>VLOOKUP('prod-prodcat'!A429,'Item Database'!A:CC,76,FALSE)</f>
        <v>921</v>
      </c>
      <c r="D429" s="90">
        <f>VLOOKUP(C429,'brand-map'!A:B,2,FALSE)</f>
        <v>1943</v>
      </c>
      <c r="E429" s="89" t="s">
        <v>5327</v>
      </c>
    </row>
    <row r="430" spans="1:5">
      <c r="A430" s="41">
        <v>172957</v>
      </c>
      <c r="B430" s="89" t="str">
        <f>VLOOKUP(A430,'prod-mongo'!A:B,2,FALSE)</f>
        <v>595f8140935f650021100840</v>
      </c>
      <c r="C430" s="88">
        <f>VLOOKUP('prod-prodcat'!A430,'Item Database'!A:CC,76,FALSE)</f>
        <v>248</v>
      </c>
      <c r="D430" s="90">
        <f>VLOOKUP(C430,'brand-map'!A:B,2,FALSE)</f>
        <v>1416</v>
      </c>
      <c r="E430" s="89" t="s">
        <v>5327</v>
      </c>
    </row>
    <row r="431" spans="1:5">
      <c r="A431" s="41">
        <v>813197</v>
      </c>
      <c r="B431" s="89" t="str">
        <f>VLOOKUP(A431,'prod-mongo'!A:B,2,FALSE)</f>
        <v>595f8140935f650021100841</v>
      </c>
      <c r="C431" s="88">
        <f>VLOOKUP('prod-prodcat'!A431,'Item Database'!A:CC,76,FALSE)</f>
        <v>912</v>
      </c>
      <c r="D431" s="90">
        <f>VLOOKUP(C431,'brand-map'!A:B,2,FALSE)</f>
        <v>1934</v>
      </c>
      <c r="E431" s="89" t="s">
        <v>5327</v>
      </c>
    </row>
    <row r="432" spans="1:5">
      <c r="A432" s="41">
        <v>108704</v>
      </c>
      <c r="B432" s="89" t="str">
        <f>VLOOKUP(A432,'prod-mongo'!A:B,2,FALSE)</f>
        <v>595f8140935f650021100842</v>
      </c>
      <c r="C432" s="88">
        <f>VLOOKUP('prod-prodcat'!A432,'Item Database'!A:CC,76,FALSE)</f>
        <v>292</v>
      </c>
      <c r="D432" s="90">
        <f>VLOOKUP(C432,'brand-map'!A:B,2,FALSE)</f>
        <v>1458</v>
      </c>
      <c r="E432" s="89" t="s">
        <v>5327</v>
      </c>
    </row>
    <row r="433" spans="1:5">
      <c r="A433" s="41">
        <v>146503</v>
      </c>
      <c r="B433" s="89" t="str">
        <f>VLOOKUP(A433,'prod-mongo'!A:B,2,FALSE)</f>
        <v>595f8140935f650021100843</v>
      </c>
      <c r="C433" s="88">
        <f>VLOOKUP('prod-prodcat'!A433,'Item Database'!A:CC,76,FALSE)</f>
        <v>435</v>
      </c>
      <c r="D433" s="90">
        <f>VLOOKUP(C433,'brand-map'!A:B,2,FALSE)</f>
        <v>1589</v>
      </c>
      <c r="E433" s="89" t="s">
        <v>5327</v>
      </c>
    </row>
    <row r="434" spans="1:5">
      <c r="A434" s="41">
        <v>108064</v>
      </c>
      <c r="B434" s="89" t="str">
        <f>VLOOKUP(A434,'prod-mongo'!A:B,2,FALSE)</f>
        <v>595f8140935f650021100844</v>
      </c>
      <c r="C434" s="88">
        <f>VLOOKUP('prod-prodcat'!A434,'Item Database'!A:CC,76,FALSE)</f>
        <v>435</v>
      </c>
      <c r="D434" s="90">
        <f>VLOOKUP(C434,'brand-map'!A:B,2,FALSE)</f>
        <v>1589</v>
      </c>
      <c r="E434" s="89" t="s">
        <v>5327</v>
      </c>
    </row>
    <row r="435" spans="1:5">
      <c r="A435" s="41">
        <v>169521</v>
      </c>
      <c r="B435" s="89" t="str">
        <f>VLOOKUP(A435,'prod-mongo'!A:B,2,FALSE)</f>
        <v>595f8140935f650021100845</v>
      </c>
      <c r="C435" s="88">
        <f>VLOOKUP('prod-prodcat'!A435,'Item Database'!A:CC,76,FALSE)</f>
        <v>357</v>
      </c>
      <c r="D435" s="90">
        <f>VLOOKUP(C435,'brand-map'!A:B,2,FALSE)</f>
        <v>1517</v>
      </c>
      <c r="E435" s="89" t="s">
        <v>5327</v>
      </c>
    </row>
    <row r="436" spans="1:5">
      <c r="A436" s="41">
        <v>169552</v>
      </c>
      <c r="B436" s="89" t="str">
        <f>VLOOKUP(A436,'prod-mongo'!A:B,2,FALSE)</f>
        <v>595f8140935f650021100846</v>
      </c>
      <c r="C436" s="88">
        <f>VLOOKUP('prod-prodcat'!A436,'Item Database'!A:CC,76,FALSE)</f>
        <v>357</v>
      </c>
      <c r="D436" s="90">
        <f>VLOOKUP(C436,'brand-map'!A:B,2,FALSE)</f>
        <v>1517</v>
      </c>
      <c r="E436" s="89" t="s">
        <v>5327</v>
      </c>
    </row>
    <row r="437" spans="1:5">
      <c r="A437" s="41">
        <v>818139</v>
      </c>
      <c r="B437" s="89" t="str">
        <f>VLOOKUP(A437,'prod-mongo'!A:B,2,FALSE)</f>
        <v>595f8140935f650021100847</v>
      </c>
      <c r="C437" s="88">
        <f>VLOOKUP('prod-prodcat'!A437,'Item Database'!A:CC,76,FALSE)</f>
        <v>0</v>
      </c>
      <c r="D437" s="90">
        <f>VLOOKUP(C437,'brand-map'!A:B,2,FALSE)</f>
        <v>1193</v>
      </c>
      <c r="E437" s="89" t="s">
        <v>5327</v>
      </c>
    </row>
    <row r="438" spans="1:5">
      <c r="A438" s="41">
        <v>25870</v>
      </c>
      <c r="B438" s="89" t="str">
        <f>VLOOKUP(A438,'prod-mongo'!A:B,2,FALSE)</f>
        <v>595f8140935f650021100848</v>
      </c>
      <c r="C438" s="88">
        <f>VLOOKUP('prod-prodcat'!A438,'Item Database'!A:CC,76,FALSE)</f>
        <v>692</v>
      </c>
      <c r="D438" s="90">
        <f>VLOOKUP(C438,'brand-map'!A:B,2,FALSE)</f>
        <v>1823</v>
      </c>
      <c r="E438" s="89" t="s">
        <v>5327</v>
      </c>
    </row>
    <row r="439" spans="1:5">
      <c r="A439" s="41">
        <v>805412</v>
      </c>
      <c r="B439" s="89" t="str">
        <f>VLOOKUP(A439,'prod-mongo'!A:B,2,FALSE)</f>
        <v>595f8140935f650021100849</v>
      </c>
      <c r="C439" s="88">
        <f>VLOOKUP('prod-prodcat'!A439,'Item Database'!A:CC,76,FALSE)</f>
        <v>0</v>
      </c>
      <c r="D439" s="90">
        <f>VLOOKUP(C439,'brand-map'!A:B,2,FALSE)</f>
        <v>1193</v>
      </c>
      <c r="E439" s="89" t="s">
        <v>5327</v>
      </c>
    </row>
    <row r="440" spans="1:5">
      <c r="A440" s="41">
        <v>66378</v>
      </c>
      <c r="B440" s="89" t="str">
        <f>VLOOKUP(A440,'prod-mongo'!A:B,2,FALSE)</f>
        <v>595f8140935f65002110084a</v>
      </c>
      <c r="C440" s="88">
        <f>VLOOKUP('prod-prodcat'!A440,'Item Database'!A:CC,76,FALSE)</f>
        <v>706</v>
      </c>
      <c r="D440" s="90">
        <f>VLOOKUP(C440,'brand-map'!A:B,2,FALSE)</f>
        <v>1837</v>
      </c>
      <c r="E440" s="89" t="s">
        <v>5327</v>
      </c>
    </row>
    <row r="441" spans="1:5">
      <c r="A441" s="41">
        <v>66534</v>
      </c>
      <c r="B441" s="89" t="str">
        <f>VLOOKUP(A441,'prod-mongo'!A:B,2,FALSE)</f>
        <v>595f8140935f65002110084b</v>
      </c>
      <c r="C441" s="88">
        <f>VLOOKUP('prod-prodcat'!A441,'Item Database'!A:CC,76,FALSE)</f>
        <v>706</v>
      </c>
      <c r="D441" s="90">
        <f>VLOOKUP(C441,'brand-map'!A:B,2,FALSE)</f>
        <v>1837</v>
      </c>
      <c r="E441" s="89" t="s">
        <v>5327</v>
      </c>
    </row>
    <row r="442" spans="1:5">
      <c r="A442" s="41">
        <v>15093</v>
      </c>
      <c r="B442" s="89" t="str">
        <f>VLOOKUP(A442,'prod-mongo'!A:B,2,FALSE)</f>
        <v>595f8140935f65002110084c</v>
      </c>
      <c r="C442" s="88">
        <f>VLOOKUP('prod-prodcat'!A442,'Item Database'!A:CC,76,FALSE)</f>
        <v>47</v>
      </c>
      <c r="D442" s="90">
        <f>VLOOKUP(C442,'brand-map'!A:B,2,FALSE)</f>
        <v>1232</v>
      </c>
      <c r="E442" s="89" t="s">
        <v>5327</v>
      </c>
    </row>
    <row r="443" spans="1:5">
      <c r="A443" s="41">
        <v>142131</v>
      </c>
      <c r="B443" s="89" t="str">
        <f>VLOOKUP(A443,'prod-mongo'!A:B,2,FALSE)</f>
        <v>595f8140935f65002110084d</v>
      </c>
      <c r="C443" s="88">
        <f>VLOOKUP('prod-prodcat'!A443,'Item Database'!A:CC,76,FALSE)</f>
        <v>174</v>
      </c>
      <c r="D443" s="90">
        <f>VLOOKUP(C443,'brand-map'!A:B,2,FALSE)</f>
        <v>1347</v>
      </c>
      <c r="E443" s="89" t="s">
        <v>5327</v>
      </c>
    </row>
    <row r="444" spans="1:5">
      <c r="A444" s="41">
        <v>543205</v>
      </c>
      <c r="B444" s="89" t="str">
        <f>VLOOKUP(A444,'prod-mongo'!A:B,2,FALSE)</f>
        <v>595f8140935f65002110084e</v>
      </c>
      <c r="C444" s="88">
        <f>VLOOKUP('prod-prodcat'!A444,'Item Database'!A:CC,76,FALSE)</f>
        <v>347</v>
      </c>
      <c r="D444" s="90">
        <f>VLOOKUP(C444,'brand-map'!A:B,2,FALSE)</f>
        <v>1508</v>
      </c>
      <c r="E444" s="89" t="s">
        <v>5327</v>
      </c>
    </row>
    <row r="445" spans="1:5">
      <c r="A445" s="41">
        <v>143703</v>
      </c>
      <c r="B445" s="89" t="str">
        <f>VLOOKUP(A445,'prod-mongo'!A:B,2,FALSE)</f>
        <v>595f8140935f65002110084f</v>
      </c>
      <c r="C445" s="88">
        <f>VLOOKUP('prod-prodcat'!A445,'Item Database'!A:CC,76,FALSE)</f>
        <v>692</v>
      </c>
      <c r="D445" s="90">
        <f>VLOOKUP(C445,'brand-map'!A:B,2,FALSE)</f>
        <v>1823</v>
      </c>
      <c r="E445" s="89" t="s">
        <v>5327</v>
      </c>
    </row>
    <row r="446" spans="1:5">
      <c r="A446" s="41">
        <v>151099</v>
      </c>
      <c r="B446" s="89" t="str">
        <f>VLOOKUP(A446,'prod-mongo'!A:B,2,FALSE)</f>
        <v>595f8140935f650021100850</v>
      </c>
      <c r="C446" s="88">
        <f>VLOOKUP('prod-prodcat'!A446,'Item Database'!A:CC,76,FALSE)</f>
        <v>434</v>
      </c>
      <c r="D446" s="90">
        <f>VLOOKUP(C446,'brand-map'!A:B,2,FALSE)</f>
        <v>1588</v>
      </c>
      <c r="E446" s="89" t="s">
        <v>5327</v>
      </c>
    </row>
    <row r="447" spans="1:5">
      <c r="A447" s="41">
        <v>805839</v>
      </c>
      <c r="B447" s="89" t="str">
        <f>VLOOKUP(A447,'prod-mongo'!A:B,2,FALSE)</f>
        <v>595f8140935f650021100851</v>
      </c>
      <c r="C447" s="88">
        <f>VLOOKUP('prod-prodcat'!A447,'Item Database'!A:CC,76,FALSE)</f>
        <v>979</v>
      </c>
      <c r="D447" s="90">
        <f>VLOOKUP(C447,'brand-map'!A:B,2,FALSE)</f>
        <v>1991</v>
      </c>
      <c r="E447" s="89" t="s">
        <v>5327</v>
      </c>
    </row>
    <row r="448" spans="1:5">
      <c r="A448" s="41">
        <v>805840</v>
      </c>
      <c r="B448" s="89" t="str">
        <f>VLOOKUP(A448,'prod-mongo'!A:B,2,FALSE)</f>
        <v>595f8140935f650021100852</v>
      </c>
      <c r="C448" s="88">
        <f>VLOOKUP('prod-prodcat'!A448,'Item Database'!A:CC,76,FALSE)</f>
        <v>979</v>
      </c>
      <c r="D448" s="90">
        <f>VLOOKUP(C448,'brand-map'!A:B,2,FALSE)</f>
        <v>1991</v>
      </c>
      <c r="E448" s="89" t="s">
        <v>5327</v>
      </c>
    </row>
    <row r="449" spans="1:5">
      <c r="A449" s="41">
        <v>805841</v>
      </c>
      <c r="B449" s="89" t="str">
        <f>VLOOKUP(A449,'prod-mongo'!A:B,2,FALSE)</f>
        <v>595f8140935f650021100853</v>
      </c>
      <c r="C449" s="88">
        <f>VLOOKUP('prod-prodcat'!A449,'Item Database'!A:CC,76,FALSE)</f>
        <v>979</v>
      </c>
      <c r="D449" s="90">
        <f>VLOOKUP(C449,'brand-map'!A:B,2,FALSE)</f>
        <v>1991</v>
      </c>
      <c r="E449" s="89" t="s">
        <v>5327</v>
      </c>
    </row>
    <row r="450" spans="1:5">
      <c r="A450" s="41">
        <v>160301</v>
      </c>
      <c r="B450" s="89" t="str">
        <f>VLOOKUP(A450,'prod-mongo'!A:B,2,FALSE)</f>
        <v>595f8140935f650021100854</v>
      </c>
      <c r="C450" s="88">
        <f>VLOOKUP('prod-prodcat'!A450,'Item Database'!A:CC,76,FALSE)</f>
        <v>692</v>
      </c>
      <c r="D450" s="90">
        <f>VLOOKUP(C450,'brand-map'!A:B,2,FALSE)</f>
        <v>1823</v>
      </c>
      <c r="E450" s="89" t="s">
        <v>5327</v>
      </c>
    </row>
    <row r="451" spans="1:5">
      <c r="A451" s="41">
        <v>160296</v>
      </c>
      <c r="B451" s="89" t="str">
        <f>VLOOKUP(A451,'prod-mongo'!A:B,2,FALSE)</f>
        <v>595f8140935f650021100855</v>
      </c>
      <c r="C451" s="88">
        <f>VLOOKUP('prod-prodcat'!A451,'Item Database'!A:CC,76,FALSE)</f>
        <v>692</v>
      </c>
      <c r="D451" s="90">
        <f>VLOOKUP(C451,'brand-map'!A:B,2,FALSE)</f>
        <v>1823</v>
      </c>
      <c r="E451" s="89" t="s">
        <v>5327</v>
      </c>
    </row>
    <row r="452" spans="1:5">
      <c r="A452" s="41">
        <v>160288</v>
      </c>
      <c r="B452" s="89" t="str">
        <f>VLOOKUP(A452,'prod-mongo'!A:B,2,FALSE)</f>
        <v>595f8140935f650021100856</v>
      </c>
      <c r="C452" s="88">
        <f>VLOOKUP('prod-prodcat'!A452,'Item Database'!A:CC,76,FALSE)</f>
        <v>692</v>
      </c>
      <c r="D452" s="90">
        <f>VLOOKUP(C452,'brand-map'!A:B,2,FALSE)</f>
        <v>1823</v>
      </c>
      <c r="E452" s="89" t="s">
        <v>5327</v>
      </c>
    </row>
    <row r="453" spans="1:5">
      <c r="A453" s="41">
        <v>160294</v>
      </c>
      <c r="B453" s="89" t="str">
        <f>VLOOKUP(A453,'prod-mongo'!A:B,2,FALSE)</f>
        <v>595f8140935f650021100857</v>
      </c>
      <c r="C453" s="88">
        <f>VLOOKUP('prod-prodcat'!A453,'Item Database'!A:CC,76,FALSE)</f>
        <v>692</v>
      </c>
      <c r="D453" s="90">
        <f>VLOOKUP(C453,'brand-map'!A:B,2,FALSE)</f>
        <v>1823</v>
      </c>
      <c r="E453" s="89" t="s">
        <v>5327</v>
      </c>
    </row>
    <row r="454" spans="1:5">
      <c r="A454" s="41">
        <v>807878</v>
      </c>
      <c r="B454" s="89" t="str">
        <f>VLOOKUP(A454,'prod-mongo'!A:B,2,FALSE)</f>
        <v>595f8140935f650021100858</v>
      </c>
      <c r="C454" s="88">
        <f>VLOOKUP('prod-prodcat'!A454,'Item Database'!A:CC,76,FALSE)</f>
        <v>1179</v>
      </c>
      <c r="D454" s="90">
        <f>VLOOKUP(C454,'brand-map'!A:B,2,FALSE)</f>
        <v>2184</v>
      </c>
      <c r="E454" s="89" t="s">
        <v>5327</v>
      </c>
    </row>
    <row r="455" spans="1:5">
      <c r="A455" s="41">
        <v>807876</v>
      </c>
      <c r="B455" s="89" t="str">
        <f>VLOOKUP(A455,'prod-mongo'!A:B,2,FALSE)</f>
        <v>595f8140935f650021100859</v>
      </c>
      <c r="C455" s="88">
        <f>VLOOKUP('prod-prodcat'!A455,'Item Database'!A:CC,76,FALSE)</f>
        <v>1179</v>
      </c>
      <c r="D455" s="90">
        <f>VLOOKUP(C455,'brand-map'!A:B,2,FALSE)</f>
        <v>2184</v>
      </c>
      <c r="E455" s="89" t="s">
        <v>5327</v>
      </c>
    </row>
    <row r="456" spans="1:5">
      <c r="A456" s="41">
        <v>231291</v>
      </c>
      <c r="B456" s="89" t="str">
        <f>VLOOKUP(A456,'prod-mongo'!A:B,2,FALSE)</f>
        <v>595f8140935f65002110085a</v>
      </c>
      <c r="C456" s="88">
        <f>VLOOKUP('prod-prodcat'!A456,'Item Database'!A:CC,76,FALSE)</f>
        <v>0</v>
      </c>
      <c r="D456" s="90">
        <f>VLOOKUP(C456,'brand-map'!A:B,2,FALSE)</f>
        <v>1193</v>
      </c>
      <c r="E456" s="89" t="s">
        <v>5327</v>
      </c>
    </row>
    <row r="457" spans="1:5">
      <c r="A457" s="41">
        <v>226277</v>
      </c>
      <c r="B457" s="89" t="str">
        <f>VLOOKUP(A457,'prod-mongo'!A:B,2,FALSE)</f>
        <v>595f8140935f65002110085b</v>
      </c>
      <c r="C457" s="88">
        <f>VLOOKUP('prod-prodcat'!A457,'Item Database'!A:CC,76,FALSE)</f>
        <v>692</v>
      </c>
      <c r="D457" s="90">
        <f>VLOOKUP(C457,'brand-map'!A:B,2,FALSE)</f>
        <v>1823</v>
      </c>
      <c r="E457" s="89" t="s">
        <v>5327</v>
      </c>
    </row>
    <row r="458" spans="1:5">
      <c r="A458" s="41">
        <v>226278</v>
      </c>
      <c r="B458" s="89" t="str">
        <f>VLOOKUP(A458,'prod-mongo'!A:B,2,FALSE)</f>
        <v>595f8140935f65002110085c</v>
      </c>
      <c r="C458" s="88">
        <f>VLOOKUP('prod-prodcat'!A458,'Item Database'!A:CC,76,FALSE)</f>
        <v>692</v>
      </c>
      <c r="D458" s="90">
        <f>VLOOKUP(C458,'brand-map'!A:B,2,FALSE)</f>
        <v>1823</v>
      </c>
      <c r="E458" s="89" t="s">
        <v>5327</v>
      </c>
    </row>
    <row r="459" spans="1:5">
      <c r="A459" s="41">
        <v>153958</v>
      </c>
      <c r="B459" s="89" t="str">
        <f>VLOOKUP(A459,'prod-mongo'!A:B,2,FALSE)</f>
        <v>595f8140935f65002110085d</v>
      </c>
      <c r="C459" s="88">
        <f>VLOOKUP('prod-prodcat'!A459,'Item Database'!A:CC,76,FALSE)</f>
        <v>0</v>
      </c>
      <c r="D459" s="90">
        <f>VLOOKUP(C459,'brand-map'!A:B,2,FALSE)</f>
        <v>1193</v>
      </c>
      <c r="E459" s="89" t="s">
        <v>5327</v>
      </c>
    </row>
    <row r="460" spans="1:5">
      <c r="A460" s="41">
        <v>117819</v>
      </c>
      <c r="B460" s="89" t="str">
        <f>VLOOKUP(A460,'prod-mongo'!A:B,2,FALSE)</f>
        <v>595f8140935f65002110085e</v>
      </c>
      <c r="C460" s="88">
        <f>VLOOKUP('prod-prodcat'!A460,'Item Database'!A:CC,76,FALSE)</f>
        <v>692</v>
      </c>
      <c r="D460" s="90">
        <f>VLOOKUP(C460,'brand-map'!A:B,2,FALSE)</f>
        <v>1823</v>
      </c>
      <c r="E460" s="89" t="s">
        <v>5327</v>
      </c>
    </row>
    <row r="461" spans="1:5">
      <c r="A461" s="41">
        <v>158284</v>
      </c>
      <c r="B461" s="89" t="str">
        <f>VLOOKUP(A461,'prod-mongo'!A:B,2,FALSE)</f>
        <v>595f8140935f65002110085f</v>
      </c>
      <c r="C461" s="88">
        <f>VLOOKUP('prod-prodcat'!A461,'Item Database'!A:CC,76,FALSE)</f>
        <v>435</v>
      </c>
      <c r="D461" s="90">
        <f>VLOOKUP(C461,'brand-map'!A:B,2,FALSE)</f>
        <v>1589</v>
      </c>
      <c r="E461" s="89" t="s">
        <v>5327</v>
      </c>
    </row>
    <row r="462" spans="1:5">
      <c r="A462" s="41">
        <v>158283</v>
      </c>
      <c r="B462" s="89" t="str">
        <f>VLOOKUP(A462,'prod-mongo'!A:B,2,FALSE)</f>
        <v>595f8140935f650021100860</v>
      </c>
      <c r="C462" s="88">
        <f>VLOOKUP('prod-prodcat'!A462,'Item Database'!A:CC,76,FALSE)</f>
        <v>435</v>
      </c>
      <c r="D462" s="90">
        <f>VLOOKUP(C462,'brand-map'!A:B,2,FALSE)</f>
        <v>1589</v>
      </c>
      <c r="E462" s="89" t="s">
        <v>5327</v>
      </c>
    </row>
    <row r="463" spans="1:5">
      <c r="A463" s="41">
        <v>135025</v>
      </c>
      <c r="B463" s="89" t="str">
        <f>VLOOKUP(A463,'prod-mongo'!A:B,2,FALSE)</f>
        <v>595f8140935f650021100861</v>
      </c>
      <c r="C463" s="88">
        <f>VLOOKUP('prod-prodcat'!A463,'Item Database'!A:CC,76,FALSE)</f>
        <v>0</v>
      </c>
      <c r="D463" s="90">
        <f>VLOOKUP(C463,'brand-map'!A:B,2,FALSE)</f>
        <v>1193</v>
      </c>
      <c r="E463" s="89" t="s">
        <v>5327</v>
      </c>
    </row>
    <row r="464" spans="1:5">
      <c r="A464" s="41">
        <v>135026</v>
      </c>
      <c r="B464" s="89" t="str">
        <f>VLOOKUP(A464,'prod-mongo'!A:B,2,FALSE)</f>
        <v>595f8140935f650021100862</v>
      </c>
      <c r="C464" s="88">
        <f>VLOOKUP('prod-prodcat'!A464,'Item Database'!A:CC,76,FALSE)</f>
        <v>0</v>
      </c>
      <c r="D464" s="90">
        <f>VLOOKUP(C464,'brand-map'!A:B,2,FALSE)</f>
        <v>1193</v>
      </c>
      <c r="E464" s="89" t="s">
        <v>5327</v>
      </c>
    </row>
    <row r="465" spans="1:5">
      <c r="A465" s="41">
        <v>800378</v>
      </c>
      <c r="B465" s="89" t="str">
        <f>VLOOKUP(A465,'prod-mongo'!A:B,2,FALSE)</f>
        <v>595f8140935f650021100863</v>
      </c>
      <c r="C465" s="88">
        <f>VLOOKUP('prod-prodcat'!A465,'Item Database'!A:CC,76,FALSE)</f>
        <v>0</v>
      </c>
      <c r="D465" s="90">
        <f>VLOOKUP(C465,'brand-map'!A:B,2,FALSE)</f>
        <v>1193</v>
      </c>
      <c r="E465" s="89" t="s">
        <v>5327</v>
      </c>
    </row>
    <row r="466" spans="1:5">
      <c r="A466" s="41">
        <v>237450</v>
      </c>
      <c r="B466" s="89" t="str">
        <f>VLOOKUP(A466,'prod-mongo'!A:B,2,FALSE)</f>
        <v>595f8140935f650021100864</v>
      </c>
      <c r="C466" s="88">
        <f>VLOOKUP('prod-prodcat'!A466,'Item Database'!A:CC,76,FALSE)</f>
        <v>0</v>
      </c>
      <c r="D466" s="90">
        <f>VLOOKUP(C466,'brand-map'!A:B,2,FALSE)</f>
        <v>1193</v>
      </c>
      <c r="E466" s="89" t="s">
        <v>5327</v>
      </c>
    </row>
    <row r="467" spans="1:5">
      <c r="A467" s="41">
        <v>770276</v>
      </c>
      <c r="B467" s="89" t="str">
        <f>VLOOKUP(A467,'prod-mongo'!A:B,2,FALSE)</f>
        <v>595f8140935f650021100865</v>
      </c>
      <c r="C467" s="88">
        <f>VLOOKUP('prod-prodcat'!A467,'Item Database'!A:CC,76,FALSE)</f>
        <v>0</v>
      </c>
      <c r="D467" s="90">
        <f>VLOOKUP(C467,'brand-map'!A:B,2,FALSE)</f>
        <v>1193</v>
      </c>
      <c r="E467" s="89" t="s">
        <v>5327</v>
      </c>
    </row>
    <row r="468" spans="1:5">
      <c r="A468" s="41">
        <v>628537</v>
      </c>
      <c r="B468" s="89" t="str">
        <f>VLOOKUP(A468,'prod-mongo'!A:B,2,FALSE)</f>
        <v>595f8140935f650021100866</v>
      </c>
      <c r="C468" s="88">
        <f>VLOOKUP('prod-prodcat'!A468,'Item Database'!A:CC,76,FALSE)</f>
        <v>0</v>
      </c>
      <c r="D468" s="90">
        <f>VLOOKUP(C468,'brand-map'!A:B,2,FALSE)</f>
        <v>1193</v>
      </c>
      <c r="E468" s="89" t="s">
        <v>5327</v>
      </c>
    </row>
    <row r="469" spans="1:5">
      <c r="A469" s="41">
        <v>130754</v>
      </c>
      <c r="B469" s="89" t="str">
        <f>VLOOKUP(A469,'prod-mongo'!A:B,2,FALSE)</f>
        <v>595f8140935f650021100867</v>
      </c>
      <c r="C469" s="88">
        <f>VLOOKUP('prod-prodcat'!A469,'Item Database'!A:CC,76,FALSE)</f>
        <v>692</v>
      </c>
      <c r="D469" s="90">
        <f>VLOOKUP(C469,'brand-map'!A:B,2,FALSE)</f>
        <v>1823</v>
      </c>
      <c r="E469" s="89" t="s">
        <v>5327</v>
      </c>
    </row>
    <row r="470" spans="1:5">
      <c r="A470" s="41">
        <v>130760</v>
      </c>
      <c r="B470" s="89" t="str">
        <f>VLOOKUP(A470,'prod-mongo'!A:B,2,FALSE)</f>
        <v>595f8140935f650021100868</v>
      </c>
      <c r="C470" s="88">
        <f>VLOOKUP('prod-prodcat'!A470,'Item Database'!A:CC,76,FALSE)</f>
        <v>692</v>
      </c>
      <c r="D470" s="90">
        <f>VLOOKUP(C470,'brand-map'!A:B,2,FALSE)</f>
        <v>1823</v>
      </c>
      <c r="E470" s="89" t="s">
        <v>5327</v>
      </c>
    </row>
    <row r="471" spans="1:5">
      <c r="A471" s="41">
        <v>187441</v>
      </c>
      <c r="B471" s="89" t="str">
        <f>VLOOKUP(A471,'prod-mongo'!A:B,2,FALSE)</f>
        <v>595f8140935f650021100869</v>
      </c>
      <c r="C471" s="88">
        <f>VLOOKUP('prod-prodcat'!A471,'Item Database'!A:CC,76,FALSE)</f>
        <v>565</v>
      </c>
      <c r="D471" s="90">
        <f>VLOOKUP(C471,'brand-map'!A:B,2,FALSE)</f>
        <v>1708</v>
      </c>
      <c r="E471" s="89" t="s">
        <v>5327</v>
      </c>
    </row>
    <row r="472" spans="1:5">
      <c r="A472" s="41">
        <v>161846</v>
      </c>
      <c r="B472" s="89" t="str">
        <f>VLOOKUP(A472,'prod-mongo'!A:B,2,FALSE)</f>
        <v>595f8140935f65002110086a</v>
      </c>
      <c r="C472" s="88">
        <f>VLOOKUP('prod-prodcat'!A472,'Item Database'!A:CC,76,FALSE)</f>
        <v>0</v>
      </c>
      <c r="D472" s="90">
        <f>VLOOKUP(C472,'brand-map'!A:B,2,FALSE)</f>
        <v>1193</v>
      </c>
      <c r="E472" s="89" t="s">
        <v>5327</v>
      </c>
    </row>
    <row r="473" spans="1:5">
      <c r="A473" s="41">
        <v>118362</v>
      </c>
      <c r="B473" s="89" t="str">
        <f>VLOOKUP(A473,'prod-mongo'!A:B,2,FALSE)</f>
        <v>595f8140935f65002110086b</v>
      </c>
      <c r="C473" s="88">
        <f>VLOOKUP('prod-prodcat'!A473,'Item Database'!A:CC,76,FALSE)</f>
        <v>0</v>
      </c>
      <c r="D473" s="90">
        <f>VLOOKUP(C473,'brand-map'!A:B,2,FALSE)</f>
        <v>1193</v>
      </c>
      <c r="E473" s="89" t="s">
        <v>5327</v>
      </c>
    </row>
    <row r="474" spans="1:5">
      <c r="A474" s="41">
        <v>149447</v>
      </c>
      <c r="B474" s="89" t="str">
        <f>VLOOKUP(A474,'prod-mongo'!A:B,2,FALSE)</f>
        <v>595f8140935f65002110086c</v>
      </c>
      <c r="C474" s="88">
        <f>VLOOKUP('prod-prodcat'!A474,'Item Database'!A:CC,76,FALSE)</f>
        <v>483</v>
      </c>
      <c r="D474" s="90">
        <f>VLOOKUP(C474,'brand-map'!A:B,2,FALSE)</f>
        <v>1631</v>
      </c>
      <c r="E474" s="89" t="s">
        <v>5327</v>
      </c>
    </row>
    <row r="475" spans="1:5">
      <c r="A475" s="41">
        <v>227090</v>
      </c>
      <c r="B475" s="89" t="str">
        <f>VLOOKUP(A475,'prod-mongo'!A:B,2,FALSE)</f>
        <v>595f8140935f65002110086d</v>
      </c>
      <c r="C475" s="88">
        <f>VLOOKUP('prod-prodcat'!A475,'Item Database'!A:CC,76,FALSE)</f>
        <v>483</v>
      </c>
      <c r="D475" s="90">
        <f>VLOOKUP(C475,'brand-map'!A:B,2,FALSE)</f>
        <v>1631</v>
      </c>
      <c r="E475" s="89" t="s">
        <v>5327</v>
      </c>
    </row>
    <row r="476" spans="1:5">
      <c r="A476" s="41">
        <v>118707</v>
      </c>
      <c r="B476" s="89" t="str">
        <f>VLOOKUP(A476,'prod-mongo'!A:B,2,FALSE)</f>
        <v>595f8140935f65002110086e</v>
      </c>
      <c r="C476" s="88">
        <f>VLOOKUP('prod-prodcat'!A476,'Item Database'!A:CC,76,FALSE)</f>
        <v>0</v>
      </c>
      <c r="D476" s="90">
        <f>VLOOKUP(C476,'brand-map'!A:B,2,FALSE)</f>
        <v>1193</v>
      </c>
      <c r="E476" s="89" t="s">
        <v>5327</v>
      </c>
    </row>
    <row r="477" spans="1:5">
      <c r="A477" s="41">
        <v>129000</v>
      </c>
      <c r="B477" s="89" t="str">
        <f>VLOOKUP(A477,'prod-mongo'!A:B,2,FALSE)</f>
        <v>595f8140935f65002110086f</v>
      </c>
      <c r="C477" s="88">
        <f>VLOOKUP('prod-prodcat'!A477,'Item Database'!A:CC,76,FALSE)</f>
        <v>692</v>
      </c>
      <c r="D477" s="90">
        <f>VLOOKUP(C477,'brand-map'!A:B,2,FALSE)</f>
        <v>1823</v>
      </c>
      <c r="E477" s="89" t="s">
        <v>5327</v>
      </c>
    </row>
    <row r="478" spans="1:5">
      <c r="A478" s="41">
        <v>129001</v>
      </c>
      <c r="B478" s="89" t="str">
        <f>VLOOKUP(A478,'prod-mongo'!A:B,2,FALSE)</f>
        <v>595f8140935f650021100870</v>
      </c>
      <c r="C478" s="88">
        <f>VLOOKUP('prod-prodcat'!A478,'Item Database'!A:CC,76,FALSE)</f>
        <v>692</v>
      </c>
      <c r="D478" s="90">
        <f>VLOOKUP(C478,'brand-map'!A:B,2,FALSE)</f>
        <v>1823</v>
      </c>
      <c r="E478" s="89" t="s">
        <v>5327</v>
      </c>
    </row>
    <row r="479" spans="1:5">
      <c r="A479" s="41">
        <v>47203</v>
      </c>
      <c r="B479" s="89" t="str">
        <f>VLOOKUP(A479,'prod-mongo'!A:B,2,FALSE)</f>
        <v>595f8140935f650021100871</v>
      </c>
      <c r="C479" s="88">
        <f>VLOOKUP('prod-prodcat'!A479,'Item Database'!A:CC,76,FALSE)</f>
        <v>692</v>
      </c>
      <c r="D479" s="90">
        <f>VLOOKUP(C479,'brand-map'!A:B,2,FALSE)</f>
        <v>1823</v>
      </c>
      <c r="E479" s="89" t="s">
        <v>5327</v>
      </c>
    </row>
    <row r="480" spans="1:5">
      <c r="A480" s="41">
        <v>107444</v>
      </c>
      <c r="B480" s="89" t="str">
        <f>VLOOKUP(A480,'prod-mongo'!A:B,2,FALSE)</f>
        <v>595f8141935f650021100872</v>
      </c>
      <c r="C480" s="88">
        <f>VLOOKUP('prod-prodcat'!A480,'Item Database'!A:CC,76,FALSE)</f>
        <v>692</v>
      </c>
      <c r="D480" s="90">
        <f>VLOOKUP(C480,'brand-map'!A:B,2,FALSE)</f>
        <v>1823</v>
      </c>
      <c r="E480" s="89" t="s">
        <v>5327</v>
      </c>
    </row>
    <row r="481" spans="1:5">
      <c r="A481" s="41">
        <v>173965</v>
      </c>
      <c r="B481" s="89" t="str">
        <f>VLOOKUP(A481,'prod-mongo'!A:B,2,FALSE)</f>
        <v>595f8141935f650021100873</v>
      </c>
      <c r="C481" s="88">
        <f>VLOOKUP('prod-prodcat'!A481,'Item Database'!A:CC,76,FALSE)</f>
        <v>692</v>
      </c>
      <c r="D481" s="90">
        <f>VLOOKUP(C481,'brand-map'!A:B,2,FALSE)</f>
        <v>1823</v>
      </c>
      <c r="E481" s="89" t="s">
        <v>5327</v>
      </c>
    </row>
    <row r="482" spans="1:5">
      <c r="A482" s="41">
        <v>173967</v>
      </c>
      <c r="B482" s="89" t="str">
        <f>VLOOKUP(A482,'prod-mongo'!A:B,2,FALSE)</f>
        <v>595f8141935f650021100874</v>
      </c>
      <c r="C482" s="88">
        <f>VLOOKUP('prod-prodcat'!A482,'Item Database'!A:CC,76,FALSE)</f>
        <v>692</v>
      </c>
      <c r="D482" s="90">
        <f>VLOOKUP(C482,'brand-map'!A:B,2,FALSE)</f>
        <v>1823</v>
      </c>
      <c r="E482" s="89" t="s">
        <v>5327</v>
      </c>
    </row>
    <row r="483" spans="1:5">
      <c r="A483" s="41">
        <v>101555</v>
      </c>
      <c r="B483" s="89" t="str">
        <f>VLOOKUP(A483,'prod-mongo'!A:B,2,FALSE)</f>
        <v>595f8141935f650021100875</v>
      </c>
      <c r="C483" s="88">
        <f>VLOOKUP('prod-prodcat'!A483,'Item Database'!A:CC,76,FALSE)</f>
        <v>692</v>
      </c>
      <c r="D483" s="90">
        <f>VLOOKUP(C483,'brand-map'!A:B,2,FALSE)</f>
        <v>1823</v>
      </c>
      <c r="E483" s="89" t="s">
        <v>5327</v>
      </c>
    </row>
    <row r="484" spans="1:5">
      <c r="A484" s="41">
        <v>135231</v>
      </c>
      <c r="B484" s="89" t="str">
        <f>VLOOKUP(A484,'prod-mongo'!A:B,2,FALSE)</f>
        <v>595f8141935f650021100876</v>
      </c>
      <c r="C484" s="88">
        <f>VLOOKUP('prod-prodcat'!A484,'Item Database'!A:CC,76,FALSE)</f>
        <v>459</v>
      </c>
      <c r="D484" s="90">
        <f>VLOOKUP(C484,'brand-map'!A:B,2,FALSE)</f>
        <v>1612</v>
      </c>
      <c r="E484" s="89" t="s">
        <v>5327</v>
      </c>
    </row>
    <row r="485" spans="1:5">
      <c r="A485" s="41">
        <v>135232</v>
      </c>
      <c r="B485" s="89" t="str">
        <f>VLOOKUP(A485,'prod-mongo'!A:B,2,FALSE)</f>
        <v>595f8141935f650021100877</v>
      </c>
      <c r="C485" s="88">
        <f>VLOOKUP('prod-prodcat'!A485,'Item Database'!A:CC,76,FALSE)</f>
        <v>459</v>
      </c>
      <c r="D485" s="90">
        <f>VLOOKUP(C485,'brand-map'!A:B,2,FALSE)</f>
        <v>1612</v>
      </c>
      <c r="E485" s="89" t="s">
        <v>5327</v>
      </c>
    </row>
    <row r="486" spans="1:5">
      <c r="A486" s="41">
        <v>135228</v>
      </c>
      <c r="B486" s="89" t="str">
        <f>VLOOKUP(A486,'prod-mongo'!A:B,2,FALSE)</f>
        <v>595f8141935f650021100878</v>
      </c>
      <c r="C486" s="88">
        <f>VLOOKUP('prod-prodcat'!A486,'Item Database'!A:CC,76,FALSE)</f>
        <v>459</v>
      </c>
      <c r="D486" s="90">
        <f>VLOOKUP(C486,'brand-map'!A:B,2,FALSE)</f>
        <v>1612</v>
      </c>
      <c r="E486" s="89" t="s">
        <v>5327</v>
      </c>
    </row>
    <row r="487" spans="1:5">
      <c r="A487" s="41">
        <v>135229</v>
      </c>
      <c r="B487" s="89" t="str">
        <f>VLOOKUP(A487,'prod-mongo'!A:B,2,FALSE)</f>
        <v>595f8141935f650021100879</v>
      </c>
      <c r="C487" s="88">
        <f>VLOOKUP('prod-prodcat'!A487,'Item Database'!A:CC,76,FALSE)</f>
        <v>459</v>
      </c>
      <c r="D487" s="90">
        <f>VLOOKUP(C487,'brand-map'!A:B,2,FALSE)</f>
        <v>1612</v>
      </c>
      <c r="E487" s="89" t="s">
        <v>5327</v>
      </c>
    </row>
    <row r="488" spans="1:5">
      <c r="A488" s="41">
        <v>133737</v>
      </c>
      <c r="B488" s="89" t="str">
        <f>VLOOKUP(A488,'prod-mongo'!A:B,2,FALSE)</f>
        <v>595f8141935f65002110087a</v>
      </c>
      <c r="C488" s="88">
        <f>VLOOKUP('prod-prodcat'!A488,'Item Database'!A:CC,76,FALSE)</f>
        <v>0</v>
      </c>
      <c r="D488" s="90">
        <f>VLOOKUP(C488,'brand-map'!A:B,2,FALSE)</f>
        <v>1193</v>
      </c>
      <c r="E488" s="89" t="s">
        <v>5327</v>
      </c>
    </row>
    <row r="489" spans="1:5">
      <c r="A489" s="41">
        <v>188485</v>
      </c>
      <c r="B489" s="89" t="str">
        <f>VLOOKUP(A489,'prod-mongo'!A:B,2,FALSE)</f>
        <v>595f8141935f65002110087b</v>
      </c>
      <c r="C489" s="88">
        <f>VLOOKUP('prod-prodcat'!A489,'Item Database'!A:CC,76,FALSE)</f>
        <v>1039</v>
      </c>
      <c r="D489" s="90">
        <f>VLOOKUP(C489,'brand-map'!A:B,2,FALSE)</f>
        <v>2047</v>
      </c>
      <c r="E489" s="89" t="s">
        <v>5327</v>
      </c>
    </row>
    <row r="490" spans="1:5">
      <c r="A490" s="41">
        <v>147380</v>
      </c>
      <c r="B490" s="89" t="str">
        <f>VLOOKUP(A490,'prod-mongo'!A:B,2,FALSE)</f>
        <v>595f8141935f65002110087c</v>
      </c>
      <c r="C490" s="88">
        <f>VLOOKUP('prod-prodcat'!A490,'Item Database'!A:CC,76,FALSE)</f>
        <v>692</v>
      </c>
      <c r="D490" s="90">
        <f>VLOOKUP(C490,'brand-map'!A:B,2,FALSE)</f>
        <v>1823</v>
      </c>
      <c r="E490" s="89" t="s">
        <v>5327</v>
      </c>
    </row>
    <row r="491" spans="1:5">
      <c r="A491" s="41">
        <v>808580</v>
      </c>
      <c r="B491" s="89" t="str">
        <f>VLOOKUP(A491,'prod-mongo'!A:B,2,FALSE)</f>
        <v>595f8141935f65002110087d</v>
      </c>
      <c r="C491" s="88">
        <f>VLOOKUP('prod-prodcat'!A491,'Item Database'!A:CC,76,FALSE)</f>
        <v>692</v>
      </c>
      <c r="D491" s="90">
        <f>VLOOKUP(C491,'brand-map'!A:B,2,FALSE)</f>
        <v>1823</v>
      </c>
      <c r="E491" s="89" t="s">
        <v>5327</v>
      </c>
    </row>
    <row r="492" spans="1:5">
      <c r="A492" s="41">
        <v>138968</v>
      </c>
      <c r="B492" s="89" t="str">
        <f>VLOOKUP(A492,'prod-mongo'!A:B,2,FALSE)</f>
        <v>595f8141935f65002110087e</v>
      </c>
      <c r="C492" s="88">
        <f>VLOOKUP('prod-prodcat'!A492,'Item Database'!A:CC,76,FALSE)</f>
        <v>692</v>
      </c>
      <c r="D492" s="90">
        <f>VLOOKUP(C492,'brand-map'!A:B,2,FALSE)</f>
        <v>1823</v>
      </c>
      <c r="E492" s="89" t="s">
        <v>5327</v>
      </c>
    </row>
    <row r="493" spans="1:5">
      <c r="A493" s="41">
        <v>138930</v>
      </c>
      <c r="B493" s="89" t="str">
        <f>VLOOKUP(A493,'prod-mongo'!A:B,2,FALSE)</f>
        <v>595f8141935f65002110087f</v>
      </c>
      <c r="C493" s="88">
        <f>VLOOKUP('prod-prodcat'!A493,'Item Database'!A:CC,76,FALSE)</f>
        <v>692</v>
      </c>
      <c r="D493" s="90">
        <f>VLOOKUP(C493,'brand-map'!A:B,2,FALSE)</f>
        <v>1823</v>
      </c>
      <c r="E493" s="89" t="s">
        <v>5327</v>
      </c>
    </row>
    <row r="494" spans="1:5">
      <c r="A494" s="41">
        <v>101553</v>
      </c>
      <c r="B494" s="89" t="str">
        <f>VLOOKUP(A494,'prod-mongo'!A:B,2,FALSE)</f>
        <v>595f8141935f650021100880</v>
      </c>
      <c r="C494" s="88">
        <f>VLOOKUP('prod-prodcat'!A494,'Item Database'!A:CC,76,FALSE)</f>
        <v>692</v>
      </c>
      <c r="D494" s="90">
        <f>VLOOKUP(C494,'brand-map'!A:B,2,FALSE)</f>
        <v>1823</v>
      </c>
      <c r="E494" s="89" t="s">
        <v>5327</v>
      </c>
    </row>
    <row r="495" spans="1:5">
      <c r="A495" s="41">
        <v>101554</v>
      </c>
      <c r="B495" s="89" t="str">
        <f>VLOOKUP(A495,'prod-mongo'!A:B,2,FALSE)</f>
        <v>595f8141935f650021100881</v>
      </c>
      <c r="C495" s="88">
        <f>VLOOKUP('prod-prodcat'!A495,'Item Database'!A:CC,76,FALSE)</f>
        <v>692</v>
      </c>
      <c r="D495" s="90">
        <f>VLOOKUP(C495,'brand-map'!A:B,2,FALSE)</f>
        <v>1823</v>
      </c>
      <c r="E495" s="89" t="s">
        <v>5327</v>
      </c>
    </row>
    <row r="496" spans="1:5">
      <c r="A496" s="41">
        <v>104736</v>
      </c>
      <c r="B496" s="89" t="str">
        <f>VLOOKUP(A496,'prod-mongo'!A:B,2,FALSE)</f>
        <v>595f8141935f650021100882</v>
      </c>
      <c r="C496" s="88">
        <f>VLOOKUP('prod-prodcat'!A496,'Item Database'!A:CC,76,FALSE)</f>
        <v>0</v>
      </c>
      <c r="D496" s="90">
        <f>VLOOKUP(C496,'brand-map'!A:B,2,FALSE)</f>
        <v>1193</v>
      </c>
      <c r="E496" s="89" t="s">
        <v>5327</v>
      </c>
    </row>
    <row r="497" spans="1:5">
      <c r="A497" s="41">
        <v>88920</v>
      </c>
      <c r="B497" s="89" t="str">
        <f>VLOOKUP(A497,'prod-mongo'!A:B,2,FALSE)</f>
        <v>595f8141935f650021100883</v>
      </c>
      <c r="C497" s="88">
        <f>VLOOKUP('prod-prodcat'!A497,'Item Database'!A:CC,76,FALSE)</f>
        <v>0</v>
      </c>
      <c r="D497" s="90">
        <f>VLOOKUP(C497,'brand-map'!A:B,2,FALSE)</f>
        <v>1193</v>
      </c>
      <c r="E497" s="89" t="s">
        <v>5327</v>
      </c>
    </row>
    <row r="498" spans="1:5">
      <c r="A498" s="41">
        <v>802947</v>
      </c>
      <c r="B498" s="89" t="str">
        <f>VLOOKUP(A498,'prod-mongo'!A:B,2,FALSE)</f>
        <v>595f8141935f650021100884</v>
      </c>
      <c r="C498" s="88">
        <f>VLOOKUP('prod-prodcat'!A498,'Item Database'!A:CC,76,FALSE)</f>
        <v>151</v>
      </c>
      <c r="D498" s="90">
        <f>VLOOKUP(C498,'brand-map'!A:B,2,FALSE)</f>
        <v>1328</v>
      </c>
      <c r="E498" s="89" t="s">
        <v>5327</v>
      </c>
    </row>
    <row r="499" spans="1:5">
      <c r="A499" s="41">
        <v>802952</v>
      </c>
      <c r="B499" s="89" t="str">
        <f>VLOOKUP(A499,'prod-mongo'!A:B,2,FALSE)</f>
        <v>595f8141935f650021100885</v>
      </c>
      <c r="C499" s="88">
        <f>VLOOKUP('prod-prodcat'!A499,'Item Database'!A:CC,76,FALSE)</f>
        <v>151</v>
      </c>
      <c r="D499" s="90">
        <f>VLOOKUP(C499,'brand-map'!A:B,2,FALSE)</f>
        <v>1328</v>
      </c>
      <c r="E499" s="89" t="s">
        <v>5327</v>
      </c>
    </row>
    <row r="500" spans="1:5">
      <c r="A500" s="41">
        <v>118134</v>
      </c>
      <c r="B500" s="89" t="str">
        <f>VLOOKUP(A500,'prod-mongo'!A:B,2,FALSE)</f>
        <v>595f8141935f650021100886</v>
      </c>
      <c r="C500" s="88">
        <f>VLOOKUP('prod-prodcat'!A500,'Item Database'!A:CC,76,FALSE)</f>
        <v>568</v>
      </c>
      <c r="D500" s="90">
        <f>VLOOKUP(C500,'brand-map'!A:B,2,FALSE)</f>
        <v>1710</v>
      </c>
      <c r="E500" s="89" t="s">
        <v>5327</v>
      </c>
    </row>
    <row r="501" spans="1:5">
      <c r="A501" s="41">
        <v>117945</v>
      </c>
      <c r="B501" s="89" t="str">
        <f>VLOOKUP(A501,'prod-mongo'!A:B,2,FALSE)</f>
        <v>595f8141935f650021100887</v>
      </c>
      <c r="C501" s="88">
        <f>VLOOKUP('prod-prodcat'!A501,'Item Database'!A:CC,76,FALSE)</f>
        <v>568</v>
      </c>
      <c r="D501" s="90">
        <f>VLOOKUP(C501,'brand-map'!A:B,2,FALSE)</f>
        <v>1710</v>
      </c>
      <c r="E501" s="89" t="s">
        <v>5327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0"/>
  <sheetViews>
    <sheetView workbookViewId="0"/>
  </sheetViews>
  <sheetFormatPr defaultRowHeight="12.75"/>
  <cols>
    <col min="1" max="2" width="4" bestFit="1" customWidth="1"/>
  </cols>
  <sheetData>
    <row r="1" spans="1:2">
      <c r="A1">
        <v>1</v>
      </c>
      <c r="B1">
        <v>139</v>
      </c>
    </row>
    <row r="2" spans="1:2">
      <c r="A2">
        <v>2</v>
      </c>
      <c r="B2">
        <v>140</v>
      </c>
    </row>
    <row r="3" spans="1:2">
      <c r="A3">
        <v>3</v>
      </c>
      <c r="B3">
        <v>141</v>
      </c>
    </row>
    <row r="4" spans="1:2">
      <c r="A4">
        <v>4</v>
      </c>
      <c r="B4">
        <v>142</v>
      </c>
    </row>
    <row r="5" spans="1:2">
      <c r="A5">
        <v>5</v>
      </c>
      <c r="B5">
        <v>143</v>
      </c>
    </row>
    <row r="6" spans="1:2">
      <c r="A6">
        <v>6</v>
      </c>
      <c r="B6">
        <v>144</v>
      </c>
    </row>
    <row r="7" spans="1:2">
      <c r="A7">
        <v>7</v>
      </c>
      <c r="B7">
        <v>145</v>
      </c>
    </row>
    <row r="8" spans="1:2">
      <c r="A8">
        <v>8</v>
      </c>
      <c r="B8">
        <v>146</v>
      </c>
    </row>
    <row r="9" spans="1:2">
      <c r="A9">
        <v>9</v>
      </c>
      <c r="B9">
        <v>147</v>
      </c>
    </row>
    <row r="10" spans="1:2">
      <c r="A10">
        <v>10</v>
      </c>
      <c r="B10">
        <v>148</v>
      </c>
    </row>
    <row r="11" spans="1:2">
      <c r="A11">
        <v>11</v>
      </c>
      <c r="B11">
        <v>149</v>
      </c>
    </row>
    <row r="12" spans="1:2">
      <c r="A12">
        <v>12</v>
      </c>
      <c r="B12">
        <v>150</v>
      </c>
    </row>
    <row r="13" spans="1:2">
      <c r="A13">
        <v>13</v>
      </c>
      <c r="B13">
        <v>151</v>
      </c>
    </row>
    <row r="14" spans="1:2">
      <c r="A14">
        <v>14</v>
      </c>
      <c r="B14">
        <v>152</v>
      </c>
    </row>
    <row r="15" spans="1:2">
      <c r="A15">
        <v>15</v>
      </c>
      <c r="B15">
        <v>153</v>
      </c>
    </row>
    <row r="16" spans="1:2">
      <c r="A16">
        <v>16</v>
      </c>
      <c r="B16">
        <v>154</v>
      </c>
    </row>
    <row r="17" spans="1:2">
      <c r="A17">
        <v>17</v>
      </c>
      <c r="B17">
        <v>155</v>
      </c>
    </row>
    <row r="18" spans="1:2">
      <c r="A18">
        <v>18</v>
      </c>
      <c r="B18">
        <v>156</v>
      </c>
    </row>
    <row r="19" spans="1:2">
      <c r="A19">
        <v>19</v>
      </c>
      <c r="B19">
        <v>157</v>
      </c>
    </row>
    <row r="20" spans="1:2">
      <c r="A20">
        <v>20</v>
      </c>
      <c r="B20">
        <v>158</v>
      </c>
    </row>
    <row r="21" spans="1:2">
      <c r="A21">
        <v>21</v>
      </c>
      <c r="B21">
        <v>159</v>
      </c>
    </row>
    <row r="22" spans="1:2">
      <c r="A22">
        <v>22</v>
      </c>
      <c r="B22">
        <v>160</v>
      </c>
    </row>
    <row r="23" spans="1:2">
      <c r="A23">
        <v>23</v>
      </c>
      <c r="B23">
        <v>161</v>
      </c>
    </row>
    <row r="24" spans="1:2">
      <c r="A24">
        <v>24</v>
      </c>
      <c r="B24">
        <v>162</v>
      </c>
    </row>
    <row r="25" spans="1:2">
      <c r="A25">
        <v>25</v>
      </c>
      <c r="B25">
        <v>163</v>
      </c>
    </row>
    <row r="26" spans="1:2">
      <c r="A26">
        <v>26</v>
      </c>
      <c r="B26">
        <v>164</v>
      </c>
    </row>
    <row r="27" spans="1:2">
      <c r="A27">
        <v>27</v>
      </c>
      <c r="B27">
        <v>165</v>
      </c>
    </row>
    <row r="28" spans="1:2">
      <c r="A28">
        <v>28</v>
      </c>
      <c r="B28">
        <v>166</v>
      </c>
    </row>
    <row r="29" spans="1:2">
      <c r="A29">
        <v>29</v>
      </c>
      <c r="B29">
        <v>167</v>
      </c>
    </row>
    <row r="30" spans="1:2">
      <c r="A30">
        <v>30</v>
      </c>
      <c r="B30">
        <v>168</v>
      </c>
    </row>
    <row r="31" spans="1:2">
      <c r="A31">
        <v>31</v>
      </c>
      <c r="B31">
        <v>169</v>
      </c>
    </row>
    <row r="32" spans="1:2">
      <c r="A32">
        <v>32</v>
      </c>
      <c r="B32">
        <v>170</v>
      </c>
    </row>
    <row r="33" spans="1:2">
      <c r="A33">
        <v>33</v>
      </c>
      <c r="B33">
        <v>171</v>
      </c>
    </row>
    <row r="34" spans="1:2">
      <c r="A34">
        <v>34</v>
      </c>
      <c r="B34">
        <v>172</v>
      </c>
    </row>
    <row r="35" spans="1:2">
      <c r="A35">
        <v>35</v>
      </c>
      <c r="B35">
        <v>173</v>
      </c>
    </row>
    <row r="36" spans="1:2">
      <c r="A36">
        <v>36</v>
      </c>
      <c r="B36">
        <v>174</v>
      </c>
    </row>
    <row r="37" spans="1:2">
      <c r="A37">
        <v>37</v>
      </c>
      <c r="B37">
        <v>175</v>
      </c>
    </row>
    <row r="38" spans="1:2">
      <c r="A38">
        <v>38</v>
      </c>
      <c r="B38">
        <v>176</v>
      </c>
    </row>
    <row r="39" spans="1:2">
      <c r="A39">
        <v>39</v>
      </c>
      <c r="B39">
        <v>177</v>
      </c>
    </row>
    <row r="40" spans="1:2">
      <c r="A40">
        <v>40</v>
      </c>
      <c r="B40">
        <v>178</v>
      </c>
    </row>
    <row r="41" spans="1:2">
      <c r="A41">
        <v>41</v>
      </c>
      <c r="B41">
        <v>179</v>
      </c>
    </row>
    <row r="42" spans="1:2">
      <c r="A42">
        <v>42</v>
      </c>
      <c r="B42">
        <v>180</v>
      </c>
    </row>
    <row r="43" spans="1:2">
      <c r="A43">
        <v>43</v>
      </c>
      <c r="B43">
        <v>181</v>
      </c>
    </row>
    <row r="44" spans="1:2">
      <c r="A44">
        <v>44</v>
      </c>
      <c r="B44">
        <v>182</v>
      </c>
    </row>
    <row r="45" spans="1:2">
      <c r="A45">
        <v>45</v>
      </c>
      <c r="B45">
        <v>183</v>
      </c>
    </row>
    <row r="46" spans="1:2">
      <c r="A46">
        <v>46</v>
      </c>
      <c r="B46">
        <v>184</v>
      </c>
    </row>
    <row r="47" spans="1:2">
      <c r="A47">
        <v>47</v>
      </c>
      <c r="B47">
        <v>185</v>
      </c>
    </row>
    <row r="48" spans="1:2">
      <c r="A48">
        <v>48</v>
      </c>
      <c r="B48">
        <v>186</v>
      </c>
    </row>
    <row r="49" spans="1:2">
      <c r="A49">
        <v>49</v>
      </c>
      <c r="B49">
        <v>187</v>
      </c>
    </row>
    <row r="50" spans="1:2">
      <c r="A50">
        <v>50</v>
      </c>
      <c r="B50">
        <v>188</v>
      </c>
    </row>
    <row r="51" spans="1:2">
      <c r="A51">
        <v>51</v>
      </c>
      <c r="B51">
        <v>189</v>
      </c>
    </row>
    <row r="52" spans="1:2">
      <c r="A52">
        <v>52</v>
      </c>
      <c r="B52">
        <v>190</v>
      </c>
    </row>
    <row r="53" spans="1:2">
      <c r="A53">
        <v>53</v>
      </c>
      <c r="B53">
        <v>191</v>
      </c>
    </row>
    <row r="54" spans="1:2">
      <c r="A54">
        <v>54</v>
      </c>
      <c r="B54">
        <v>192</v>
      </c>
    </row>
    <row r="55" spans="1:2">
      <c r="A55">
        <v>55</v>
      </c>
      <c r="B55">
        <v>193</v>
      </c>
    </row>
    <row r="56" spans="1:2">
      <c r="A56">
        <v>56</v>
      </c>
      <c r="B56">
        <v>194</v>
      </c>
    </row>
    <row r="57" spans="1:2">
      <c r="A57">
        <v>57</v>
      </c>
      <c r="B57">
        <v>195</v>
      </c>
    </row>
    <row r="58" spans="1:2">
      <c r="A58">
        <v>58</v>
      </c>
      <c r="B58">
        <v>196</v>
      </c>
    </row>
    <row r="59" spans="1:2">
      <c r="A59">
        <v>59</v>
      </c>
      <c r="B59">
        <v>197</v>
      </c>
    </row>
    <row r="60" spans="1:2">
      <c r="A60">
        <v>60</v>
      </c>
      <c r="B60">
        <v>198</v>
      </c>
    </row>
    <row r="61" spans="1:2">
      <c r="A61">
        <v>61</v>
      </c>
      <c r="B61">
        <v>199</v>
      </c>
    </row>
    <row r="62" spans="1:2">
      <c r="A62">
        <v>62</v>
      </c>
      <c r="B62">
        <v>200</v>
      </c>
    </row>
    <row r="63" spans="1:2">
      <c r="A63">
        <v>63</v>
      </c>
      <c r="B63">
        <v>201</v>
      </c>
    </row>
    <row r="64" spans="1:2">
      <c r="A64">
        <v>64</v>
      </c>
      <c r="B64">
        <v>202</v>
      </c>
    </row>
    <row r="65" spans="1:2">
      <c r="A65">
        <v>65</v>
      </c>
      <c r="B65">
        <v>203</v>
      </c>
    </row>
    <row r="66" spans="1:2">
      <c r="A66">
        <v>66</v>
      </c>
      <c r="B66">
        <v>204</v>
      </c>
    </row>
    <row r="67" spans="1:2">
      <c r="A67">
        <v>67</v>
      </c>
      <c r="B67">
        <v>205</v>
      </c>
    </row>
    <row r="68" spans="1:2">
      <c r="A68">
        <v>68</v>
      </c>
      <c r="B68">
        <v>206</v>
      </c>
    </row>
    <row r="69" spans="1:2">
      <c r="A69">
        <v>69</v>
      </c>
      <c r="B69">
        <v>207</v>
      </c>
    </row>
    <row r="70" spans="1:2">
      <c r="A70">
        <v>70</v>
      </c>
      <c r="B70">
        <v>208</v>
      </c>
    </row>
    <row r="71" spans="1:2">
      <c r="A71">
        <v>71</v>
      </c>
      <c r="B71">
        <v>209</v>
      </c>
    </row>
    <row r="72" spans="1:2">
      <c r="A72">
        <v>72</v>
      </c>
      <c r="B72">
        <v>210</v>
      </c>
    </row>
    <row r="73" spans="1:2">
      <c r="A73">
        <v>73</v>
      </c>
      <c r="B73">
        <v>211</v>
      </c>
    </row>
    <row r="74" spans="1:2">
      <c r="A74">
        <v>74</v>
      </c>
      <c r="B74">
        <v>212</v>
      </c>
    </row>
    <row r="75" spans="1:2">
      <c r="A75">
        <v>75</v>
      </c>
      <c r="B75">
        <v>213</v>
      </c>
    </row>
    <row r="76" spans="1:2">
      <c r="A76">
        <v>76</v>
      </c>
      <c r="B76">
        <v>214</v>
      </c>
    </row>
    <row r="77" spans="1:2">
      <c r="A77">
        <v>77</v>
      </c>
      <c r="B77">
        <v>215</v>
      </c>
    </row>
    <row r="78" spans="1:2">
      <c r="A78">
        <v>78</v>
      </c>
      <c r="B78">
        <v>216</v>
      </c>
    </row>
    <row r="79" spans="1:2">
      <c r="A79">
        <v>79</v>
      </c>
      <c r="B79">
        <v>217</v>
      </c>
    </row>
    <row r="80" spans="1:2">
      <c r="A80">
        <v>80</v>
      </c>
      <c r="B80">
        <v>218</v>
      </c>
    </row>
    <row r="81" spans="1:2">
      <c r="A81">
        <v>81</v>
      </c>
      <c r="B81">
        <v>219</v>
      </c>
    </row>
    <row r="82" spans="1:2">
      <c r="A82">
        <v>82</v>
      </c>
      <c r="B82">
        <v>220</v>
      </c>
    </row>
    <row r="83" spans="1:2">
      <c r="A83">
        <v>83</v>
      </c>
      <c r="B83">
        <v>221</v>
      </c>
    </row>
    <row r="84" spans="1:2">
      <c r="A84">
        <v>84</v>
      </c>
      <c r="B84">
        <v>222</v>
      </c>
    </row>
    <row r="85" spans="1:2">
      <c r="A85">
        <v>85</v>
      </c>
      <c r="B85">
        <v>223</v>
      </c>
    </row>
    <row r="86" spans="1:2">
      <c r="A86">
        <v>86</v>
      </c>
      <c r="B86">
        <v>224</v>
      </c>
    </row>
    <row r="87" spans="1:2">
      <c r="A87">
        <v>87</v>
      </c>
      <c r="B87">
        <v>225</v>
      </c>
    </row>
    <row r="88" spans="1:2">
      <c r="A88">
        <v>88</v>
      </c>
      <c r="B88">
        <v>226</v>
      </c>
    </row>
    <row r="89" spans="1:2">
      <c r="A89">
        <v>89</v>
      </c>
      <c r="B89">
        <v>227</v>
      </c>
    </row>
    <row r="90" spans="1:2">
      <c r="A90">
        <v>90</v>
      </c>
      <c r="B90">
        <v>228</v>
      </c>
    </row>
    <row r="91" spans="1:2">
      <c r="A91">
        <v>91</v>
      </c>
      <c r="B91">
        <v>229</v>
      </c>
    </row>
    <row r="92" spans="1:2">
      <c r="A92">
        <v>92</v>
      </c>
      <c r="B92">
        <v>230</v>
      </c>
    </row>
    <row r="93" spans="1:2">
      <c r="A93">
        <v>93</v>
      </c>
      <c r="B93">
        <v>231</v>
      </c>
    </row>
    <row r="94" spans="1:2">
      <c r="A94">
        <v>94</v>
      </c>
      <c r="B94">
        <v>232</v>
      </c>
    </row>
    <row r="95" spans="1:2">
      <c r="A95">
        <v>95</v>
      </c>
      <c r="B95">
        <v>233</v>
      </c>
    </row>
    <row r="96" spans="1:2">
      <c r="A96">
        <v>96</v>
      </c>
      <c r="B96">
        <v>234</v>
      </c>
    </row>
    <row r="97" spans="1:2">
      <c r="A97">
        <v>97</v>
      </c>
      <c r="B97">
        <v>235</v>
      </c>
    </row>
    <row r="98" spans="1:2">
      <c r="A98">
        <v>98</v>
      </c>
      <c r="B98">
        <v>236</v>
      </c>
    </row>
    <row r="99" spans="1:2">
      <c r="A99">
        <v>99</v>
      </c>
      <c r="B99">
        <v>237</v>
      </c>
    </row>
    <row r="100" spans="1:2">
      <c r="A100">
        <v>100</v>
      </c>
      <c r="B100">
        <v>238</v>
      </c>
    </row>
    <row r="101" spans="1:2">
      <c r="A101">
        <v>101</v>
      </c>
      <c r="B101">
        <v>239</v>
      </c>
    </row>
    <row r="102" spans="1:2">
      <c r="A102">
        <v>102</v>
      </c>
      <c r="B102">
        <v>240</v>
      </c>
    </row>
    <row r="103" spans="1:2">
      <c r="A103">
        <v>103</v>
      </c>
      <c r="B103">
        <v>241</v>
      </c>
    </row>
    <row r="104" spans="1:2">
      <c r="A104">
        <v>104</v>
      </c>
      <c r="B104">
        <v>242</v>
      </c>
    </row>
    <row r="105" spans="1:2">
      <c r="A105">
        <v>105</v>
      </c>
      <c r="B105">
        <v>243</v>
      </c>
    </row>
    <row r="106" spans="1:2">
      <c r="A106">
        <v>106</v>
      </c>
      <c r="B106">
        <v>244</v>
      </c>
    </row>
    <row r="107" spans="1:2">
      <c r="A107">
        <v>107</v>
      </c>
      <c r="B107">
        <v>245</v>
      </c>
    </row>
    <row r="108" spans="1:2">
      <c r="A108">
        <v>108</v>
      </c>
      <c r="B108">
        <v>246</v>
      </c>
    </row>
    <row r="109" spans="1:2">
      <c r="A109">
        <v>109</v>
      </c>
      <c r="B109">
        <v>247</v>
      </c>
    </row>
    <row r="110" spans="1:2">
      <c r="A110">
        <v>110</v>
      </c>
      <c r="B110">
        <v>248</v>
      </c>
    </row>
    <row r="111" spans="1:2">
      <c r="A111">
        <v>111</v>
      </c>
      <c r="B111">
        <v>249</v>
      </c>
    </row>
    <row r="112" spans="1:2">
      <c r="A112">
        <v>112</v>
      </c>
      <c r="B112">
        <v>250</v>
      </c>
    </row>
    <row r="113" spans="1:2">
      <c r="A113">
        <v>113</v>
      </c>
      <c r="B113">
        <v>251</v>
      </c>
    </row>
    <row r="114" spans="1:2">
      <c r="A114">
        <v>114</v>
      </c>
      <c r="B114">
        <v>252</v>
      </c>
    </row>
    <row r="115" spans="1:2">
      <c r="A115">
        <v>115</v>
      </c>
      <c r="B115">
        <v>253</v>
      </c>
    </row>
    <row r="116" spans="1:2">
      <c r="A116">
        <v>116</v>
      </c>
      <c r="B116">
        <v>254</v>
      </c>
    </row>
    <row r="117" spans="1:2">
      <c r="A117">
        <v>117</v>
      </c>
      <c r="B117">
        <v>255</v>
      </c>
    </row>
    <row r="118" spans="1:2">
      <c r="A118">
        <v>118</v>
      </c>
      <c r="B118">
        <v>256</v>
      </c>
    </row>
    <row r="119" spans="1:2">
      <c r="A119">
        <v>119</v>
      </c>
      <c r="B119">
        <v>257</v>
      </c>
    </row>
    <row r="120" spans="1:2">
      <c r="A120">
        <v>120</v>
      </c>
      <c r="B120">
        <v>258</v>
      </c>
    </row>
    <row r="121" spans="1:2">
      <c r="A121">
        <v>121</v>
      </c>
      <c r="B121">
        <v>259</v>
      </c>
    </row>
    <row r="122" spans="1:2">
      <c r="A122">
        <v>122</v>
      </c>
      <c r="B122">
        <v>260</v>
      </c>
    </row>
    <row r="123" spans="1:2">
      <c r="A123">
        <v>123</v>
      </c>
      <c r="B123">
        <v>261</v>
      </c>
    </row>
    <row r="124" spans="1:2">
      <c r="A124">
        <v>124</v>
      </c>
      <c r="B124">
        <v>262</v>
      </c>
    </row>
    <row r="125" spans="1:2">
      <c r="A125">
        <v>125</v>
      </c>
      <c r="B125">
        <v>263</v>
      </c>
    </row>
    <row r="126" spans="1:2">
      <c r="A126">
        <v>126</v>
      </c>
      <c r="B126">
        <v>264</v>
      </c>
    </row>
    <row r="127" spans="1:2">
      <c r="A127">
        <v>127</v>
      </c>
      <c r="B127">
        <v>265</v>
      </c>
    </row>
    <row r="128" spans="1:2">
      <c r="A128">
        <v>128</v>
      </c>
      <c r="B128">
        <v>266</v>
      </c>
    </row>
    <row r="129" spans="1:2">
      <c r="A129">
        <v>129</v>
      </c>
      <c r="B129">
        <v>267</v>
      </c>
    </row>
    <row r="130" spans="1:2">
      <c r="A130">
        <v>130</v>
      </c>
      <c r="B130">
        <v>268</v>
      </c>
    </row>
    <row r="131" spans="1:2">
      <c r="A131">
        <v>131</v>
      </c>
      <c r="B131">
        <v>269</v>
      </c>
    </row>
    <row r="132" spans="1:2">
      <c r="A132">
        <v>132</v>
      </c>
      <c r="B132">
        <v>270</v>
      </c>
    </row>
    <row r="133" spans="1:2">
      <c r="A133">
        <v>133</v>
      </c>
      <c r="B133">
        <v>271</v>
      </c>
    </row>
    <row r="134" spans="1:2">
      <c r="A134">
        <v>134</v>
      </c>
      <c r="B134">
        <v>272</v>
      </c>
    </row>
    <row r="135" spans="1:2">
      <c r="A135">
        <v>135</v>
      </c>
      <c r="B135">
        <v>273</v>
      </c>
    </row>
    <row r="136" spans="1:2">
      <c r="A136">
        <v>136</v>
      </c>
      <c r="B136">
        <v>274</v>
      </c>
    </row>
    <row r="137" spans="1:2">
      <c r="A137">
        <v>137</v>
      </c>
      <c r="B137">
        <v>275</v>
      </c>
    </row>
    <row r="138" spans="1:2">
      <c r="A138">
        <v>138</v>
      </c>
      <c r="B138">
        <v>276</v>
      </c>
    </row>
    <row r="139" spans="1:2">
      <c r="A139">
        <v>139</v>
      </c>
      <c r="B139">
        <v>277</v>
      </c>
    </row>
    <row r="140" spans="1:2">
      <c r="A140">
        <v>140</v>
      </c>
      <c r="B140">
        <v>278</v>
      </c>
    </row>
    <row r="141" spans="1:2">
      <c r="A141">
        <v>141</v>
      </c>
      <c r="B141">
        <v>279</v>
      </c>
    </row>
    <row r="142" spans="1:2">
      <c r="A142">
        <v>142</v>
      </c>
      <c r="B142">
        <v>280</v>
      </c>
    </row>
    <row r="143" spans="1:2">
      <c r="A143">
        <v>143</v>
      </c>
      <c r="B143">
        <v>281</v>
      </c>
    </row>
    <row r="144" spans="1:2">
      <c r="A144">
        <v>144</v>
      </c>
      <c r="B144">
        <v>282</v>
      </c>
    </row>
    <row r="145" spans="1:2">
      <c r="A145">
        <v>145</v>
      </c>
      <c r="B145">
        <v>283</v>
      </c>
    </row>
    <row r="146" spans="1:2">
      <c r="A146">
        <v>146</v>
      </c>
      <c r="B146">
        <v>284</v>
      </c>
    </row>
    <row r="147" spans="1:2">
      <c r="A147">
        <v>147</v>
      </c>
      <c r="B147">
        <v>285</v>
      </c>
    </row>
    <row r="148" spans="1:2">
      <c r="A148">
        <v>148</v>
      </c>
      <c r="B148">
        <v>286</v>
      </c>
    </row>
    <row r="149" spans="1:2">
      <c r="A149">
        <v>149</v>
      </c>
      <c r="B149">
        <v>287</v>
      </c>
    </row>
    <row r="150" spans="1:2">
      <c r="A150">
        <v>150</v>
      </c>
      <c r="B150">
        <v>288</v>
      </c>
    </row>
    <row r="151" spans="1:2">
      <c r="A151">
        <v>151</v>
      </c>
      <c r="B151">
        <v>289</v>
      </c>
    </row>
    <row r="152" spans="1:2">
      <c r="A152">
        <v>152</v>
      </c>
      <c r="B152">
        <v>290</v>
      </c>
    </row>
    <row r="153" spans="1:2">
      <c r="A153">
        <v>153</v>
      </c>
      <c r="B153">
        <v>291</v>
      </c>
    </row>
    <row r="154" spans="1:2">
      <c r="A154">
        <v>154</v>
      </c>
      <c r="B154">
        <v>292</v>
      </c>
    </row>
    <row r="155" spans="1:2">
      <c r="A155">
        <v>155</v>
      </c>
      <c r="B155">
        <v>293</v>
      </c>
    </row>
    <row r="156" spans="1:2">
      <c r="A156">
        <v>156</v>
      </c>
      <c r="B156">
        <v>294</v>
      </c>
    </row>
    <row r="157" spans="1:2">
      <c r="A157">
        <v>157</v>
      </c>
      <c r="B157">
        <v>295</v>
      </c>
    </row>
    <row r="158" spans="1:2">
      <c r="A158">
        <v>158</v>
      </c>
      <c r="B158">
        <v>296</v>
      </c>
    </row>
    <row r="159" spans="1:2">
      <c r="A159">
        <v>159</v>
      </c>
      <c r="B159">
        <v>297</v>
      </c>
    </row>
    <row r="160" spans="1:2">
      <c r="A160">
        <v>160</v>
      </c>
      <c r="B160">
        <v>298</v>
      </c>
    </row>
    <row r="161" spans="1:2">
      <c r="A161">
        <v>161</v>
      </c>
      <c r="B161">
        <v>299</v>
      </c>
    </row>
    <row r="162" spans="1:2">
      <c r="A162">
        <v>162</v>
      </c>
      <c r="B162">
        <v>300</v>
      </c>
    </row>
    <row r="163" spans="1:2">
      <c r="A163">
        <v>163</v>
      </c>
      <c r="B163">
        <v>301</v>
      </c>
    </row>
    <row r="164" spans="1:2">
      <c r="A164">
        <v>164</v>
      </c>
      <c r="B164">
        <v>302</v>
      </c>
    </row>
    <row r="165" spans="1:2">
      <c r="A165">
        <v>165</v>
      </c>
      <c r="B165">
        <v>303</v>
      </c>
    </row>
    <row r="166" spans="1:2">
      <c r="A166">
        <v>166</v>
      </c>
      <c r="B166">
        <v>304</v>
      </c>
    </row>
    <row r="167" spans="1:2">
      <c r="A167">
        <v>167</v>
      </c>
      <c r="B167">
        <v>305</v>
      </c>
    </row>
    <row r="168" spans="1:2">
      <c r="A168">
        <v>168</v>
      </c>
      <c r="B168">
        <v>306</v>
      </c>
    </row>
    <row r="169" spans="1:2">
      <c r="A169">
        <v>169</v>
      </c>
      <c r="B169">
        <v>307</v>
      </c>
    </row>
    <row r="170" spans="1:2">
      <c r="A170">
        <v>170</v>
      </c>
      <c r="B170">
        <v>308</v>
      </c>
    </row>
    <row r="171" spans="1:2">
      <c r="A171">
        <v>171</v>
      </c>
      <c r="B171">
        <v>309</v>
      </c>
    </row>
    <row r="172" spans="1:2">
      <c r="A172">
        <v>172</v>
      </c>
      <c r="B172">
        <v>310</v>
      </c>
    </row>
    <row r="173" spans="1:2">
      <c r="A173">
        <v>173</v>
      </c>
      <c r="B173">
        <v>311</v>
      </c>
    </row>
    <row r="174" spans="1:2">
      <c r="A174">
        <v>174</v>
      </c>
      <c r="B174">
        <v>312</v>
      </c>
    </row>
    <row r="175" spans="1:2">
      <c r="A175">
        <v>175</v>
      </c>
      <c r="B175">
        <v>313</v>
      </c>
    </row>
    <row r="176" spans="1:2">
      <c r="A176">
        <v>176</v>
      </c>
      <c r="B176">
        <v>314</v>
      </c>
    </row>
    <row r="177" spans="1:2">
      <c r="A177">
        <v>177</v>
      </c>
      <c r="B177">
        <v>315</v>
      </c>
    </row>
    <row r="178" spans="1:2">
      <c r="A178">
        <v>178</v>
      </c>
      <c r="B178">
        <v>316</v>
      </c>
    </row>
    <row r="179" spans="1:2">
      <c r="A179">
        <v>179</v>
      </c>
      <c r="B179">
        <v>317</v>
      </c>
    </row>
    <row r="180" spans="1:2">
      <c r="A180">
        <v>180</v>
      </c>
      <c r="B180">
        <v>318</v>
      </c>
    </row>
    <row r="181" spans="1:2">
      <c r="A181">
        <v>181</v>
      </c>
      <c r="B181">
        <v>319</v>
      </c>
    </row>
    <row r="182" spans="1:2">
      <c r="A182">
        <v>182</v>
      </c>
      <c r="B182">
        <v>320</v>
      </c>
    </row>
    <row r="183" spans="1:2">
      <c r="A183">
        <v>183</v>
      </c>
      <c r="B183">
        <v>321</v>
      </c>
    </row>
    <row r="184" spans="1:2">
      <c r="A184">
        <v>184</v>
      </c>
      <c r="B184">
        <v>322</v>
      </c>
    </row>
    <row r="185" spans="1:2">
      <c r="A185">
        <v>185</v>
      </c>
      <c r="B185">
        <v>323</v>
      </c>
    </row>
    <row r="186" spans="1:2">
      <c r="A186">
        <v>186</v>
      </c>
      <c r="B186">
        <v>324</v>
      </c>
    </row>
    <row r="187" spans="1:2">
      <c r="A187">
        <v>187</v>
      </c>
      <c r="B187">
        <v>325</v>
      </c>
    </row>
    <row r="188" spans="1:2">
      <c r="A188">
        <v>188</v>
      </c>
      <c r="B188">
        <v>326</v>
      </c>
    </row>
    <row r="189" spans="1:2">
      <c r="A189">
        <v>189</v>
      </c>
      <c r="B189">
        <v>327</v>
      </c>
    </row>
    <row r="190" spans="1:2">
      <c r="A190">
        <v>190</v>
      </c>
      <c r="B190">
        <v>328</v>
      </c>
    </row>
    <row r="191" spans="1:2">
      <c r="A191">
        <v>191</v>
      </c>
      <c r="B191">
        <v>329</v>
      </c>
    </row>
    <row r="192" spans="1:2">
      <c r="A192">
        <v>192</v>
      </c>
      <c r="B192">
        <v>330</v>
      </c>
    </row>
    <row r="193" spans="1:2">
      <c r="A193">
        <v>193</v>
      </c>
      <c r="B193">
        <v>331</v>
      </c>
    </row>
    <row r="194" spans="1:2">
      <c r="A194">
        <v>194</v>
      </c>
      <c r="B194">
        <v>332</v>
      </c>
    </row>
    <row r="195" spans="1:2">
      <c r="A195">
        <v>195</v>
      </c>
      <c r="B195">
        <v>333</v>
      </c>
    </row>
    <row r="196" spans="1:2">
      <c r="A196">
        <v>196</v>
      </c>
      <c r="B196">
        <v>334</v>
      </c>
    </row>
    <row r="197" spans="1:2">
      <c r="A197">
        <v>197</v>
      </c>
      <c r="B197">
        <v>335</v>
      </c>
    </row>
    <row r="198" spans="1:2">
      <c r="A198">
        <v>198</v>
      </c>
      <c r="B198">
        <v>336</v>
      </c>
    </row>
    <row r="199" spans="1:2">
      <c r="A199">
        <v>199</v>
      </c>
      <c r="B199">
        <v>337</v>
      </c>
    </row>
    <row r="200" spans="1:2">
      <c r="A200">
        <v>200</v>
      </c>
      <c r="B200">
        <v>338</v>
      </c>
    </row>
    <row r="201" spans="1:2">
      <c r="A201">
        <v>201</v>
      </c>
      <c r="B201">
        <v>339</v>
      </c>
    </row>
    <row r="202" spans="1:2">
      <c r="A202">
        <v>202</v>
      </c>
      <c r="B202">
        <v>340</v>
      </c>
    </row>
    <row r="203" spans="1:2">
      <c r="A203">
        <v>203</v>
      </c>
      <c r="B203">
        <v>341</v>
      </c>
    </row>
    <row r="204" spans="1:2">
      <c r="A204">
        <v>204</v>
      </c>
      <c r="B204">
        <v>342</v>
      </c>
    </row>
    <row r="205" spans="1:2">
      <c r="A205">
        <v>205</v>
      </c>
      <c r="B205">
        <v>343</v>
      </c>
    </row>
    <row r="206" spans="1:2">
      <c r="A206">
        <v>206</v>
      </c>
      <c r="B206">
        <v>344</v>
      </c>
    </row>
    <row r="207" spans="1:2">
      <c r="A207">
        <v>207</v>
      </c>
      <c r="B207">
        <v>345</v>
      </c>
    </row>
    <row r="208" spans="1:2">
      <c r="A208">
        <v>208</v>
      </c>
      <c r="B208">
        <v>346</v>
      </c>
    </row>
    <row r="209" spans="1:2">
      <c r="A209">
        <v>209</v>
      </c>
      <c r="B209">
        <v>347</v>
      </c>
    </row>
    <row r="210" spans="1:2">
      <c r="A210">
        <v>210</v>
      </c>
      <c r="B210">
        <v>348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44"/>
  <sheetViews>
    <sheetView workbookViewId="0"/>
  </sheetViews>
  <sheetFormatPr defaultRowHeight="12.75"/>
  <cols>
    <col min="1" max="1" width="4" bestFit="1" customWidth="1"/>
    <col min="2" max="2" width="5" bestFit="1" customWidth="1"/>
  </cols>
  <sheetData>
    <row r="1" spans="1:2">
      <c r="A1">
        <v>1</v>
      </c>
      <c r="B1">
        <v>349</v>
      </c>
    </row>
    <row r="2" spans="1:2">
      <c r="A2">
        <v>2</v>
      </c>
      <c r="B2">
        <v>350</v>
      </c>
    </row>
    <row r="3" spans="1:2">
      <c r="A3">
        <v>3</v>
      </c>
      <c r="B3">
        <v>351</v>
      </c>
    </row>
    <row r="4" spans="1:2">
      <c r="A4">
        <v>4</v>
      </c>
      <c r="B4">
        <v>352</v>
      </c>
    </row>
    <row r="5" spans="1:2">
      <c r="A5">
        <v>5</v>
      </c>
      <c r="B5">
        <v>353</v>
      </c>
    </row>
    <row r="6" spans="1:2">
      <c r="A6">
        <v>6</v>
      </c>
      <c r="B6">
        <v>354</v>
      </c>
    </row>
    <row r="7" spans="1:2">
      <c r="A7">
        <v>7</v>
      </c>
      <c r="B7">
        <v>355</v>
      </c>
    </row>
    <row r="8" spans="1:2">
      <c r="A8">
        <v>8</v>
      </c>
      <c r="B8">
        <v>356</v>
      </c>
    </row>
    <row r="9" spans="1:2">
      <c r="A9">
        <v>9</v>
      </c>
      <c r="B9">
        <v>357</v>
      </c>
    </row>
    <row r="10" spans="1:2">
      <c r="A10">
        <v>10</v>
      </c>
      <c r="B10">
        <v>358</v>
      </c>
    </row>
    <row r="11" spans="1:2">
      <c r="A11">
        <v>11</v>
      </c>
      <c r="B11">
        <v>359</v>
      </c>
    </row>
    <row r="12" spans="1:2">
      <c r="A12">
        <v>12</v>
      </c>
      <c r="B12">
        <v>360</v>
      </c>
    </row>
    <row r="13" spans="1:2">
      <c r="A13">
        <v>13</v>
      </c>
      <c r="B13">
        <v>361</v>
      </c>
    </row>
    <row r="14" spans="1:2">
      <c r="A14">
        <v>14</v>
      </c>
      <c r="B14">
        <v>362</v>
      </c>
    </row>
    <row r="15" spans="1:2">
      <c r="A15">
        <v>15</v>
      </c>
      <c r="B15">
        <v>363</v>
      </c>
    </row>
    <row r="16" spans="1:2">
      <c r="A16">
        <v>16</v>
      </c>
      <c r="B16">
        <v>364</v>
      </c>
    </row>
    <row r="17" spans="1:2">
      <c r="A17">
        <v>17</v>
      </c>
      <c r="B17">
        <v>365</v>
      </c>
    </row>
    <row r="18" spans="1:2">
      <c r="A18">
        <v>18</v>
      </c>
      <c r="B18">
        <v>366</v>
      </c>
    </row>
    <row r="19" spans="1:2">
      <c r="A19">
        <v>19</v>
      </c>
      <c r="B19">
        <v>367</v>
      </c>
    </row>
    <row r="20" spans="1:2">
      <c r="A20">
        <v>20</v>
      </c>
      <c r="B20">
        <v>368</v>
      </c>
    </row>
    <row r="21" spans="1:2">
      <c r="A21">
        <v>21</v>
      </c>
      <c r="B21">
        <v>369</v>
      </c>
    </row>
    <row r="22" spans="1:2">
      <c r="A22">
        <v>22</v>
      </c>
      <c r="B22">
        <v>370</v>
      </c>
    </row>
    <row r="23" spans="1:2">
      <c r="A23">
        <v>23</v>
      </c>
      <c r="B23">
        <v>371</v>
      </c>
    </row>
    <row r="24" spans="1:2">
      <c r="A24">
        <v>24</v>
      </c>
      <c r="B24">
        <v>372</v>
      </c>
    </row>
    <row r="25" spans="1:2">
      <c r="A25">
        <v>25</v>
      </c>
      <c r="B25">
        <v>373</v>
      </c>
    </row>
    <row r="26" spans="1:2">
      <c r="A26">
        <v>26</v>
      </c>
      <c r="B26">
        <v>374</v>
      </c>
    </row>
    <row r="27" spans="1:2">
      <c r="A27">
        <v>27</v>
      </c>
      <c r="B27">
        <v>375</v>
      </c>
    </row>
    <row r="28" spans="1:2">
      <c r="A28">
        <v>28</v>
      </c>
      <c r="B28">
        <v>376</v>
      </c>
    </row>
    <row r="29" spans="1:2">
      <c r="A29">
        <v>29</v>
      </c>
      <c r="B29">
        <v>377</v>
      </c>
    </row>
    <row r="30" spans="1:2">
      <c r="A30">
        <v>30</v>
      </c>
      <c r="B30">
        <v>378</v>
      </c>
    </row>
    <row r="31" spans="1:2">
      <c r="A31">
        <v>31</v>
      </c>
      <c r="B31">
        <v>379</v>
      </c>
    </row>
    <row r="32" spans="1:2">
      <c r="A32">
        <v>32</v>
      </c>
      <c r="B32">
        <v>380</v>
      </c>
    </row>
    <row r="33" spans="1:2">
      <c r="A33">
        <v>33</v>
      </c>
      <c r="B33">
        <v>381</v>
      </c>
    </row>
    <row r="34" spans="1:2">
      <c r="A34">
        <v>34</v>
      </c>
      <c r="B34">
        <v>382</v>
      </c>
    </row>
    <row r="35" spans="1:2">
      <c r="A35">
        <v>35</v>
      </c>
      <c r="B35">
        <v>383</v>
      </c>
    </row>
    <row r="36" spans="1:2">
      <c r="A36">
        <v>36</v>
      </c>
      <c r="B36">
        <v>384</v>
      </c>
    </row>
    <row r="37" spans="1:2">
      <c r="A37">
        <v>37</v>
      </c>
      <c r="B37">
        <v>385</v>
      </c>
    </row>
    <row r="38" spans="1:2">
      <c r="A38">
        <v>38</v>
      </c>
      <c r="B38">
        <v>386</v>
      </c>
    </row>
    <row r="39" spans="1:2">
      <c r="A39">
        <v>39</v>
      </c>
      <c r="B39">
        <v>387</v>
      </c>
    </row>
    <row r="40" spans="1:2">
      <c r="A40">
        <v>40</v>
      </c>
      <c r="B40">
        <v>388</v>
      </c>
    </row>
    <row r="41" spans="1:2">
      <c r="A41">
        <v>41</v>
      </c>
      <c r="B41">
        <v>389</v>
      </c>
    </row>
    <row r="42" spans="1:2">
      <c r="A42">
        <v>42</v>
      </c>
      <c r="B42">
        <v>390</v>
      </c>
    </row>
    <row r="43" spans="1:2">
      <c r="A43">
        <v>43</v>
      </c>
      <c r="B43">
        <v>391</v>
      </c>
    </row>
    <row r="44" spans="1:2">
      <c r="A44">
        <v>44</v>
      </c>
      <c r="B44">
        <v>392</v>
      </c>
    </row>
    <row r="45" spans="1:2">
      <c r="A45">
        <v>45</v>
      </c>
      <c r="B45">
        <v>393</v>
      </c>
    </row>
    <row r="46" spans="1:2">
      <c r="A46">
        <v>46</v>
      </c>
      <c r="B46">
        <v>394</v>
      </c>
    </row>
    <row r="47" spans="1:2">
      <c r="A47">
        <v>47</v>
      </c>
      <c r="B47">
        <v>395</v>
      </c>
    </row>
    <row r="48" spans="1:2">
      <c r="A48">
        <v>48</v>
      </c>
      <c r="B48">
        <v>396</v>
      </c>
    </row>
    <row r="49" spans="1:2">
      <c r="A49">
        <v>49</v>
      </c>
      <c r="B49">
        <v>397</v>
      </c>
    </row>
    <row r="50" spans="1:2">
      <c r="A50">
        <v>50</v>
      </c>
      <c r="B50">
        <v>398</v>
      </c>
    </row>
    <row r="51" spans="1:2">
      <c r="A51">
        <v>51</v>
      </c>
      <c r="B51">
        <v>399</v>
      </c>
    </row>
    <row r="52" spans="1:2">
      <c r="A52">
        <v>52</v>
      </c>
      <c r="B52">
        <v>400</v>
      </c>
    </row>
    <row r="53" spans="1:2">
      <c r="A53">
        <v>53</v>
      </c>
      <c r="B53">
        <v>401</v>
      </c>
    </row>
    <row r="54" spans="1:2">
      <c r="A54">
        <v>54</v>
      </c>
      <c r="B54">
        <v>402</v>
      </c>
    </row>
    <row r="55" spans="1:2">
      <c r="A55">
        <v>55</v>
      </c>
      <c r="B55">
        <v>403</v>
      </c>
    </row>
    <row r="56" spans="1:2">
      <c r="A56">
        <v>56</v>
      </c>
      <c r="B56">
        <v>404</v>
      </c>
    </row>
    <row r="57" spans="1:2">
      <c r="A57">
        <v>57</v>
      </c>
      <c r="B57">
        <v>405</v>
      </c>
    </row>
    <row r="58" spans="1:2">
      <c r="A58">
        <v>58</v>
      </c>
      <c r="B58">
        <v>406</v>
      </c>
    </row>
    <row r="59" spans="1:2">
      <c r="A59">
        <v>59</v>
      </c>
      <c r="B59">
        <v>407</v>
      </c>
    </row>
    <row r="60" spans="1:2">
      <c r="A60">
        <v>60</v>
      </c>
      <c r="B60">
        <v>408</v>
      </c>
    </row>
    <row r="61" spans="1:2">
      <c r="A61">
        <v>61</v>
      </c>
      <c r="B61">
        <v>409</v>
      </c>
    </row>
    <row r="62" spans="1:2">
      <c r="A62">
        <v>62</v>
      </c>
      <c r="B62">
        <v>410</v>
      </c>
    </row>
    <row r="63" spans="1:2">
      <c r="A63">
        <v>63</v>
      </c>
      <c r="B63">
        <v>411</v>
      </c>
    </row>
    <row r="64" spans="1:2">
      <c r="A64">
        <v>64</v>
      </c>
      <c r="B64">
        <v>412</v>
      </c>
    </row>
    <row r="65" spans="1:2">
      <c r="A65">
        <v>65</v>
      </c>
      <c r="B65">
        <v>413</v>
      </c>
    </row>
    <row r="66" spans="1:2">
      <c r="A66">
        <v>66</v>
      </c>
      <c r="B66">
        <v>414</v>
      </c>
    </row>
    <row r="67" spans="1:2">
      <c r="A67">
        <v>67</v>
      </c>
      <c r="B67">
        <v>415</v>
      </c>
    </row>
    <row r="68" spans="1:2">
      <c r="A68">
        <v>68</v>
      </c>
      <c r="B68">
        <v>416</v>
      </c>
    </row>
    <row r="69" spans="1:2">
      <c r="A69">
        <v>69</v>
      </c>
      <c r="B69">
        <v>417</v>
      </c>
    </row>
    <row r="70" spans="1:2">
      <c r="A70">
        <v>70</v>
      </c>
      <c r="B70">
        <v>418</v>
      </c>
    </row>
    <row r="71" spans="1:2">
      <c r="A71">
        <v>71</v>
      </c>
      <c r="B71">
        <v>419</v>
      </c>
    </row>
    <row r="72" spans="1:2">
      <c r="A72">
        <v>72</v>
      </c>
      <c r="B72">
        <v>420</v>
      </c>
    </row>
    <row r="73" spans="1:2">
      <c r="A73">
        <v>73</v>
      </c>
      <c r="B73">
        <v>421</v>
      </c>
    </row>
    <row r="74" spans="1:2">
      <c r="A74">
        <v>74</v>
      </c>
      <c r="B74">
        <v>422</v>
      </c>
    </row>
    <row r="75" spans="1:2">
      <c r="A75">
        <v>75</v>
      </c>
      <c r="B75">
        <v>423</v>
      </c>
    </row>
    <row r="76" spans="1:2">
      <c r="A76">
        <v>76</v>
      </c>
      <c r="B76">
        <v>424</v>
      </c>
    </row>
    <row r="77" spans="1:2">
      <c r="A77">
        <v>77</v>
      </c>
      <c r="B77">
        <v>425</v>
      </c>
    </row>
    <row r="78" spans="1:2">
      <c r="A78">
        <v>78</v>
      </c>
      <c r="B78">
        <v>426</v>
      </c>
    </row>
    <row r="79" spans="1:2">
      <c r="A79">
        <v>79</v>
      </c>
      <c r="B79">
        <v>427</v>
      </c>
    </row>
    <row r="80" spans="1:2">
      <c r="A80">
        <v>80</v>
      </c>
      <c r="B80">
        <v>428</v>
      </c>
    </row>
    <row r="81" spans="1:2">
      <c r="A81">
        <v>81</v>
      </c>
      <c r="B81">
        <v>429</v>
      </c>
    </row>
    <row r="82" spans="1:2">
      <c r="A82">
        <v>82</v>
      </c>
      <c r="B82">
        <v>430</v>
      </c>
    </row>
    <row r="83" spans="1:2">
      <c r="A83">
        <v>83</v>
      </c>
      <c r="B83">
        <v>431</v>
      </c>
    </row>
    <row r="84" spans="1:2">
      <c r="A84">
        <v>84</v>
      </c>
      <c r="B84">
        <v>432</v>
      </c>
    </row>
    <row r="85" spans="1:2">
      <c r="A85">
        <v>85</v>
      </c>
      <c r="B85">
        <v>433</v>
      </c>
    </row>
    <row r="86" spans="1:2">
      <c r="A86">
        <v>86</v>
      </c>
      <c r="B86">
        <v>434</v>
      </c>
    </row>
    <row r="87" spans="1:2">
      <c r="A87">
        <v>87</v>
      </c>
      <c r="B87">
        <v>435</v>
      </c>
    </row>
    <row r="88" spans="1:2">
      <c r="A88">
        <v>88</v>
      </c>
      <c r="B88">
        <v>436</v>
      </c>
    </row>
    <row r="89" spans="1:2">
      <c r="A89">
        <v>89</v>
      </c>
      <c r="B89">
        <v>437</v>
      </c>
    </row>
    <row r="90" spans="1:2">
      <c r="A90">
        <v>90</v>
      </c>
      <c r="B90">
        <v>438</v>
      </c>
    </row>
    <row r="91" spans="1:2">
      <c r="A91">
        <v>91</v>
      </c>
      <c r="B91">
        <v>439</v>
      </c>
    </row>
    <row r="92" spans="1:2">
      <c r="A92">
        <v>92</v>
      </c>
      <c r="B92">
        <v>440</v>
      </c>
    </row>
    <row r="93" spans="1:2">
      <c r="A93">
        <v>93</v>
      </c>
      <c r="B93">
        <v>441</v>
      </c>
    </row>
    <row r="94" spans="1:2">
      <c r="A94">
        <v>94</v>
      </c>
      <c r="B94">
        <v>442</v>
      </c>
    </row>
    <row r="95" spans="1:2">
      <c r="A95">
        <v>95</v>
      </c>
      <c r="B95">
        <v>443</v>
      </c>
    </row>
    <row r="96" spans="1:2">
      <c r="A96">
        <v>96</v>
      </c>
      <c r="B96">
        <v>444</v>
      </c>
    </row>
    <row r="97" spans="1:2">
      <c r="A97">
        <v>97</v>
      </c>
      <c r="B97">
        <v>445</v>
      </c>
    </row>
    <row r="98" spans="1:2">
      <c r="A98">
        <v>98</v>
      </c>
      <c r="B98">
        <v>446</v>
      </c>
    </row>
    <row r="99" spans="1:2">
      <c r="A99">
        <v>99</v>
      </c>
      <c r="B99">
        <v>447</v>
      </c>
    </row>
    <row r="100" spans="1:2">
      <c r="A100">
        <v>100</v>
      </c>
      <c r="B100">
        <v>448</v>
      </c>
    </row>
    <row r="101" spans="1:2">
      <c r="A101">
        <v>101</v>
      </c>
      <c r="B101">
        <v>449</v>
      </c>
    </row>
    <row r="102" spans="1:2">
      <c r="A102">
        <v>102</v>
      </c>
      <c r="B102">
        <v>450</v>
      </c>
    </row>
    <row r="103" spans="1:2">
      <c r="A103">
        <v>103</v>
      </c>
      <c r="B103">
        <v>451</v>
      </c>
    </row>
    <row r="104" spans="1:2">
      <c r="A104">
        <v>104</v>
      </c>
      <c r="B104">
        <v>452</v>
      </c>
    </row>
    <row r="105" spans="1:2">
      <c r="A105">
        <v>105</v>
      </c>
      <c r="B105">
        <v>453</v>
      </c>
    </row>
    <row r="106" spans="1:2">
      <c r="A106">
        <v>106</v>
      </c>
      <c r="B106">
        <v>454</v>
      </c>
    </row>
    <row r="107" spans="1:2">
      <c r="A107">
        <v>107</v>
      </c>
      <c r="B107">
        <v>455</v>
      </c>
    </row>
    <row r="108" spans="1:2">
      <c r="A108">
        <v>108</v>
      </c>
      <c r="B108">
        <v>456</v>
      </c>
    </row>
    <row r="109" spans="1:2">
      <c r="A109">
        <v>109</v>
      </c>
      <c r="B109">
        <v>457</v>
      </c>
    </row>
    <row r="110" spans="1:2">
      <c r="A110">
        <v>110</v>
      </c>
      <c r="B110">
        <v>458</v>
      </c>
    </row>
    <row r="111" spans="1:2">
      <c r="A111">
        <v>111</v>
      </c>
      <c r="B111">
        <v>459</v>
      </c>
    </row>
    <row r="112" spans="1:2">
      <c r="A112">
        <v>112</v>
      </c>
      <c r="B112">
        <v>460</v>
      </c>
    </row>
    <row r="113" spans="1:2">
      <c r="A113">
        <v>113</v>
      </c>
      <c r="B113">
        <v>461</v>
      </c>
    </row>
    <row r="114" spans="1:2">
      <c r="A114">
        <v>114</v>
      </c>
      <c r="B114">
        <v>462</v>
      </c>
    </row>
    <row r="115" spans="1:2">
      <c r="A115">
        <v>115</v>
      </c>
      <c r="B115">
        <v>463</v>
      </c>
    </row>
    <row r="116" spans="1:2">
      <c r="A116">
        <v>116</v>
      </c>
      <c r="B116">
        <v>464</v>
      </c>
    </row>
    <row r="117" spans="1:2">
      <c r="A117">
        <v>117</v>
      </c>
      <c r="B117">
        <v>465</v>
      </c>
    </row>
    <row r="118" spans="1:2">
      <c r="A118">
        <v>118</v>
      </c>
      <c r="B118">
        <v>466</v>
      </c>
    </row>
    <row r="119" spans="1:2">
      <c r="A119">
        <v>119</v>
      </c>
      <c r="B119">
        <v>467</v>
      </c>
    </row>
    <row r="120" spans="1:2">
      <c r="A120">
        <v>120</v>
      </c>
      <c r="B120">
        <v>468</v>
      </c>
    </row>
    <row r="121" spans="1:2">
      <c r="A121">
        <v>121</v>
      </c>
      <c r="B121">
        <v>469</v>
      </c>
    </row>
    <row r="122" spans="1:2">
      <c r="A122">
        <v>122</v>
      </c>
      <c r="B122">
        <v>470</v>
      </c>
    </row>
    <row r="123" spans="1:2">
      <c r="A123">
        <v>123</v>
      </c>
      <c r="B123">
        <v>471</v>
      </c>
    </row>
    <row r="124" spans="1:2">
      <c r="A124">
        <v>124</v>
      </c>
      <c r="B124">
        <v>472</v>
      </c>
    </row>
    <row r="125" spans="1:2">
      <c r="A125">
        <v>125</v>
      </c>
      <c r="B125">
        <v>473</v>
      </c>
    </row>
    <row r="126" spans="1:2">
      <c r="A126">
        <v>126</v>
      </c>
      <c r="B126">
        <v>474</v>
      </c>
    </row>
    <row r="127" spans="1:2">
      <c r="A127">
        <v>127</v>
      </c>
      <c r="B127">
        <v>475</v>
      </c>
    </row>
    <row r="128" spans="1:2">
      <c r="A128">
        <v>128</v>
      </c>
      <c r="B128">
        <v>476</v>
      </c>
    </row>
    <row r="129" spans="1:2">
      <c r="A129">
        <v>129</v>
      </c>
      <c r="B129">
        <v>477</v>
      </c>
    </row>
    <row r="130" spans="1:2">
      <c r="A130">
        <v>130</v>
      </c>
      <c r="B130">
        <v>478</v>
      </c>
    </row>
    <row r="131" spans="1:2">
      <c r="A131">
        <v>131</v>
      </c>
      <c r="B131">
        <v>479</v>
      </c>
    </row>
    <row r="132" spans="1:2">
      <c r="A132">
        <v>132</v>
      </c>
      <c r="B132">
        <v>480</v>
      </c>
    </row>
    <row r="133" spans="1:2">
      <c r="A133">
        <v>133</v>
      </c>
      <c r="B133">
        <v>481</v>
      </c>
    </row>
    <row r="134" spans="1:2">
      <c r="A134">
        <v>134</v>
      </c>
      <c r="B134">
        <v>482</v>
      </c>
    </row>
    <row r="135" spans="1:2">
      <c r="A135">
        <v>135</v>
      </c>
      <c r="B135">
        <v>483</v>
      </c>
    </row>
    <row r="136" spans="1:2">
      <c r="A136">
        <v>136</v>
      </c>
      <c r="B136">
        <v>484</v>
      </c>
    </row>
    <row r="137" spans="1:2">
      <c r="A137">
        <v>137</v>
      </c>
      <c r="B137">
        <v>485</v>
      </c>
    </row>
    <row r="138" spans="1:2">
      <c r="A138">
        <v>138</v>
      </c>
      <c r="B138">
        <v>486</v>
      </c>
    </row>
    <row r="139" spans="1:2">
      <c r="A139">
        <v>139</v>
      </c>
      <c r="B139">
        <v>487</v>
      </c>
    </row>
    <row r="140" spans="1:2">
      <c r="A140">
        <v>140</v>
      </c>
      <c r="B140">
        <v>488</v>
      </c>
    </row>
    <row r="141" spans="1:2">
      <c r="A141">
        <v>141</v>
      </c>
      <c r="B141">
        <v>489</v>
      </c>
    </row>
    <row r="142" spans="1:2">
      <c r="A142">
        <v>142</v>
      </c>
      <c r="B142">
        <v>490</v>
      </c>
    </row>
    <row r="143" spans="1:2">
      <c r="A143">
        <v>143</v>
      </c>
      <c r="B143">
        <v>491</v>
      </c>
    </row>
    <row r="144" spans="1:2">
      <c r="A144">
        <v>144</v>
      </c>
      <c r="B144">
        <v>492</v>
      </c>
    </row>
    <row r="145" spans="1:2">
      <c r="A145">
        <v>145</v>
      </c>
      <c r="B145">
        <v>493</v>
      </c>
    </row>
    <row r="146" spans="1:2">
      <c r="A146">
        <v>146</v>
      </c>
      <c r="B146">
        <v>494</v>
      </c>
    </row>
    <row r="147" spans="1:2">
      <c r="A147">
        <v>147</v>
      </c>
      <c r="B147">
        <v>495</v>
      </c>
    </row>
    <row r="148" spans="1:2">
      <c r="A148">
        <v>148</v>
      </c>
      <c r="B148">
        <v>496</v>
      </c>
    </row>
    <row r="149" spans="1:2">
      <c r="A149">
        <v>149</v>
      </c>
      <c r="B149">
        <v>497</v>
      </c>
    </row>
    <row r="150" spans="1:2">
      <c r="A150">
        <v>150</v>
      </c>
      <c r="B150">
        <v>498</v>
      </c>
    </row>
    <row r="151" spans="1:2">
      <c r="A151">
        <v>151</v>
      </c>
      <c r="B151">
        <v>499</v>
      </c>
    </row>
    <row r="152" spans="1:2">
      <c r="A152">
        <v>152</v>
      </c>
      <c r="B152">
        <v>500</v>
      </c>
    </row>
    <row r="153" spans="1:2">
      <c r="A153">
        <v>153</v>
      </c>
      <c r="B153">
        <v>501</v>
      </c>
    </row>
    <row r="154" spans="1:2">
      <c r="A154">
        <v>154</v>
      </c>
      <c r="B154">
        <v>502</v>
      </c>
    </row>
    <row r="155" spans="1:2">
      <c r="A155">
        <v>155</v>
      </c>
      <c r="B155">
        <v>503</v>
      </c>
    </row>
    <row r="156" spans="1:2">
      <c r="A156">
        <v>156</v>
      </c>
      <c r="B156">
        <v>504</v>
      </c>
    </row>
    <row r="157" spans="1:2">
      <c r="A157">
        <v>157</v>
      </c>
      <c r="B157">
        <v>505</v>
      </c>
    </row>
    <row r="158" spans="1:2">
      <c r="A158">
        <v>158</v>
      </c>
      <c r="B158">
        <v>506</v>
      </c>
    </row>
    <row r="159" spans="1:2">
      <c r="A159">
        <v>159</v>
      </c>
      <c r="B159">
        <v>507</v>
      </c>
    </row>
    <row r="160" spans="1:2">
      <c r="A160">
        <v>160</v>
      </c>
      <c r="B160">
        <v>508</v>
      </c>
    </row>
    <row r="161" spans="1:2">
      <c r="A161">
        <v>161</v>
      </c>
      <c r="B161">
        <v>509</v>
      </c>
    </row>
    <row r="162" spans="1:2">
      <c r="A162">
        <v>162</v>
      </c>
      <c r="B162">
        <v>510</v>
      </c>
    </row>
    <row r="163" spans="1:2">
      <c r="A163">
        <v>163</v>
      </c>
      <c r="B163">
        <v>511</v>
      </c>
    </row>
    <row r="164" spans="1:2">
      <c r="A164">
        <v>164</v>
      </c>
      <c r="B164">
        <v>512</v>
      </c>
    </row>
    <row r="165" spans="1:2">
      <c r="A165">
        <v>165</v>
      </c>
      <c r="B165">
        <v>513</v>
      </c>
    </row>
    <row r="166" spans="1:2">
      <c r="A166">
        <v>166</v>
      </c>
      <c r="B166">
        <v>514</v>
      </c>
    </row>
    <row r="167" spans="1:2">
      <c r="A167">
        <v>167</v>
      </c>
      <c r="B167">
        <v>515</v>
      </c>
    </row>
    <row r="168" spans="1:2">
      <c r="A168">
        <v>168</v>
      </c>
      <c r="B168">
        <v>516</v>
      </c>
    </row>
    <row r="169" spans="1:2">
      <c r="A169">
        <v>169</v>
      </c>
      <c r="B169">
        <v>517</v>
      </c>
    </row>
    <row r="170" spans="1:2">
      <c r="A170">
        <v>170</v>
      </c>
      <c r="B170">
        <v>518</v>
      </c>
    </row>
    <row r="171" spans="1:2">
      <c r="A171">
        <v>171</v>
      </c>
      <c r="B171">
        <v>519</v>
      </c>
    </row>
    <row r="172" spans="1:2">
      <c r="A172">
        <v>172</v>
      </c>
      <c r="B172">
        <v>520</v>
      </c>
    </row>
    <row r="173" spans="1:2">
      <c r="A173">
        <v>173</v>
      </c>
      <c r="B173">
        <v>521</v>
      </c>
    </row>
    <row r="174" spans="1:2">
      <c r="A174">
        <v>174</v>
      </c>
      <c r="B174">
        <v>522</v>
      </c>
    </row>
    <row r="175" spans="1:2">
      <c r="A175">
        <v>175</v>
      </c>
      <c r="B175">
        <v>523</v>
      </c>
    </row>
    <row r="176" spans="1:2">
      <c r="A176">
        <v>176</v>
      </c>
      <c r="B176">
        <v>524</v>
      </c>
    </row>
    <row r="177" spans="1:2">
      <c r="A177">
        <v>177</v>
      </c>
      <c r="B177">
        <v>525</v>
      </c>
    </row>
    <row r="178" spans="1:2">
      <c r="A178">
        <v>178</v>
      </c>
      <c r="B178">
        <v>526</v>
      </c>
    </row>
    <row r="179" spans="1:2">
      <c r="A179">
        <v>179</v>
      </c>
      <c r="B179">
        <v>527</v>
      </c>
    </row>
    <row r="180" spans="1:2">
      <c r="A180">
        <v>180</v>
      </c>
      <c r="B180">
        <v>528</v>
      </c>
    </row>
    <row r="181" spans="1:2">
      <c r="A181">
        <v>181</v>
      </c>
      <c r="B181">
        <v>529</v>
      </c>
    </row>
    <row r="182" spans="1:2">
      <c r="A182">
        <v>182</v>
      </c>
      <c r="B182">
        <v>530</v>
      </c>
    </row>
    <row r="183" spans="1:2">
      <c r="A183">
        <v>183</v>
      </c>
      <c r="B183">
        <v>531</v>
      </c>
    </row>
    <row r="184" spans="1:2">
      <c r="A184">
        <v>184</v>
      </c>
      <c r="B184">
        <v>532</v>
      </c>
    </row>
    <row r="185" spans="1:2">
      <c r="A185">
        <v>185</v>
      </c>
      <c r="B185">
        <v>533</v>
      </c>
    </row>
    <row r="186" spans="1:2">
      <c r="A186">
        <v>186</v>
      </c>
      <c r="B186">
        <v>534</v>
      </c>
    </row>
    <row r="187" spans="1:2">
      <c r="A187">
        <v>187</v>
      </c>
      <c r="B187">
        <v>535</v>
      </c>
    </row>
    <row r="188" spans="1:2">
      <c r="A188">
        <v>188</v>
      </c>
      <c r="B188">
        <v>536</v>
      </c>
    </row>
    <row r="189" spans="1:2">
      <c r="A189">
        <v>189</v>
      </c>
      <c r="B189">
        <v>537</v>
      </c>
    </row>
    <row r="190" spans="1:2">
      <c r="A190">
        <v>190</v>
      </c>
      <c r="B190">
        <v>538</v>
      </c>
    </row>
    <row r="191" spans="1:2">
      <c r="A191">
        <v>191</v>
      </c>
      <c r="B191">
        <v>539</v>
      </c>
    </row>
    <row r="192" spans="1:2">
      <c r="A192">
        <v>192</v>
      </c>
      <c r="B192">
        <v>540</v>
      </c>
    </row>
    <row r="193" spans="1:2">
      <c r="A193">
        <v>193</v>
      </c>
      <c r="B193">
        <v>541</v>
      </c>
    </row>
    <row r="194" spans="1:2">
      <c r="A194">
        <v>194</v>
      </c>
      <c r="B194">
        <v>542</v>
      </c>
    </row>
    <row r="195" spans="1:2">
      <c r="A195">
        <v>195</v>
      </c>
      <c r="B195">
        <v>543</v>
      </c>
    </row>
    <row r="196" spans="1:2">
      <c r="A196">
        <v>196</v>
      </c>
      <c r="B196">
        <v>544</v>
      </c>
    </row>
    <row r="197" spans="1:2">
      <c r="A197">
        <v>197</v>
      </c>
      <c r="B197">
        <v>545</v>
      </c>
    </row>
    <row r="198" spans="1:2">
      <c r="A198">
        <v>198</v>
      </c>
      <c r="B198">
        <v>546</v>
      </c>
    </row>
    <row r="199" spans="1:2">
      <c r="A199">
        <v>199</v>
      </c>
      <c r="B199">
        <v>547</v>
      </c>
    </row>
    <row r="200" spans="1:2">
      <c r="A200">
        <v>200</v>
      </c>
      <c r="B200">
        <v>548</v>
      </c>
    </row>
    <row r="201" spans="1:2">
      <c r="A201">
        <v>201</v>
      </c>
      <c r="B201">
        <v>549</v>
      </c>
    </row>
    <row r="202" spans="1:2">
      <c r="A202">
        <v>202</v>
      </c>
      <c r="B202">
        <v>550</v>
      </c>
    </row>
    <row r="203" spans="1:2">
      <c r="A203">
        <v>203</v>
      </c>
      <c r="B203">
        <v>551</v>
      </c>
    </row>
    <row r="204" spans="1:2">
      <c r="A204">
        <v>204</v>
      </c>
      <c r="B204">
        <v>552</v>
      </c>
    </row>
    <row r="205" spans="1:2">
      <c r="A205">
        <v>205</v>
      </c>
      <c r="B205">
        <v>553</v>
      </c>
    </row>
    <row r="206" spans="1:2">
      <c r="A206">
        <v>206</v>
      </c>
      <c r="B206">
        <v>554</v>
      </c>
    </row>
    <row r="207" spans="1:2">
      <c r="A207">
        <v>207</v>
      </c>
      <c r="B207">
        <v>555</v>
      </c>
    </row>
    <row r="208" spans="1:2">
      <c r="A208">
        <v>208</v>
      </c>
      <c r="B208">
        <v>556</v>
      </c>
    </row>
    <row r="209" spans="1:2">
      <c r="A209">
        <v>209</v>
      </c>
      <c r="B209">
        <v>557</v>
      </c>
    </row>
    <row r="210" spans="1:2">
      <c r="A210">
        <v>210</v>
      </c>
      <c r="B210">
        <v>558</v>
      </c>
    </row>
    <row r="211" spans="1:2">
      <c r="A211">
        <v>211</v>
      </c>
      <c r="B211">
        <v>559</v>
      </c>
    </row>
    <row r="212" spans="1:2">
      <c r="A212">
        <v>212</v>
      </c>
      <c r="B212">
        <v>560</v>
      </c>
    </row>
    <row r="213" spans="1:2">
      <c r="A213">
        <v>213</v>
      </c>
      <c r="B213">
        <v>561</v>
      </c>
    </row>
    <row r="214" spans="1:2">
      <c r="A214">
        <v>214</v>
      </c>
      <c r="B214">
        <v>562</v>
      </c>
    </row>
    <row r="215" spans="1:2">
      <c r="A215">
        <v>215</v>
      </c>
      <c r="B215">
        <v>563</v>
      </c>
    </row>
    <row r="216" spans="1:2">
      <c r="A216">
        <v>216</v>
      </c>
      <c r="B216">
        <v>564</v>
      </c>
    </row>
    <row r="217" spans="1:2">
      <c r="A217">
        <v>217</v>
      </c>
      <c r="B217">
        <v>565</v>
      </c>
    </row>
    <row r="218" spans="1:2">
      <c r="A218">
        <v>218</v>
      </c>
      <c r="B218">
        <v>566</v>
      </c>
    </row>
    <row r="219" spans="1:2">
      <c r="A219">
        <v>219</v>
      </c>
      <c r="B219">
        <v>567</v>
      </c>
    </row>
    <row r="220" spans="1:2">
      <c r="A220">
        <v>220</v>
      </c>
      <c r="B220">
        <v>568</v>
      </c>
    </row>
    <row r="221" spans="1:2">
      <c r="A221">
        <v>221</v>
      </c>
      <c r="B221">
        <v>569</v>
      </c>
    </row>
    <row r="222" spans="1:2">
      <c r="A222">
        <v>222</v>
      </c>
      <c r="B222">
        <v>570</v>
      </c>
    </row>
    <row r="223" spans="1:2">
      <c r="A223">
        <v>223</v>
      </c>
      <c r="B223">
        <v>571</v>
      </c>
    </row>
    <row r="224" spans="1:2">
      <c r="A224">
        <v>224</v>
      </c>
      <c r="B224">
        <v>572</v>
      </c>
    </row>
    <row r="225" spans="1:2">
      <c r="A225">
        <v>225</v>
      </c>
      <c r="B225">
        <v>573</v>
      </c>
    </row>
    <row r="226" spans="1:2">
      <c r="A226">
        <v>226</v>
      </c>
      <c r="B226">
        <v>574</v>
      </c>
    </row>
    <row r="227" spans="1:2">
      <c r="A227">
        <v>227</v>
      </c>
      <c r="B227">
        <v>575</v>
      </c>
    </row>
    <row r="228" spans="1:2">
      <c r="A228">
        <v>228</v>
      </c>
      <c r="B228">
        <v>576</v>
      </c>
    </row>
    <row r="229" spans="1:2">
      <c r="A229">
        <v>229</v>
      </c>
      <c r="B229">
        <v>577</v>
      </c>
    </row>
    <row r="230" spans="1:2">
      <c r="A230">
        <v>230</v>
      </c>
      <c r="B230">
        <v>578</v>
      </c>
    </row>
    <row r="231" spans="1:2">
      <c r="A231">
        <v>231</v>
      </c>
      <c r="B231">
        <v>579</v>
      </c>
    </row>
    <row r="232" spans="1:2">
      <c r="A232">
        <v>232</v>
      </c>
      <c r="B232">
        <v>580</v>
      </c>
    </row>
    <row r="233" spans="1:2">
      <c r="A233">
        <v>233</v>
      </c>
      <c r="B233">
        <v>581</v>
      </c>
    </row>
    <row r="234" spans="1:2">
      <c r="A234">
        <v>234</v>
      </c>
      <c r="B234">
        <v>582</v>
      </c>
    </row>
    <row r="235" spans="1:2">
      <c r="A235">
        <v>235</v>
      </c>
      <c r="B235">
        <v>583</v>
      </c>
    </row>
    <row r="236" spans="1:2">
      <c r="A236">
        <v>236</v>
      </c>
      <c r="B236">
        <v>584</v>
      </c>
    </row>
    <row r="237" spans="1:2">
      <c r="A237">
        <v>237</v>
      </c>
      <c r="B237">
        <v>585</v>
      </c>
    </row>
    <row r="238" spans="1:2">
      <c r="A238">
        <v>238</v>
      </c>
      <c r="B238">
        <v>586</v>
      </c>
    </row>
    <row r="239" spans="1:2">
      <c r="A239">
        <v>239</v>
      </c>
      <c r="B239">
        <v>587</v>
      </c>
    </row>
    <row r="240" spans="1:2">
      <c r="A240">
        <v>240</v>
      </c>
      <c r="B240">
        <v>588</v>
      </c>
    </row>
    <row r="241" spans="1:2">
      <c r="A241">
        <v>241</v>
      </c>
      <c r="B241">
        <v>589</v>
      </c>
    </row>
    <row r="242" spans="1:2">
      <c r="A242">
        <v>242</v>
      </c>
      <c r="B242">
        <v>590</v>
      </c>
    </row>
    <row r="243" spans="1:2">
      <c r="A243">
        <v>243</v>
      </c>
      <c r="B243">
        <v>591</v>
      </c>
    </row>
    <row r="244" spans="1:2">
      <c r="A244">
        <v>244</v>
      </c>
      <c r="B244">
        <v>592</v>
      </c>
    </row>
    <row r="245" spans="1:2">
      <c r="A245">
        <v>245</v>
      </c>
      <c r="B245">
        <v>593</v>
      </c>
    </row>
    <row r="246" spans="1:2">
      <c r="A246">
        <v>246</v>
      </c>
      <c r="B246">
        <v>594</v>
      </c>
    </row>
    <row r="247" spans="1:2">
      <c r="A247">
        <v>247</v>
      </c>
      <c r="B247">
        <v>595</v>
      </c>
    </row>
    <row r="248" spans="1:2">
      <c r="A248">
        <v>249</v>
      </c>
      <c r="B248">
        <v>596</v>
      </c>
    </row>
    <row r="249" spans="1:2">
      <c r="A249">
        <v>250</v>
      </c>
      <c r="B249">
        <v>597</v>
      </c>
    </row>
    <row r="250" spans="1:2">
      <c r="A250">
        <v>251</v>
      </c>
      <c r="B250">
        <v>598</v>
      </c>
    </row>
    <row r="251" spans="1:2">
      <c r="A251">
        <v>252</v>
      </c>
      <c r="B251">
        <v>599</v>
      </c>
    </row>
    <row r="252" spans="1:2">
      <c r="A252">
        <v>253</v>
      </c>
      <c r="B252">
        <v>600</v>
      </c>
    </row>
    <row r="253" spans="1:2">
      <c r="A253">
        <v>254</v>
      </c>
      <c r="B253">
        <v>601</v>
      </c>
    </row>
    <row r="254" spans="1:2">
      <c r="A254">
        <v>255</v>
      </c>
      <c r="B254">
        <v>602</v>
      </c>
    </row>
    <row r="255" spans="1:2">
      <c r="A255">
        <v>256</v>
      </c>
      <c r="B255">
        <v>603</v>
      </c>
    </row>
    <row r="256" spans="1:2">
      <c r="A256">
        <v>257</v>
      </c>
      <c r="B256">
        <v>604</v>
      </c>
    </row>
    <row r="257" spans="1:2">
      <c r="A257">
        <v>258</v>
      </c>
      <c r="B257">
        <v>605</v>
      </c>
    </row>
    <row r="258" spans="1:2">
      <c r="A258">
        <v>259</v>
      </c>
      <c r="B258">
        <v>606</v>
      </c>
    </row>
    <row r="259" spans="1:2">
      <c r="A259">
        <v>260</v>
      </c>
      <c r="B259">
        <v>607</v>
      </c>
    </row>
    <row r="260" spans="1:2">
      <c r="A260">
        <v>261</v>
      </c>
      <c r="B260">
        <v>608</v>
      </c>
    </row>
    <row r="261" spans="1:2">
      <c r="A261">
        <v>262</v>
      </c>
      <c r="B261">
        <v>609</v>
      </c>
    </row>
    <row r="262" spans="1:2">
      <c r="A262">
        <v>263</v>
      </c>
      <c r="B262">
        <v>610</v>
      </c>
    </row>
    <row r="263" spans="1:2">
      <c r="A263">
        <v>264</v>
      </c>
      <c r="B263">
        <v>611</v>
      </c>
    </row>
    <row r="264" spans="1:2">
      <c r="A264">
        <v>265</v>
      </c>
      <c r="B264">
        <v>612</v>
      </c>
    </row>
    <row r="265" spans="1:2">
      <c r="A265">
        <v>266</v>
      </c>
      <c r="B265">
        <v>613</v>
      </c>
    </row>
    <row r="266" spans="1:2">
      <c r="A266">
        <v>267</v>
      </c>
      <c r="B266">
        <v>614</v>
      </c>
    </row>
    <row r="267" spans="1:2">
      <c r="A267">
        <v>268</v>
      </c>
      <c r="B267">
        <v>615</v>
      </c>
    </row>
    <row r="268" spans="1:2">
      <c r="A268">
        <v>269</v>
      </c>
      <c r="B268">
        <v>616</v>
      </c>
    </row>
    <row r="269" spans="1:2">
      <c r="A269">
        <v>270</v>
      </c>
      <c r="B269">
        <v>617</v>
      </c>
    </row>
    <row r="270" spans="1:2">
      <c r="A270">
        <v>271</v>
      </c>
      <c r="B270">
        <v>618</v>
      </c>
    </row>
    <row r="271" spans="1:2">
      <c r="A271">
        <v>272</v>
      </c>
      <c r="B271">
        <v>619</v>
      </c>
    </row>
    <row r="272" spans="1:2">
      <c r="A272">
        <v>273</v>
      </c>
      <c r="B272">
        <v>620</v>
      </c>
    </row>
    <row r="273" spans="1:2">
      <c r="A273">
        <v>274</v>
      </c>
      <c r="B273">
        <v>621</v>
      </c>
    </row>
    <row r="274" spans="1:2">
      <c r="A274">
        <v>275</v>
      </c>
      <c r="B274">
        <v>622</v>
      </c>
    </row>
    <row r="275" spans="1:2">
      <c r="A275">
        <v>276</v>
      </c>
      <c r="B275">
        <v>623</v>
      </c>
    </row>
    <row r="276" spans="1:2">
      <c r="A276">
        <v>277</v>
      </c>
      <c r="B276">
        <v>624</v>
      </c>
    </row>
    <row r="277" spans="1:2">
      <c r="A277">
        <v>278</v>
      </c>
      <c r="B277">
        <v>625</v>
      </c>
    </row>
    <row r="278" spans="1:2">
      <c r="A278">
        <v>279</v>
      </c>
      <c r="B278">
        <v>626</v>
      </c>
    </row>
    <row r="279" spans="1:2">
      <c r="A279">
        <v>280</v>
      </c>
      <c r="B279">
        <v>627</v>
      </c>
    </row>
    <row r="280" spans="1:2">
      <c r="A280">
        <v>281</v>
      </c>
      <c r="B280">
        <v>628</v>
      </c>
    </row>
    <row r="281" spans="1:2">
      <c r="A281">
        <v>282</v>
      </c>
      <c r="B281">
        <v>629</v>
      </c>
    </row>
    <row r="282" spans="1:2">
      <c r="A282">
        <v>283</v>
      </c>
      <c r="B282">
        <v>630</v>
      </c>
    </row>
    <row r="283" spans="1:2">
      <c r="A283">
        <v>284</v>
      </c>
      <c r="B283">
        <v>631</v>
      </c>
    </row>
    <row r="284" spans="1:2">
      <c r="A284">
        <v>285</v>
      </c>
      <c r="B284">
        <v>632</v>
      </c>
    </row>
    <row r="285" spans="1:2">
      <c r="A285">
        <v>286</v>
      </c>
      <c r="B285">
        <v>633</v>
      </c>
    </row>
    <row r="286" spans="1:2">
      <c r="A286">
        <v>287</v>
      </c>
      <c r="B286">
        <v>634</v>
      </c>
    </row>
    <row r="287" spans="1:2">
      <c r="A287">
        <v>288</v>
      </c>
      <c r="B287">
        <v>635</v>
      </c>
    </row>
    <row r="288" spans="1:2">
      <c r="A288">
        <v>289</v>
      </c>
      <c r="B288">
        <v>636</v>
      </c>
    </row>
    <row r="289" spans="1:2">
      <c r="A289">
        <v>290</v>
      </c>
      <c r="B289">
        <v>637</v>
      </c>
    </row>
    <row r="290" spans="1:2">
      <c r="A290">
        <v>291</v>
      </c>
      <c r="B290">
        <v>638</v>
      </c>
    </row>
    <row r="291" spans="1:2">
      <c r="A291">
        <v>292</v>
      </c>
      <c r="B291">
        <v>639</v>
      </c>
    </row>
    <row r="292" spans="1:2">
      <c r="A292">
        <v>293</v>
      </c>
      <c r="B292">
        <v>640</v>
      </c>
    </row>
    <row r="293" spans="1:2">
      <c r="A293">
        <v>294</v>
      </c>
      <c r="B293">
        <v>641</v>
      </c>
    </row>
    <row r="294" spans="1:2">
      <c r="A294">
        <v>295</v>
      </c>
      <c r="B294">
        <v>642</v>
      </c>
    </row>
    <row r="295" spans="1:2">
      <c r="A295">
        <v>296</v>
      </c>
      <c r="B295">
        <v>643</v>
      </c>
    </row>
    <row r="296" spans="1:2">
      <c r="A296">
        <v>297</v>
      </c>
      <c r="B296">
        <v>644</v>
      </c>
    </row>
    <row r="297" spans="1:2">
      <c r="A297">
        <v>298</v>
      </c>
      <c r="B297">
        <v>645</v>
      </c>
    </row>
    <row r="298" spans="1:2">
      <c r="A298">
        <v>299</v>
      </c>
      <c r="B298">
        <v>646</v>
      </c>
    </row>
    <row r="299" spans="1:2">
      <c r="A299">
        <v>300</v>
      </c>
      <c r="B299">
        <v>647</v>
      </c>
    </row>
    <row r="300" spans="1:2">
      <c r="A300">
        <v>301</v>
      </c>
      <c r="B300">
        <v>648</v>
      </c>
    </row>
    <row r="301" spans="1:2">
      <c r="A301">
        <v>302</v>
      </c>
      <c r="B301">
        <v>649</v>
      </c>
    </row>
    <row r="302" spans="1:2">
      <c r="A302">
        <v>303</v>
      </c>
      <c r="B302">
        <v>650</v>
      </c>
    </row>
    <row r="303" spans="1:2">
      <c r="A303">
        <v>304</v>
      </c>
      <c r="B303">
        <v>651</v>
      </c>
    </row>
    <row r="304" spans="1:2">
      <c r="A304">
        <v>305</v>
      </c>
      <c r="B304">
        <v>652</v>
      </c>
    </row>
    <row r="305" spans="1:2">
      <c r="A305">
        <v>306</v>
      </c>
      <c r="B305">
        <v>653</v>
      </c>
    </row>
    <row r="306" spans="1:2">
      <c r="A306">
        <v>307</v>
      </c>
      <c r="B306">
        <v>654</v>
      </c>
    </row>
    <row r="307" spans="1:2">
      <c r="A307">
        <v>308</v>
      </c>
      <c r="B307">
        <v>655</v>
      </c>
    </row>
    <row r="308" spans="1:2">
      <c r="A308">
        <v>309</v>
      </c>
      <c r="B308">
        <v>656</v>
      </c>
    </row>
    <row r="309" spans="1:2">
      <c r="A309">
        <v>310</v>
      </c>
      <c r="B309">
        <v>657</v>
      </c>
    </row>
    <row r="310" spans="1:2">
      <c r="A310">
        <v>311</v>
      </c>
      <c r="B310">
        <v>658</v>
      </c>
    </row>
    <row r="311" spans="1:2">
      <c r="A311">
        <v>312</v>
      </c>
      <c r="B311">
        <v>659</v>
      </c>
    </row>
    <row r="312" spans="1:2">
      <c r="A312">
        <v>313</v>
      </c>
      <c r="B312">
        <v>660</v>
      </c>
    </row>
    <row r="313" spans="1:2">
      <c r="A313">
        <v>314</v>
      </c>
      <c r="B313">
        <v>661</v>
      </c>
    </row>
    <row r="314" spans="1:2">
      <c r="A314">
        <v>315</v>
      </c>
      <c r="B314">
        <v>662</v>
      </c>
    </row>
    <row r="315" spans="1:2">
      <c r="A315">
        <v>316</v>
      </c>
      <c r="B315">
        <v>663</v>
      </c>
    </row>
    <row r="316" spans="1:2">
      <c r="A316">
        <v>317</v>
      </c>
      <c r="B316">
        <v>664</v>
      </c>
    </row>
    <row r="317" spans="1:2">
      <c r="A317">
        <v>318</v>
      </c>
      <c r="B317">
        <v>665</v>
      </c>
    </row>
    <row r="318" spans="1:2">
      <c r="A318">
        <v>319</v>
      </c>
      <c r="B318">
        <v>666</v>
      </c>
    </row>
    <row r="319" spans="1:2">
      <c r="A319">
        <v>320</v>
      </c>
      <c r="B319">
        <v>667</v>
      </c>
    </row>
    <row r="320" spans="1:2">
      <c r="A320">
        <v>321</v>
      </c>
      <c r="B320">
        <v>668</v>
      </c>
    </row>
    <row r="321" spans="1:2">
      <c r="A321">
        <v>322</v>
      </c>
      <c r="B321">
        <v>669</v>
      </c>
    </row>
    <row r="322" spans="1:2">
      <c r="A322">
        <v>323</v>
      </c>
      <c r="B322">
        <v>670</v>
      </c>
    </row>
    <row r="323" spans="1:2">
      <c r="A323">
        <v>324</v>
      </c>
      <c r="B323">
        <v>671</v>
      </c>
    </row>
    <row r="324" spans="1:2">
      <c r="A324">
        <v>325</v>
      </c>
      <c r="B324">
        <v>672</v>
      </c>
    </row>
    <row r="325" spans="1:2">
      <c r="A325">
        <v>326</v>
      </c>
      <c r="B325">
        <v>673</v>
      </c>
    </row>
    <row r="326" spans="1:2">
      <c r="A326">
        <v>327</v>
      </c>
      <c r="B326">
        <v>674</v>
      </c>
    </row>
    <row r="327" spans="1:2">
      <c r="A327">
        <v>328</v>
      </c>
      <c r="B327">
        <v>675</v>
      </c>
    </row>
    <row r="328" spans="1:2">
      <c r="A328">
        <v>329</v>
      </c>
      <c r="B328">
        <v>676</v>
      </c>
    </row>
    <row r="329" spans="1:2">
      <c r="A329">
        <v>330</v>
      </c>
      <c r="B329">
        <v>677</v>
      </c>
    </row>
    <row r="330" spans="1:2">
      <c r="A330">
        <v>331</v>
      </c>
      <c r="B330">
        <v>678</v>
      </c>
    </row>
    <row r="331" spans="1:2">
      <c r="A331">
        <v>332</v>
      </c>
      <c r="B331">
        <v>679</v>
      </c>
    </row>
    <row r="332" spans="1:2">
      <c r="A332">
        <v>333</v>
      </c>
      <c r="B332">
        <v>680</v>
      </c>
    </row>
    <row r="333" spans="1:2">
      <c r="A333">
        <v>334</v>
      </c>
      <c r="B333">
        <v>681</v>
      </c>
    </row>
    <row r="334" spans="1:2">
      <c r="A334">
        <v>335</v>
      </c>
      <c r="B334">
        <v>682</v>
      </c>
    </row>
    <row r="335" spans="1:2">
      <c r="A335">
        <v>336</v>
      </c>
      <c r="B335">
        <v>683</v>
      </c>
    </row>
    <row r="336" spans="1:2">
      <c r="A336">
        <v>337</v>
      </c>
      <c r="B336">
        <v>684</v>
      </c>
    </row>
    <row r="337" spans="1:2">
      <c r="A337">
        <v>338</v>
      </c>
      <c r="B337">
        <v>685</v>
      </c>
    </row>
    <row r="338" spans="1:2">
      <c r="A338">
        <v>339</v>
      </c>
      <c r="B338">
        <v>686</v>
      </c>
    </row>
    <row r="339" spans="1:2">
      <c r="A339">
        <v>340</v>
      </c>
      <c r="B339">
        <v>687</v>
      </c>
    </row>
    <row r="340" spans="1:2">
      <c r="A340">
        <v>341</v>
      </c>
      <c r="B340">
        <v>688</v>
      </c>
    </row>
    <row r="341" spans="1:2">
      <c r="A341">
        <v>342</v>
      </c>
      <c r="B341">
        <v>689</v>
      </c>
    </row>
    <row r="342" spans="1:2">
      <c r="A342">
        <v>343</v>
      </c>
      <c r="B342">
        <v>690</v>
      </c>
    </row>
    <row r="343" spans="1:2">
      <c r="A343">
        <v>344</v>
      </c>
      <c r="B343">
        <v>691</v>
      </c>
    </row>
    <row r="344" spans="1:2">
      <c r="A344">
        <v>345</v>
      </c>
      <c r="B344">
        <v>692</v>
      </c>
    </row>
    <row r="345" spans="1:2">
      <c r="A345">
        <v>346</v>
      </c>
      <c r="B345">
        <v>693</v>
      </c>
    </row>
    <row r="346" spans="1:2">
      <c r="A346">
        <v>347</v>
      </c>
      <c r="B346">
        <v>694</v>
      </c>
    </row>
    <row r="347" spans="1:2">
      <c r="A347">
        <v>348</v>
      </c>
      <c r="B347">
        <v>695</v>
      </c>
    </row>
    <row r="348" spans="1:2">
      <c r="A348">
        <v>349</v>
      </c>
      <c r="B348">
        <v>696</v>
      </c>
    </row>
    <row r="349" spans="1:2">
      <c r="A349">
        <v>350</v>
      </c>
      <c r="B349">
        <v>697</v>
      </c>
    </row>
    <row r="350" spans="1:2">
      <c r="A350">
        <v>351</v>
      </c>
      <c r="B350">
        <v>698</v>
      </c>
    </row>
    <row r="351" spans="1:2">
      <c r="A351">
        <v>352</v>
      </c>
      <c r="B351">
        <v>699</v>
      </c>
    </row>
    <row r="352" spans="1:2">
      <c r="A352">
        <v>353</v>
      </c>
      <c r="B352">
        <v>700</v>
      </c>
    </row>
    <row r="353" spans="1:2">
      <c r="A353">
        <v>354</v>
      </c>
      <c r="B353">
        <v>701</v>
      </c>
    </row>
    <row r="354" spans="1:2">
      <c r="A354">
        <v>355</v>
      </c>
      <c r="B354">
        <v>702</v>
      </c>
    </row>
    <row r="355" spans="1:2">
      <c r="A355">
        <v>356</v>
      </c>
      <c r="B355">
        <v>703</v>
      </c>
    </row>
    <row r="356" spans="1:2">
      <c r="A356">
        <v>357</v>
      </c>
      <c r="B356">
        <v>704</v>
      </c>
    </row>
    <row r="357" spans="1:2">
      <c r="A357">
        <v>358</v>
      </c>
      <c r="B357">
        <v>705</v>
      </c>
    </row>
    <row r="358" spans="1:2">
      <c r="A358">
        <v>359</v>
      </c>
      <c r="B358">
        <v>706</v>
      </c>
    </row>
    <row r="359" spans="1:2">
      <c r="A359">
        <v>360</v>
      </c>
      <c r="B359">
        <v>707</v>
      </c>
    </row>
    <row r="360" spans="1:2">
      <c r="A360">
        <v>361</v>
      </c>
      <c r="B360">
        <v>708</v>
      </c>
    </row>
    <row r="361" spans="1:2">
      <c r="A361">
        <v>362</v>
      </c>
      <c r="B361">
        <v>709</v>
      </c>
    </row>
    <row r="362" spans="1:2">
      <c r="A362">
        <v>363</v>
      </c>
      <c r="B362">
        <v>710</v>
      </c>
    </row>
    <row r="363" spans="1:2">
      <c r="A363">
        <v>364</v>
      </c>
      <c r="B363">
        <v>711</v>
      </c>
    </row>
    <row r="364" spans="1:2">
      <c r="A364">
        <v>365</v>
      </c>
      <c r="B364">
        <v>712</v>
      </c>
    </row>
    <row r="365" spans="1:2">
      <c r="A365">
        <v>366</v>
      </c>
      <c r="B365">
        <v>713</v>
      </c>
    </row>
    <row r="366" spans="1:2">
      <c r="A366">
        <v>367</v>
      </c>
      <c r="B366">
        <v>714</v>
      </c>
    </row>
    <row r="367" spans="1:2">
      <c r="A367">
        <v>368</v>
      </c>
      <c r="B367">
        <v>715</v>
      </c>
    </row>
    <row r="368" spans="1:2">
      <c r="A368">
        <v>369</v>
      </c>
      <c r="B368">
        <v>716</v>
      </c>
    </row>
    <row r="369" spans="1:2">
      <c r="A369">
        <v>370</v>
      </c>
      <c r="B369">
        <v>717</v>
      </c>
    </row>
    <row r="370" spans="1:2">
      <c r="A370">
        <v>371</v>
      </c>
      <c r="B370">
        <v>718</v>
      </c>
    </row>
    <row r="371" spans="1:2">
      <c r="A371">
        <v>372</v>
      </c>
      <c r="B371">
        <v>719</v>
      </c>
    </row>
    <row r="372" spans="1:2">
      <c r="A372">
        <v>373</v>
      </c>
      <c r="B372">
        <v>720</v>
      </c>
    </row>
    <row r="373" spans="1:2">
      <c r="A373">
        <v>374</v>
      </c>
      <c r="B373">
        <v>721</v>
      </c>
    </row>
    <row r="374" spans="1:2">
      <c r="A374">
        <v>375</v>
      </c>
      <c r="B374">
        <v>722</v>
      </c>
    </row>
    <row r="375" spans="1:2">
      <c r="A375">
        <v>376</v>
      </c>
      <c r="B375">
        <v>723</v>
      </c>
    </row>
    <row r="376" spans="1:2">
      <c r="A376">
        <v>377</v>
      </c>
      <c r="B376">
        <v>724</v>
      </c>
    </row>
    <row r="377" spans="1:2">
      <c r="A377">
        <v>378</v>
      </c>
      <c r="B377">
        <v>725</v>
      </c>
    </row>
    <row r="378" spans="1:2">
      <c r="A378">
        <v>379</v>
      </c>
      <c r="B378">
        <v>726</v>
      </c>
    </row>
    <row r="379" spans="1:2">
      <c r="A379">
        <v>380</v>
      </c>
      <c r="B379">
        <v>727</v>
      </c>
    </row>
    <row r="380" spans="1:2">
      <c r="A380">
        <v>381</v>
      </c>
      <c r="B380">
        <v>728</v>
      </c>
    </row>
    <row r="381" spans="1:2">
      <c r="A381">
        <v>382</v>
      </c>
      <c r="B381">
        <v>729</v>
      </c>
    </row>
    <row r="382" spans="1:2">
      <c r="A382">
        <v>383</v>
      </c>
      <c r="B382">
        <v>730</v>
      </c>
    </row>
    <row r="383" spans="1:2">
      <c r="A383">
        <v>384</v>
      </c>
      <c r="B383">
        <v>731</v>
      </c>
    </row>
    <row r="384" spans="1:2">
      <c r="A384">
        <v>385</v>
      </c>
      <c r="B384">
        <v>732</v>
      </c>
    </row>
    <row r="385" spans="1:2">
      <c r="A385">
        <v>386</v>
      </c>
      <c r="B385">
        <v>733</v>
      </c>
    </row>
    <row r="386" spans="1:2">
      <c r="A386">
        <v>387</v>
      </c>
      <c r="B386">
        <v>734</v>
      </c>
    </row>
    <row r="387" spans="1:2">
      <c r="A387">
        <v>388</v>
      </c>
      <c r="B387">
        <v>735</v>
      </c>
    </row>
    <row r="388" spans="1:2">
      <c r="A388">
        <v>389</v>
      </c>
      <c r="B388">
        <v>736</v>
      </c>
    </row>
    <row r="389" spans="1:2">
      <c r="A389">
        <v>390</v>
      </c>
      <c r="B389">
        <v>737</v>
      </c>
    </row>
    <row r="390" spans="1:2">
      <c r="A390">
        <v>391</v>
      </c>
      <c r="B390">
        <v>738</v>
      </c>
    </row>
    <row r="391" spans="1:2">
      <c r="A391">
        <v>392</v>
      </c>
      <c r="B391">
        <v>739</v>
      </c>
    </row>
    <row r="392" spans="1:2">
      <c r="A392">
        <v>393</v>
      </c>
      <c r="B392">
        <v>740</v>
      </c>
    </row>
    <row r="393" spans="1:2">
      <c r="A393">
        <v>394</v>
      </c>
      <c r="B393">
        <v>741</v>
      </c>
    </row>
    <row r="394" spans="1:2">
      <c r="A394">
        <v>395</v>
      </c>
      <c r="B394">
        <v>742</v>
      </c>
    </row>
    <row r="395" spans="1:2">
      <c r="A395">
        <v>396</v>
      </c>
      <c r="B395">
        <v>743</v>
      </c>
    </row>
    <row r="396" spans="1:2">
      <c r="A396">
        <v>397</v>
      </c>
      <c r="B396">
        <v>744</v>
      </c>
    </row>
    <row r="397" spans="1:2">
      <c r="A397">
        <v>398</v>
      </c>
      <c r="B397">
        <v>745</v>
      </c>
    </row>
    <row r="398" spans="1:2">
      <c r="A398">
        <v>399</v>
      </c>
      <c r="B398">
        <v>746</v>
      </c>
    </row>
    <row r="399" spans="1:2">
      <c r="A399">
        <v>400</v>
      </c>
      <c r="B399">
        <v>747</v>
      </c>
    </row>
    <row r="400" spans="1:2">
      <c r="A400">
        <v>401</v>
      </c>
      <c r="B400">
        <v>748</v>
      </c>
    </row>
    <row r="401" spans="1:2">
      <c r="A401">
        <v>402</v>
      </c>
      <c r="B401">
        <v>749</v>
      </c>
    </row>
    <row r="402" spans="1:2">
      <c r="A402">
        <v>403</v>
      </c>
      <c r="B402">
        <v>750</v>
      </c>
    </row>
    <row r="403" spans="1:2">
      <c r="A403">
        <v>404</v>
      </c>
      <c r="B403">
        <v>751</v>
      </c>
    </row>
    <row r="404" spans="1:2">
      <c r="A404">
        <v>405</v>
      </c>
      <c r="B404">
        <v>752</v>
      </c>
    </row>
    <row r="405" spans="1:2">
      <c r="A405">
        <v>406</v>
      </c>
      <c r="B405">
        <v>753</v>
      </c>
    </row>
    <row r="406" spans="1:2">
      <c r="A406">
        <v>407</v>
      </c>
      <c r="B406">
        <v>754</v>
      </c>
    </row>
    <row r="407" spans="1:2">
      <c r="A407">
        <v>408</v>
      </c>
      <c r="B407">
        <v>755</v>
      </c>
    </row>
    <row r="408" spans="1:2">
      <c r="A408">
        <v>409</v>
      </c>
      <c r="B408">
        <v>756</v>
      </c>
    </row>
    <row r="409" spans="1:2">
      <c r="A409">
        <v>410</v>
      </c>
      <c r="B409">
        <v>757</v>
      </c>
    </row>
    <row r="410" spans="1:2">
      <c r="A410">
        <v>411</v>
      </c>
      <c r="B410">
        <v>758</v>
      </c>
    </row>
    <row r="411" spans="1:2">
      <c r="A411">
        <v>412</v>
      </c>
      <c r="B411">
        <v>759</v>
      </c>
    </row>
    <row r="412" spans="1:2">
      <c r="A412">
        <v>413</v>
      </c>
      <c r="B412">
        <v>760</v>
      </c>
    </row>
    <row r="413" spans="1:2">
      <c r="A413">
        <v>414</v>
      </c>
      <c r="B413">
        <v>761</v>
      </c>
    </row>
    <row r="414" spans="1:2">
      <c r="A414">
        <v>415</v>
      </c>
      <c r="B414">
        <v>762</v>
      </c>
    </row>
    <row r="415" spans="1:2">
      <c r="A415">
        <v>416</v>
      </c>
      <c r="B415">
        <v>763</v>
      </c>
    </row>
    <row r="416" spans="1:2">
      <c r="A416">
        <v>417</v>
      </c>
      <c r="B416">
        <v>764</v>
      </c>
    </row>
    <row r="417" spans="1:2">
      <c r="A417">
        <v>418</v>
      </c>
      <c r="B417">
        <v>765</v>
      </c>
    </row>
    <row r="418" spans="1:2">
      <c r="A418">
        <v>419</v>
      </c>
      <c r="B418">
        <v>766</v>
      </c>
    </row>
    <row r="419" spans="1:2">
      <c r="A419">
        <v>420</v>
      </c>
      <c r="B419">
        <v>767</v>
      </c>
    </row>
    <row r="420" spans="1:2">
      <c r="A420">
        <v>421</v>
      </c>
      <c r="B420">
        <v>768</v>
      </c>
    </row>
    <row r="421" spans="1:2">
      <c r="A421">
        <v>422</v>
      </c>
      <c r="B421">
        <v>769</v>
      </c>
    </row>
    <row r="422" spans="1:2">
      <c r="A422">
        <v>423</v>
      </c>
      <c r="B422">
        <v>770</v>
      </c>
    </row>
    <row r="423" spans="1:2">
      <c r="A423">
        <v>424</v>
      </c>
      <c r="B423">
        <v>771</v>
      </c>
    </row>
    <row r="424" spans="1:2">
      <c r="A424">
        <v>425</v>
      </c>
      <c r="B424">
        <v>772</v>
      </c>
    </row>
    <row r="425" spans="1:2">
      <c r="A425">
        <v>426</v>
      </c>
      <c r="B425">
        <v>773</v>
      </c>
    </row>
    <row r="426" spans="1:2">
      <c r="A426">
        <v>427</v>
      </c>
      <c r="B426">
        <v>774</v>
      </c>
    </row>
    <row r="427" spans="1:2">
      <c r="A427">
        <v>428</v>
      </c>
      <c r="B427">
        <v>775</v>
      </c>
    </row>
    <row r="428" spans="1:2">
      <c r="A428">
        <v>429</v>
      </c>
      <c r="B428">
        <v>776</v>
      </c>
    </row>
    <row r="429" spans="1:2">
      <c r="A429">
        <v>430</v>
      </c>
      <c r="B429">
        <v>777</v>
      </c>
    </row>
    <row r="430" spans="1:2">
      <c r="A430">
        <v>431</v>
      </c>
      <c r="B430">
        <v>778</v>
      </c>
    </row>
    <row r="431" spans="1:2">
      <c r="A431">
        <v>432</v>
      </c>
      <c r="B431">
        <v>779</v>
      </c>
    </row>
    <row r="432" spans="1:2">
      <c r="A432">
        <v>433</v>
      </c>
      <c r="B432">
        <v>780</v>
      </c>
    </row>
    <row r="433" spans="1:2">
      <c r="A433">
        <v>434</v>
      </c>
      <c r="B433">
        <v>781</v>
      </c>
    </row>
    <row r="434" spans="1:2">
      <c r="A434">
        <v>435</v>
      </c>
      <c r="B434">
        <v>782</v>
      </c>
    </row>
    <row r="435" spans="1:2">
      <c r="A435">
        <v>436</v>
      </c>
      <c r="B435">
        <v>783</v>
      </c>
    </row>
    <row r="436" spans="1:2">
      <c r="A436">
        <v>437</v>
      </c>
      <c r="B436">
        <v>784</v>
      </c>
    </row>
    <row r="437" spans="1:2">
      <c r="A437">
        <v>438</v>
      </c>
      <c r="B437">
        <v>785</v>
      </c>
    </row>
    <row r="438" spans="1:2">
      <c r="A438">
        <v>439</v>
      </c>
      <c r="B438">
        <v>786</v>
      </c>
    </row>
    <row r="439" spans="1:2">
      <c r="A439">
        <v>440</v>
      </c>
      <c r="B439">
        <v>787</v>
      </c>
    </row>
    <row r="440" spans="1:2">
      <c r="A440">
        <v>441</v>
      </c>
      <c r="B440">
        <v>788</v>
      </c>
    </row>
    <row r="441" spans="1:2">
      <c r="A441">
        <v>442</v>
      </c>
      <c r="B441">
        <v>789</v>
      </c>
    </row>
    <row r="442" spans="1:2">
      <c r="A442">
        <v>443</v>
      </c>
      <c r="B442">
        <v>790</v>
      </c>
    </row>
    <row r="443" spans="1:2">
      <c r="A443">
        <v>444</v>
      </c>
      <c r="B443">
        <v>791</v>
      </c>
    </row>
    <row r="444" spans="1:2">
      <c r="A444">
        <v>445</v>
      </c>
      <c r="B444">
        <v>792</v>
      </c>
    </row>
    <row r="445" spans="1:2">
      <c r="A445">
        <v>446</v>
      </c>
      <c r="B445">
        <v>793</v>
      </c>
    </row>
    <row r="446" spans="1:2">
      <c r="A446">
        <v>447</v>
      </c>
      <c r="B446">
        <v>794</v>
      </c>
    </row>
    <row r="447" spans="1:2">
      <c r="A447">
        <v>448</v>
      </c>
      <c r="B447">
        <v>795</v>
      </c>
    </row>
    <row r="448" spans="1:2">
      <c r="A448">
        <v>449</v>
      </c>
      <c r="B448">
        <v>796</v>
      </c>
    </row>
    <row r="449" spans="1:2">
      <c r="A449">
        <v>450</v>
      </c>
      <c r="B449">
        <v>797</v>
      </c>
    </row>
    <row r="450" spans="1:2">
      <c r="A450">
        <v>451</v>
      </c>
      <c r="B450">
        <v>798</v>
      </c>
    </row>
    <row r="451" spans="1:2">
      <c r="A451">
        <v>452</v>
      </c>
      <c r="B451">
        <v>799</v>
      </c>
    </row>
    <row r="452" spans="1:2">
      <c r="A452">
        <v>453</v>
      </c>
      <c r="B452">
        <v>800</v>
      </c>
    </row>
    <row r="453" spans="1:2">
      <c r="A453">
        <v>454</v>
      </c>
      <c r="B453">
        <v>801</v>
      </c>
    </row>
    <row r="454" spans="1:2">
      <c r="A454">
        <v>455</v>
      </c>
      <c r="B454">
        <v>802</v>
      </c>
    </row>
    <row r="455" spans="1:2">
      <c r="A455">
        <v>456</v>
      </c>
      <c r="B455">
        <v>803</v>
      </c>
    </row>
    <row r="456" spans="1:2">
      <c r="A456">
        <v>457</v>
      </c>
      <c r="B456">
        <v>804</v>
      </c>
    </row>
    <row r="457" spans="1:2">
      <c r="A457">
        <v>458</v>
      </c>
      <c r="B457">
        <v>805</v>
      </c>
    </row>
    <row r="458" spans="1:2">
      <c r="A458">
        <v>459</v>
      </c>
      <c r="B458">
        <v>806</v>
      </c>
    </row>
    <row r="459" spans="1:2">
      <c r="A459">
        <v>460</v>
      </c>
      <c r="B459">
        <v>807</v>
      </c>
    </row>
    <row r="460" spans="1:2">
      <c r="A460">
        <v>461</v>
      </c>
      <c r="B460">
        <v>808</v>
      </c>
    </row>
    <row r="461" spans="1:2">
      <c r="A461">
        <v>462</v>
      </c>
      <c r="B461">
        <v>809</v>
      </c>
    </row>
    <row r="462" spans="1:2">
      <c r="A462">
        <v>463</v>
      </c>
      <c r="B462">
        <v>810</v>
      </c>
    </row>
    <row r="463" spans="1:2">
      <c r="A463">
        <v>464</v>
      </c>
      <c r="B463">
        <v>811</v>
      </c>
    </row>
    <row r="464" spans="1:2">
      <c r="A464">
        <v>465</v>
      </c>
      <c r="B464">
        <v>812</v>
      </c>
    </row>
    <row r="465" spans="1:2">
      <c r="A465">
        <v>466</v>
      </c>
      <c r="B465">
        <v>813</v>
      </c>
    </row>
    <row r="466" spans="1:2">
      <c r="A466">
        <v>467</v>
      </c>
      <c r="B466">
        <v>814</v>
      </c>
    </row>
    <row r="467" spans="1:2">
      <c r="A467">
        <v>468</v>
      </c>
      <c r="B467">
        <v>815</v>
      </c>
    </row>
    <row r="468" spans="1:2">
      <c r="A468">
        <v>469</v>
      </c>
      <c r="B468">
        <v>816</v>
      </c>
    </row>
    <row r="469" spans="1:2">
      <c r="A469">
        <v>470</v>
      </c>
      <c r="B469">
        <v>817</v>
      </c>
    </row>
    <row r="470" spans="1:2">
      <c r="A470">
        <v>471</v>
      </c>
      <c r="B470">
        <v>818</v>
      </c>
    </row>
    <row r="471" spans="1:2">
      <c r="A471">
        <v>472</v>
      </c>
      <c r="B471">
        <v>819</v>
      </c>
    </row>
    <row r="472" spans="1:2">
      <c r="A472">
        <v>473</v>
      </c>
      <c r="B472">
        <v>820</v>
      </c>
    </row>
    <row r="473" spans="1:2">
      <c r="A473">
        <v>474</v>
      </c>
      <c r="B473">
        <v>821</v>
      </c>
    </row>
    <row r="474" spans="1:2">
      <c r="A474">
        <v>475</v>
      </c>
      <c r="B474">
        <v>822</v>
      </c>
    </row>
    <row r="475" spans="1:2">
      <c r="A475">
        <v>476</v>
      </c>
      <c r="B475">
        <v>823</v>
      </c>
    </row>
    <row r="476" spans="1:2">
      <c r="A476">
        <v>477</v>
      </c>
      <c r="B476">
        <v>824</v>
      </c>
    </row>
    <row r="477" spans="1:2">
      <c r="A477">
        <v>478</v>
      </c>
      <c r="B477">
        <v>825</v>
      </c>
    </row>
    <row r="478" spans="1:2">
      <c r="A478">
        <v>479</v>
      </c>
      <c r="B478">
        <v>826</v>
      </c>
    </row>
    <row r="479" spans="1:2">
      <c r="A479">
        <v>480</v>
      </c>
      <c r="B479">
        <v>827</v>
      </c>
    </row>
    <row r="480" spans="1:2">
      <c r="A480">
        <v>481</v>
      </c>
      <c r="B480">
        <v>828</v>
      </c>
    </row>
    <row r="481" spans="1:2">
      <c r="A481">
        <v>482</v>
      </c>
      <c r="B481">
        <v>829</v>
      </c>
    </row>
    <row r="482" spans="1:2">
      <c r="A482">
        <v>483</v>
      </c>
      <c r="B482">
        <v>830</v>
      </c>
    </row>
    <row r="483" spans="1:2">
      <c r="A483">
        <v>484</v>
      </c>
      <c r="B483">
        <v>831</v>
      </c>
    </row>
    <row r="484" spans="1:2">
      <c r="A484">
        <v>485</v>
      </c>
      <c r="B484">
        <v>832</v>
      </c>
    </row>
    <row r="485" spans="1:2">
      <c r="A485">
        <v>486</v>
      </c>
      <c r="B485">
        <v>833</v>
      </c>
    </row>
    <row r="486" spans="1:2">
      <c r="A486">
        <v>487</v>
      </c>
      <c r="B486">
        <v>834</v>
      </c>
    </row>
    <row r="487" spans="1:2">
      <c r="A487">
        <v>488</v>
      </c>
      <c r="B487">
        <v>835</v>
      </c>
    </row>
    <row r="488" spans="1:2">
      <c r="A488">
        <v>489</v>
      </c>
      <c r="B488">
        <v>836</v>
      </c>
    </row>
    <row r="489" spans="1:2">
      <c r="A489">
        <v>490</v>
      </c>
      <c r="B489">
        <v>837</v>
      </c>
    </row>
    <row r="490" spans="1:2">
      <c r="A490">
        <v>491</v>
      </c>
      <c r="B490">
        <v>838</v>
      </c>
    </row>
    <row r="491" spans="1:2">
      <c r="A491">
        <v>492</v>
      </c>
      <c r="B491">
        <v>839</v>
      </c>
    </row>
    <row r="492" spans="1:2">
      <c r="A492">
        <v>493</v>
      </c>
      <c r="B492">
        <v>840</v>
      </c>
    </row>
    <row r="493" spans="1:2">
      <c r="A493">
        <v>494</v>
      </c>
      <c r="B493">
        <v>841</v>
      </c>
    </row>
    <row r="494" spans="1:2">
      <c r="A494">
        <v>495</v>
      </c>
      <c r="B494">
        <v>842</v>
      </c>
    </row>
    <row r="495" spans="1:2">
      <c r="A495">
        <v>496</v>
      </c>
      <c r="B495">
        <v>843</v>
      </c>
    </row>
    <row r="496" spans="1:2">
      <c r="A496">
        <v>497</v>
      </c>
      <c r="B496">
        <v>844</v>
      </c>
    </row>
    <row r="497" spans="1:2">
      <c r="A497">
        <v>498</v>
      </c>
      <c r="B497">
        <v>845</v>
      </c>
    </row>
    <row r="498" spans="1:2">
      <c r="A498">
        <v>499</v>
      </c>
      <c r="B498">
        <v>846</v>
      </c>
    </row>
    <row r="499" spans="1:2">
      <c r="A499">
        <v>500</v>
      </c>
      <c r="B499">
        <v>847</v>
      </c>
    </row>
    <row r="500" spans="1:2">
      <c r="A500">
        <v>501</v>
      </c>
      <c r="B500">
        <v>848</v>
      </c>
    </row>
    <row r="501" spans="1:2">
      <c r="A501">
        <v>502</v>
      </c>
      <c r="B501">
        <v>849</v>
      </c>
    </row>
    <row r="502" spans="1:2">
      <c r="A502">
        <v>503</v>
      </c>
      <c r="B502">
        <v>850</v>
      </c>
    </row>
    <row r="503" spans="1:2">
      <c r="A503">
        <v>504</v>
      </c>
      <c r="B503">
        <v>851</v>
      </c>
    </row>
    <row r="504" spans="1:2">
      <c r="A504">
        <v>505</v>
      </c>
      <c r="B504">
        <v>852</v>
      </c>
    </row>
    <row r="505" spans="1:2">
      <c r="A505">
        <v>506</v>
      </c>
      <c r="B505">
        <v>853</v>
      </c>
    </row>
    <row r="506" spans="1:2">
      <c r="A506">
        <v>507</v>
      </c>
      <c r="B506">
        <v>854</v>
      </c>
    </row>
    <row r="507" spans="1:2">
      <c r="A507">
        <v>508</v>
      </c>
      <c r="B507">
        <v>855</v>
      </c>
    </row>
    <row r="508" spans="1:2">
      <c r="A508">
        <v>509</v>
      </c>
      <c r="B508">
        <v>856</v>
      </c>
    </row>
    <row r="509" spans="1:2">
      <c r="A509">
        <v>510</v>
      </c>
      <c r="B509">
        <v>857</v>
      </c>
    </row>
    <row r="510" spans="1:2">
      <c r="A510">
        <v>511</v>
      </c>
      <c r="B510">
        <v>858</v>
      </c>
    </row>
    <row r="511" spans="1:2">
      <c r="A511">
        <v>512</v>
      </c>
      <c r="B511">
        <v>859</v>
      </c>
    </row>
    <row r="512" spans="1:2">
      <c r="A512">
        <v>513</v>
      </c>
      <c r="B512">
        <v>860</v>
      </c>
    </row>
    <row r="513" spans="1:2">
      <c r="A513">
        <v>514</v>
      </c>
      <c r="B513">
        <v>861</v>
      </c>
    </row>
    <row r="514" spans="1:2">
      <c r="A514">
        <v>515</v>
      </c>
      <c r="B514">
        <v>862</v>
      </c>
    </row>
    <row r="515" spans="1:2">
      <c r="A515">
        <v>516</v>
      </c>
      <c r="B515">
        <v>863</v>
      </c>
    </row>
    <row r="516" spans="1:2">
      <c r="A516">
        <v>517</v>
      </c>
      <c r="B516">
        <v>864</v>
      </c>
    </row>
    <row r="517" spans="1:2">
      <c r="A517">
        <v>518</v>
      </c>
      <c r="B517">
        <v>865</v>
      </c>
    </row>
    <row r="518" spans="1:2">
      <c r="A518">
        <v>519</v>
      </c>
      <c r="B518">
        <v>866</v>
      </c>
    </row>
    <row r="519" spans="1:2">
      <c r="A519">
        <v>520</v>
      </c>
      <c r="B519">
        <v>867</v>
      </c>
    </row>
    <row r="520" spans="1:2">
      <c r="A520">
        <v>521</v>
      </c>
      <c r="B520">
        <v>868</v>
      </c>
    </row>
    <row r="521" spans="1:2">
      <c r="A521">
        <v>522</v>
      </c>
      <c r="B521">
        <v>869</v>
      </c>
    </row>
    <row r="522" spans="1:2">
      <c r="A522">
        <v>523</v>
      </c>
      <c r="B522">
        <v>870</v>
      </c>
    </row>
    <row r="523" spans="1:2">
      <c r="A523">
        <v>524</v>
      </c>
      <c r="B523">
        <v>871</v>
      </c>
    </row>
    <row r="524" spans="1:2">
      <c r="A524">
        <v>525</v>
      </c>
      <c r="B524">
        <v>872</v>
      </c>
    </row>
    <row r="525" spans="1:2">
      <c r="A525">
        <v>526</v>
      </c>
      <c r="B525">
        <v>873</v>
      </c>
    </row>
    <row r="526" spans="1:2">
      <c r="A526">
        <v>527</v>
      </c>
      <c r="B526">
        <v>874</v>
      </c>
    </row>
    <row r="527" spans="1:2">
      <c r="A527">
        <v>528</v>
      </c>
      <c r="B527">
        <v>875</v>
      </c>
    </row>
    <row r="528" spans="1:2">
      <c r="A528">
        <v>529</v>
      </c>
      <c r="B528">
        <v>876</v>
      </c>
    </row>
    <row r="529" spans="1:2">
      <c r="A529">
        <v>530</v>
      </c>
      <c r="B529">
        <v>877</v>
      </c>
    </row>
    <row r="530" spans="1:2">
      <c r="A530">
        <v>531</v>
      </c>
      <c r="B530">
        <v>878</v>
      </c>
    </row>
    <row r="531" spans="1:2">
      <c r="A531">
        <v>532</v>
      </c>
      <c r="B531">
        <v>879</v>
      </c>
    </row>
    <row r="532" spans="1:2">
      <c r="A532">
        <v>533</v>
      </c>
      <c r="B532">
        <v>880</v>
      </c>
    </row>
    <row r="533" spans="1:2">
      <c r="A533">
        <v>534</v>
      </c>
      <c r="B533">
        <v>881</v>
      </c>
    </row>
    <row r="534" spans="1:2">
      <c r="A534">
        <v>535</v>
      </c>
      <c r="B534">
        <v>882</v>
      </c>
    </row>
    <row r="535" spans="1:2">
      <c r="A535">
        <v>536</v>
      </c>
      <c r="B535">
        <v>883</v>
      </c>
    </row>
    <row r="536" spans="1:2">
      <c r="A536">
        <v>537</v>
      </c>
      <c r="B536">
        <v>884</v>
      </c>
    </row>
    <row r="537" spans="1:2">
      <c r="A537">
        <v>538</v>
      </c>
      <c r="B537">
        <v>885</v>
      </c>
    </row>
    <row r="538" spans="1:2">
      <c r="A538">
        <v>539</v>
      </c>
      <c r="B538">
        <v>886</v>
      </c>
    </row>
    <row r="539" spans="1:2">
      <c r="A539">
        <v>540</v>
      </c>
      <c r="B539">
        <v>887</v>
      </c>
    </row>
    <row r="540" spans="1:2">
      <c r="A540">
        <v>541</v>
      </c>
      <c r="B540">
        <v>888</v>
      </c>
    </row>
    <row r="541" spans="1:2">
      <c r="A541">
        <v>542</v>
      </c>
      <c r="B541">
        <v>889</v>
      </c>
    </row>
    <row r="542" spans="1:2">
      <c r="A542">
        <v>543</v>
      </c>
      <c r="B542">
        <v>890</v>
      </c>
    </row>
    <row r="543" spans="1:2">
      <c r="A543">
        <v>544</v>
      </c>
      <c r="B543">
        <v>891</v>
      </c>
    </row>
    <row r="544" spans="1:2">
      <c r="A544">
        <v>545</v>
      </c>
      <c r="B544">
        <v>892</v>
      </c>
    </row>
    <row r="545" spans="1:2">
      <c r="A545">
        <v>546</v>
      </c>
      <c r="B545">
        <v>893</v>
      </c>
    </row>
    <row r="546" spans="1:2">
      <c r="A546">
        <v>547</v>
      </c>
      <c r="B546">
        <v>894</v>
      </c>
    </row>
    <row r="547" spans="1:2">
      <c r="A547">
        <v>548</v>
      </c>
      <c r="B547">
        <v>895</v>
      </c>
    </row>
    <row r="548" spans="1:2">
      <c r="A548">
        <v>549</v>
      </c>
      <c r="B548">
        <v>896</v>
      </c>
    </row>
    <row r="549" spans="1:2">
      <c r="A549">
        <v>550</v>
      </c>
      <c r="B549">
        <v>897</v>
      </c>
    </row>
    <row r="550" spans="1:2">
      <c r="A550">
        <v>551</v>
      </c>
      <c r="B550">
        <v>898</v>
      </c>
    </row>
    <row r="551" spans="1:2">
      <c r="A551">
        <v>552</v>
      </c>
      <c r="B551">
        <v>899</v>
      </c>
    </row>
    <row r="552" spans="1:2">
      <c r="A552">
        <v>553</v>
      </c>
      <c r="B552">
        <v>900</v>
      </c>
    </row>
    <row r="553" spans="1:2">
      <c r="A553">
        <v>554</v>
      </c>
      <c r="B553">
        <v>901</v>
      </c>
    </row>
    <row r="554" spans="1:2">
      <c r="A554">
        <v>555</v>
      </c>
      <c r="B554">
        <v>902</v>
      </c>
    </row>
    <row r="555" spans="1:2">
      <c r="A555">
        <v>556</v>
      </c>
      <c r="B555">
        <v>903</v>
      </c>
    </row>
    <row r="556" spans="1:2">
      <c r="A556">
        <v>557</v>
      </c>
      <c r="B556">
        <v>904</v>
      </c>
    </row>
    <row r="557" spans="1:2">
      <c r="A557">
        <v>558</v>
      </c>
      <c r="B557">
        <v>905</v>
      </c>
    </row>
    <row r="558" spans="1:2">
      <c r="A558">
        <v>559</v>
      </c>
      <c r="B558">
        <v>906</v>
      </c>
    </row>
    <row r="559" spans="1:2">
      <c r="A559">
        <v>560</v>
      </c>
      <c r="B559">
        <v>907</v>
      </c>
    </row>
    <row r="560" spans="1:2">
      <c r="A560">
        <v>561</v>
      </c>
      <c r="B560">
        <v>908</v>
      </c>
    </row>
    <row r="561" spans="1:2">
      <c r="A561">
        <v>562</v>
      </c>
      <c r="B561">
        <v>909</v>
      </c>
    </row>
    <row r="562" spans="1:2">
      <c r="A562">
        <v>563</v>
      </c>
      <c r="B562">
        <v>910</v>
      </c>
    </row>
    <row r="563" spans="1:2">
      <c r="A563">
        <v>564</v>
      </c>
      <c r="B563">
        <v>911</v>
      </c>
    </row>
    <row r="564" spans="1:2">
      <c r="A564">
        <v>565</v>
      </c>
      <c r="B564">
        <v>912</v>
      </c>
    </row>
    <row r="565" spans="1:2">
      <c r="A565">
        <v>566</v>
      </c>
      <c r="B565">
        <v>913</v>
      </c>
    </row>
    <row r="566" spans="1:2">
      <c r="A566">
        <v>567</v>
      </c>
      <c r="B566">
        <v>914</v>
      </c>
    </row>
    <row r="567" spans="1:2">
      <c r="A567">
        <v>568</v>
      </c>
      <c r="B567">
        <v>915</v>
      </c>
    </row>
    <row r="568" spans="1:2">
      <c r="A568">
        <v>569</v>
      </c>
      <c r="B568">
        <v>916</v>
      </c>
    </row>
    <row r="569" spans="1:2">
      <c r="A569">
        <v>570</v>
      </c>
      <c r="B569">
        <v>917</v>
      </c>
    </row>
    <row r="570" spans="1:2">
      <c r="A570">
        <v>571</v>
      </c>
      <c r="B570">
        <v>918</v>
      </c>
    </row>
    <row r="571" spans="1:2">
      <c r="A571">
        <v>572</v>
      </c>
      <c r="B571">
        <v>919</v>
      </c>
    </row>
    <row r="572" spans="1:2">
      <c r="A572">
        <v>573</v>
      </c>
      <c r="B572">
        <v>920</v>
      </c>
    </row>
    <row r="573" spans="1:2">
      <c r="A573">
        <v>574</v>
      </c>
      <c r="B573">
        <v>921</v>
      </c>
    </row>
    <row r="574" spans="1:2">
      <c r="A574">
        <v>575</v>
      </c>
      <c r="B574">
        <v>922</v>
      </c>
    </row>
    <row r="575" spans="1:2">
      <c r="A575">
        <v>576</v>
      </c>
      <c r="B575">
        <v>923</v>
      </c>
    </row>
    <row r="576" spans="1:2">
      <c r="A576">
        <v>577</v>
      </c>
      <c r="B576">
        <v>924</v>
      </c>
    </row>
    <row r="577" spans="1:2">
      <c r="A577">
        <v>578</v>
      </c>
      <c r="B577">
        <v>925</v>
      </c>
    </row>
    <row r="578" spans="1:2">
      <c r="A578">
        <v>579</v>
      </c>
      <c r="B578">
        <v>926</v>
      </c>
    </row>
    <row r="579" spans="1:2">
      <c r="A579">
        <v>580</v>
      </c>
      <c r="B579">
        <v>927</v>
      </c>
    </row>
    <row r="580" spans="1:2">
      <c r="A580">
        <v>581</v>
      </c>
      <c r="B580">
        <v>928</v>
      </c>
    </row>
    <row r="581" spans="1:2">
      <c r="A581">
        <v>582</v>
      </c>
      <c r="B581">
        <v>929</v>
      </c>
    </row>
    <row r="582" spans="1:2">
      <c r="A582">
        <v>583</v>
      </c>
      <c r="B582">
        <v>930</v>
      </c>
    </row>
    <row r="583" spans="1:2">
      <c r="A583">
        <v>584</v>
      </c>
      <c r="B583">
        <v>931</v>
      </c>
    </row>
    <row r="584" spans="1:2">
      <c r="A584">
        <v>585</v>
      </c>
      <c r="B584">
        <v>932</v>
      </c>
    </row>
    <row r="585" spans="1:2">
      <c r="A585">
        <v>586</v>
      </c>
      <c r="B585">
        <v>933</v>
      </c>
    </row>
    <row r="586" spans="1:2">
      <c r="A586">
        <v>587</v>
      </c>
      <c r="B586">
        <v>934</v>
      </c>
    </row>
    <row r="587" spans="1:2">
      <c r="A587">
        <v>588</v>
      </c>
      <c r="B587">
        <v>935</v>
      </c>
    </row>
    <row r="588" spans="1:2">
      <c r="A588">
        <v>589</v>
      </c>
      <c r="B588">
        <v>936</v>
      </c>
    </row>
    <row r="589" spans="1:2">
      <c r="A589">
        <v>590</v>
      </c>
      <c r="B589">
        <v>937</v>
      </c>
    </row>
    <row r="590" spans="1:2">
      <c r="A590">
        <v>591</v>
      </c>
      <c r="B590">
        <v>938</v>
      </c>
    </row>
    <row r="591" spans="1:2">
      <c r="A591">
        <v>592</v>
      </c>
      <c r="B591">
        <v>939</v>
      </c>
    </row>
    <row r="592" spans="1:2">
      <c r="A592">
        <v>593</v>
      </c>
      <c r="B592">
        <v>940</v>
      </c>
    </row>
    <row r="593" spans="1:2">
      <c r="A593">
        <v>594</v>
      </c>
      <c r="B593">
        <v>941</v>
      </c>
    </row>
    <row r="594" spans="1:2">
      <c r="A594">
        <v>595</v>
      </c>
      <c r="B594">
        <v>942</v>
      </c>
    </row>
    <row r="595" spans="1:2">
      <c r="A595">
        <v>596</v>
      </c>
      <c r="B595">
        <v>943</v>
      </c>
    </row>
    <row r="596" spans="1:2">
      <c r="A596">
        <v>597</v>
      </c>
      <c r="B596">
        <v>944</v>
      </c>
    </row>
    <row r="597" spans="1:2">
      <c r="A597">
        <v>598</v>
      </c>
      <c r="B597">
        <v>945</v>
      </c>
    </row>
    <row r="598" spans="1:2">
      <c r="A598">
        <v>599</v>
      </c>
      <c r="B598">
        <v>946</v>
      </c>
    </row>
    <row r="599" spans="1:2">
      <c r="A599">
        <v>600</v>
      </c>
      <c r="B599">
        <v>947</v>
      </c>
    </row>
    <row r="600" spans="1:2">
      <c r="A600">
        <v>601</v>
      </c>
      <c r="B600">
        <v>948</v>
      </c>
    </row>
    <row r="601" spans="1:2">
      <c r="A601">
        <v>602</v>
      </c>
      <c r="B601">
        <v>949</v>
      </c>
    </row>
    <row r="602" spans="1:2">
      <c r="A602">
        <v>603</v>
      </c>
      <c r="B602">
        <v>950</v>
      </c>
    </row>
    <row r="603" spans="1:2">
      <c r="A603">
        <v>604</v>
      </c>
      <c r="B603">
        <v>951</v>
      </c>
    </row>
    <row r="604" spans="1:2">
      <c r="A604">
        <v>605</v>
      </c>
      <c r="B604">
        <v>952</v>
      </c>
    </row>
    <row r="605" spans="1:2">
      <c r="A605">
        <v>606</v>
      </c>
      <c r="B605">
        <v>953</v>
      </c>
    </row>
    <row r="606" spans="1:2">
      <c r="A606">
        <v>607</v>
      </c>
      <c r="B606">
        <v>954</v>
      </c>
    </row>
    <row r="607" spans="1:2">
      <c r="A607">
        <v>608</v>
      </c>
      <c r="B607">
        <v>955</v>
      </c>
    </row>
    <row r="608" spans="1:2">
      <c r="A608">
        <v>609</v>
      </c>
      <c r="B608">
        <v>956</v>
      </c>
    </row>
    <row r="609" spans="1:2">
      <c r="A609">
        <v>610</v>
      </c>
      <c r="B609">
        <v>957</v>
      </c>
    </row>
    <row r="610" spans="1:2">
      <c r="A610">
        <v>611</v>
      </c>
      <c r="B610">
        <v>958</v>
      </c>
    </row>
    <row r="611" spans="1:2">
      <c r="A611">
        <v>612</v>
      </c>
      <c r="B611">
        <v>959</v>
      </c>
    </row>
    <row r="612" spans="1:2">
      <c r="A612">
        <v>613</v>
      </c>
      <c r="B612">
        <v>960</v>
      </c>
    </row>
    <row r="613" spans="1:2">
      <c r="A613">
        <v>614</v>
      </c>
      <c r="B613">
        <v>961</v>
      </c>
    </row>
    <row r="614" spans="1:2">
      <c r="A614">
        <v>615</v>
      </c>
      <c r="B614">
        <v>962</v>
      </c>
    </row>
    <row r="615" spans="1:2">
      <c r="A615">
        <v>616</v>
      </c>
      <c r="B615">
        <v>963</v>
      </c>
    </row>
    <row r="616" spans="1:2">
      <c r="A616">
        <v>617</v>
      </c>
      <c r="B616">
        <v>964</v>
      </c>
    </row>
    <row r="617" spans="1:2">
      <c r="A617">
        <v>618</v>
      </c>
      <c r="B617">
        <v>965</v>
      </c>
    </row>
    <row r="618" spans="1:2">
      <c r="A618">
        <v>619</v>
      </c>
      <c r="B618">
        <v>966</v>
      </c>
    </row>
    <row r="619" spans="1:2">
      <c r="A619">
        <v>620</v>
      </c>
      <c r="B619">
        <v>967</v>
      </c>
    </row>
    <row r="620" spans="1:2">
      <c r="A620">
        <v>621</v>
      </c>
      <c r="B620">
        <v>968</v>
      </c>
    </row>
    <row r="621" spans="1:2">
      <c r="A621">
        <v>622</v>
      </c>
      <c r="B621">
        <v>969</v>
      </c>
    </row>
    <row r="622" spans="1:2">
      <c r="A622">
        <v>623</v>
      </c>
      <c r="B622">
        <v>970</v>
      </c>
    </row>
    <row r="623" spans="1:2">
      <c r="A623">
        <v>624</v>
      </c>
      <c r="B623">
        <v>971</v>
      </c>
    </row>
    <row r="624" spans="1:2">
      <c r="A624">
        <v>625</v>
      </c>
      <c r="B624">
        <v>972</v>
      </c>
    </row>
    <row r="625" spans="1:2">
      <c r="A625">
        <v>626</v>
      </c>
      <c r="B625">
        <v>973</v>
      </c>
    </row>
    <row r="626" spans="1:2">
      <c r="A626">
        <v>627</v>
      </c>
      <c r="B626">
        <v>974</v>
      </c>
    </row>
    <row r="627" spans="1:2">
      <c r="A627">
        <v>628</v>
      </c>
      <c r="B627">
        <v>975</v>
      </c>
    </row>
    <row r="628" spans="1:2">
      <c r="A628">
        <v>629</v>
      </c>
      <c r="B628">
        <v>976</v>
      </c>
    </row>
    <row r="629" spans="1:2">
      <c r="A629">
        <v>630</v>
      </c>
      <c r="B629">
        <v>977</v>
      </c>
    </row>
    <row r="630" spans="1:2">
      <c r="A630">
        <v>631</v>
      </c>
      <c r="B630">
        <v>978</v>
      </c>
    </row>
    <row r="631" spans="1:2">
      <c r="A631">
        <v>632</v>
      </c>
      <c r="B631">
        <v>979</v>
      </c>
    </row>
    <row r="632" spans="1:2">
      <c r="A632">
        <v>633</v>
      </c>
      <c r="B632">
        <v>980</v>
      </c>
    </row>
    <row r="633" spans="1:2">
      <c r="A633">
        <v>634</v>
      </c>
      <c r="B633">
        <v>981</v>
      </c>
    </row>
    <row r="634" spans="1:2">
      <c r="A634">
        <v>635</v>
      </c>
      <c r="B634">
        <v>982</v>
      </c>
    </row>
    <row r="635" spans="1:2">
      <c r="A635">
        <v>636</v>
      </c>
      <c r="B635">
        <v>983</v>
      </c>
    </row>
    <row r="636" spans="1:2">
      <c r="A636">
        <v>637</v>
      </c>
      <c r="B636">
        <v>984</v>
      </c>
    </row>
    <row r="637" spans="1:2">
      <c r="A637">
        <v>638</v>
      </c>
      <c r="B637">
        <v>985</v>
      </c>
    </row>
    <row r="638" spans="1:2">
      <c r="A638">
        <v>639</v>
      </c>
      <c r="B638">
        <v>986</v>
      </c>
    </row>
    <row r="639" spans="1:2">
      <c r="A639">
        <v>640</v>
      </c>
      <c r="B639">
        <v>987</v>
      </c>
    </row>
    <row r="640" spans="1:2">
      <c r="A640">
        <v>641</v>
      </c>
      <c r="B640">
        <v>988</v>
      </c>
    </row>
    <row r="641" spans="1:2">
      <c r="A641">
        <v>642</v>
      </c>
      <c r="B641">
        <v>989</v>
      </c>
    </row>
    <row r="642" spans="1:2">
      <c r="A642">
        <v>643</v>
      </c>
      <c r="B642">
        <v>990</v>
      </c>
    </row>
    <row r="643" spans="1:2">
      <c r="A643">
        <v>644</v>
      </c>
      <c r="B643">
        <v>991</v>
      </c>
    </row>
    <row r="644" spans="1:2">
      <c r="A644">
        <v>645</v>
      </c>
      <c r="B644">
        <v>992</v>
      </c>
    </row>
    <row r="645" spans="1:2">
      <c r="A645">
        <v>646</v>
      </c>
      <c r="B645">
        <v>993</v>
      </c>
    </row>
    <row r="646" spans="1:2">
      <c r="A646">
        <v>647</v>
      </c>
      <c r="B646">
        <v>994</v>
      </c>
    </row>
    <row r="647" spans="1:2">
      <c r="A647">
        <v>648</v>
      </c>
      <c r="B647">
        <v>995</v>
      </c>
    </row>
    <row r="648" spans="1:2">
      <c r="A648">
        <v>649</v>
      </c>
      <c r="B648">
        <v>996</v>
      </c>
    </row>
    <row r="649" spans="1:2">
      <c r="A649">
        <v>650</v>
      </c>
      <c r="B649">
        <v>997</v>
      </c>
    </row>
    <row r="650" spans="1:2">
      <c r="A650">
        <v>651</v>
      </c>
      <c r="B650">
        <v>998</v>
      </c>
    </row>
    <row r="651" spans="1:2">
      <c r="A651">
        <v>652</v>
      </c>
      <c r="B651">
        <v>999</v>
      </c>
    </row>
    <row r="652" spans="1:2">
      <c r="A652">
        <v>653</v>
      </c>
      <c r="B652">
        <v>1000</v>
      </c>
    </row>
    <row r="653" spans="1:2">
      <c r="A653">
        <v>654</v>
      </c>
      <c r="B653">
        <v>1001</v>
      </c>
    </row>
    <row r="654" spans="1:2">
      <c r="A654">
        <v>655</v>
      </c>
      <c r="B654">
        <v>1002</v>
      </c>
    </row>
    <row r="655" spans="1:2">
      <c r="A655">
        <v>656</v>
      </c>
      <c r="B655">
        <v>1003</v>
      </c>
    </row>
    <row r="656" spans="1:2">
      <c r="A656">
        <v>657</v>
      </c>
      <c r="B656">
        <v>1004</v>
      </c>
    </row>
    <row r="657" spans="1:2">
      <c r="A657">
        <v>658</v>
      </c>
      <c r="B657">
        <v>1005</v>
      </c>
    </row>
    <row r="658" spans="1:2">
      <c r="A658">
        <v>659</v>
      </c>
      <c r="B658">
        <v>1006</v>
      </c>
    </row>
    <row r="659" spans="1:2">
      <c r="A659">
        <v>660</v>
      </c>
      <c r="B659">
        <v>1007</v>
      </c>
    </row>
    <row r="660" spans="1:2">
      <c r="A660">
        <v>661</v>
      </c>
      <c r="B660">
        <v>1008</v>
      </c>
    </row>
    <row r="661" spans="1:2">
      <c r="A661">
        <v>662</v>
      </c>
      <c r="B661">
        <v>1009</v>
      </c>
    </row>
    <row r="662" spans="1:2">
      <c r="A662">
        <v>663</v>
      </c>
      <c r="B662">
        <v>1010</v>
      </c>
    </row>
    <row r="663" spans="1:2">
      <c r="A663">
        <v>664</v>
      </c>
      <c r="B663">
        <v>1011</v>
      </c>
    </row>
    <row r="664" spans="1:2">
      <c r="A664">
        <v>665</v>
      </c>
      <c r="B664">
        <v>1012</v>
      </c>
    </row>
    <row r="665" spans="1:2">
      <c r="A665">
        <v>666</v>
      </c>
      <c r="B665">
        <v>1013</v>
      </c>
    </row>
    <row r="666" spans="1:2">
      <c r="A666">
        <v>667</v>
      </c>
      <c r="B666">
        <v>1014</v>
      </c>
    </row>
    <row r="667" spans="1:2">
      <c r="A667">
        <v>668</v>
      </c>
      <c r="B667">
        <v>1015</v>
      </c>
    </row>
    <row r="668" spans="1:2">
      <c r="A668">
        <v>669</v>
      </c>
      <c r="B668">
        <v>1016</v>
      </c>
    </row>
    <row r="669" spans="1:2">
      <c r="A669">
        <v>670</v>
      </c>
      <c r="B669">
        <v>1017</v>
      </c>
    </row>
    <row r="670" spans="1:2">
      <c r="A670">
        <v>671</v>
      </c>
      <c r="B670">
        <v>1018</v>
      </c>
    </row>
    <row r="671" spans="1:2">
      <c r="A671">
        <v>672</v>
      </c>
      <c r="B671">
        <v>1019</v>
      </c>
    </row>
    <row r="672" spans="1:2">
      <c r="A672">
        <v>673</v>
      </c>
      <c r="B672">
        <v>1020</v>
      </c>
    </row>
    <row r="673" spans="1:2">
      <c r="A673">
        <v>674</v>
      </c>
      <c r="B673">
        <v>1021</v>
      </c>
    </row>
    <row r="674" spans="1:2">
      <c r="A674">
        <v>675</v>
      </c>
      <c r="B674">
        <v>1022</v>
      </c>
    </row>
    <row r="675" spans="1:2">
      <c r="A675">
        <v>676</v>
      </c>
      <c r="B675">
        <v>1023</v>
      </c>
    </row>
    <row r="676" spans="1:2">
      <c r="A676">
        <v>677</v>
      </c>
      <c r="B676">
        <v>1024</v>
      </c>
    </row>
    <row r="677" spans="1:2">
      <c r="A677">
        <v>678</v>
      </c>
      <c r="B677">
        <v>1025</v>
      </c>
    </row>
    <row r="678" spans="1:2">
      <c r="A678">
        <v>679</v>
      </c>
      <c r="B678">
        <v>1026</v>
      </c>
    </row>
    <row r="679" spans="1:2">
      <c r="A679">
        <v>680</v>
      </c>
      <c r="B679">
        <v>1027</v>
      </c>
    </row>
    <row r="680" spans="1:2">
      <c r="A680">
        <v>681</v>
      </c>
      <c r="B680">
        <v>1028</v>
      </c>
    </row>
    <row r="681" spans="1:2">
      <c r="A681">
        <v>682</v>
      </c>
      <c r="B681">
        <v>1029</v>
      </c>
    </row>
    <row r="682" spans="1:2">
      <c r="A682">
        <v>683</v>
      </c>
      <c r="B682">
        <v>1030</v>
      </c>
    </row>
    <row r="683" spans="1:2">
      <c r="A683">
        <v>684</v>
      </c>
      <c r="B683">
        <v>1031</v>
      </c>
    </row>
    <row r="684" spans="1:2">
      <c r="A684">
        <v>685</v>
      </c>
      <c r="B684">
        <v>1032</v>
      </c>
    </row>
    <row r="685" spans="1:2">
      <c r="A685">
        <v>686</v>
      </c>
      <c r="B685">
        <v>1033</v>
      </c>
    </row>
    <row r="686" spans="1:2">
      <c r="A686">
        <v>687</v>
      </c>
      <c r="B686">
        <v>1034</v>
      </c>
    </row>
    <row r="687" spans="1:2">
      <c r="A687">
        <v>688</v>
      </c>
      <c r="B687">
        <v>1035</v>
      </c>
    </row>
    <row r="688" spans="1:2">
      <c r="A688">
        <v>689</v>
      </c>
      <c r="B688">
        <v>1036</v>
      </c>
    </row>
    <row r="689" spans="1:2">
      <c r="A689">
        <v>690</v>
      </c>
      <c r="B689">
        <v>1037</v>
      </c>
    </row>
    <row r="690" spans="1:2">
      <c r="A690">
        <v>691</v>
      </c>
      <c r="B690">
        <v>1038</v>
      </c>
    </row>
    <row r="691" spans="1:2">
      <c r="A691">
        <v>692</v>
      </c>
      <c r="B691">
        <v>1039</v>
      </c>
    </row>
    <row r="692" spans="1:2">
      <c r="A692">
        <v>693</v>
      </c>
      <c r="B692">
        <v>1040</v>
      </c>
    </row>
    <row r="693" spans="1:2">
      <c r="A693">
        <v>694</v>
      </c>
      <c r="B693">
        <v>1041</v>
      </c>
    </row>
    <row r="694" spans="1:2">
      <c r="A694">
        <v>695</v>
      </c>
      <c r="B694">
        <v>1042</v>
      </c>
    </row>
    <row r="695" spans="1:2">
      <c r="A695">
        <v>696</v>
      </c>
      <c r="B695">
        <v>1043</v>
      </c>
    </row>
    <row r="696" spans="1:2">
      <c r="A696">
        <v>697</v>
      </c>
      <c r="B696">
        <v>1044</v>
      </c>
    </row>
    <row r="697" spans="1:2">
      <c r="A697">
        <v>698</v>
      </c>
      <c r="B697">
        <v>1045</v>
      </c>
    </row>
    <row r="698" spans="1:2">
      <c r="A698">
        <v>699</v>
      </c>
      <c r="B698">
        <v>1046</v>
      </c>
    </row>
    <row r="699" spans="1:2">
      <c r="A699">
        <v>700</v>
      </c>
      <c r="B699">
        <v>1047</v>
      </c>
    </row>
    <row r="700" spans="1:2">
      <c r="A700">
        <v>701</v>
      </c>
      <c r="B700">
        <v>1048</v>
      </c>
    </row>
    <row r="701" spans="1:2">
      <c r="A701">
        <v>702</v>
      </c>
      <c r="B701">
        <v>1049</v>
      </c>
    </row>
    <row r="702" spans="1:2">
      <c r="A702">
        <v>703</v>
      </c>
      <c r="B702">
        <v>1050</v>
      </c>
    </row>
    <row r="703" spans="1:2">
      <c r="A703">
        <v>704</v>
      </c>
      <c r="B703">
        <v>1051</v>
      </c>
    </row>
    <row r="704" spans="1:2">
      <c r="A704">
        <v>705</v>
      </c>
      <c r="B704">
        <v>1052</v>
      </c>
    </row>
    <row r="705" spans="1:2">
      <c r="A705">
        <v>706</v>
      </c>
      <c r="B705">
        <v>1053</v>
      </c>
    </row>
    <row r="706" spans="1:2">
      <c r="A706">
        <v>707</v>
      </c>
      <c r="B706">
        <v>1054</v>
      </c>
    </row>
    <row r="707" spans="1:2">
      <c r="A707">
        <v>708</v>
      </c>
      <c r="B707">
        <v>1055</v>
      </c>
    </row>
    <row r="708" spans="1:2">
      <c r="A708">
        <v>709</v>
      </c>
      <c r="B708">
        <v>1056</v>
      </c>
    </row>
    <row r="709" spans="1:2">
      <c r="A709">
        <v>710</v>
      </c>
      <c r="B709">
        <v>1057</v>
      </c>
    </row>
    <row r="710" spans="1:2">
      <c r="A710">
        <v>711</v>
      </c>
      <c r="B710">
        <v>1058</v>
      </c>
    </row>
    <row r="711" spans="1:2">
      <c r="A711">
        <v>712</v>
      </c>
      <c r="B711">
        <v>1059</v>
      </c>
    </row>
    <row r="712" spans="1:2">
      <c r="A712">
        <v>713</v>
      </c>
      <c r="B712">
        <v>1060</v>
      </c>
    </row>
    <row r="713" spans="1:2">
      <c r="A713">
        <v>714</v>
      </c>
      <c r="B713">
        <v>1061</v>
      </c>
    </row>
    <row r="714" spans="1:2">
      <c r="A714">
        <v>715</v>
      </c>
      <c r="B714">
        <v>1062</v>
      </c>
    </row>
    <row r="715" spans="1:2">
      <c r="A715">
        <v>716</v>
      </c>
      <c r="B715">
        <v>1063</v>
      </c>
    </row>
    <row r="716" spans="1:2">
      <c r="A716">
        <v>717</v>
      </c>
      <c r="B716">
        <v>1064</v>
      </c>
    </row>
    <row r="717" spans="1:2">
      <c r="A717">
        <v>718</v>
      </c>
      <c r="B717">
        <v>1065</v>
      </c>
    </row>
    <row r="718" spans="1:2">
      <c r="A718">
        <v>719</v>
      </c>
      <c r="B718">
        <v>1066</v>
      </c>
    </row>
    <row r="719" spans="1:2">
      <c r="A719">
        <v>720</v>
      </c>
      <c r="B719">
        <v>1067</v>
      </c>
    </row>
    <row r="720" spans="1:2">
      <c r="A720">
        <v>721</v>
      </c>
      <c r="B720">
        <v>1068</v>
      </c>
    </row>
    <row r="721" spans="1:2">
      <c r="A721">
        <v>722</v>
      </c>
      <c r="B721">
        <v>1069</v>
      </c>
    </row>
    <row r="722" spans="1:2">
      <c r="A722">
        <v>723</v>
      </c>
      <c r="B722">
        <v>1070</v>
      </c>
    </row>
    <row r="723" spans="1:2">
      <c r="A723">
        <v>724</v>
      </c>
      <c r="B723">
        <v>1071</v>
      </c>
    </row>
    <row r="724" spans="1:2">
      <c r="A724">
        <v>725</v>
      </c>
      <c r="B724">
        <v>1072</v>
      </c>
    </row>
    <row r="725" spans="1:2">
      <c r="A725">
        <v>726</v>
      </c>
      <c r="B725">
        <v>1073</v>
      </c>
    </row>
    <row r="726" spans="1:2">
      <c r="A726">
        <v>727</v>
      </c>
      <c r="B726">
        <v>1074</v>
      </c>
    </row>
    <row r="727" spans="1:2">
      <c r="A727">
        <v>728</v>
      </c>
      <c r="B727">
        <v>1075</v>
      </c>
    </row>
    <row r="728" spans="1:2">
      <c r="A728">
        <v>729</v>
      </c>
      <c r="B728">
        <v>1076</v>
      </c>
    </row>
    <row r="729" spans="1:2">
      <c r="A729">
        <v>730</v>
      </c>
      <c r="B729">
        <v>1077</v>
      </c>
    </row>
    <row r="730" spans="1:2">
      <c r="A730">
        <v>731</v>
      </c>
      <c r="B730">
        <v>1078</v>
      </c>
    </row>
    <row r="731" spans="1:2">
      <c r="A731">
        <v>732</v>
      </c>
      <c r="B731">
        <v>1079</v>
      </c>
    </row>
    <row r="732" spans="1:2">
      <c r="A732">
        <v>733</v>
      </c>
      <c r="B732">
        <v>1080</v>
      </c>
    </row>
    <row r="733" spans="1:2">
      <c r="A733">
        <v>734</v>
      </c>
      <c r="B733">
        <v>1081</v>
      </c>
    </row>
    <row r="734" spans="1:2">
      <c r="A734">
        <v>735</v>
      </c>
      <c r="B734">
        <v>1082</v>
      </c>
    </row>
    <row r="735" spans="1:2">
      <c r="A735">
        <v>736</v>
      </c>
      <c r="B735">
        <v>1083</v>
      </c>
    </row>
    <row r="736" spans="1:2">
      <c r="A736">
        <v>737</v>
      </c>
      <c r="B736">
        <v>1084</v>
      </c>
    </row>
    <row r="737" spans="1:2">
      <c r="A737">
        <v>738</v>
      </c>
      <c r="B737">
        <v>1085</v>
      </c>
    </row>
    <row r="738" spans="1:2">
      <c r="A738">
        <v>739</v>
      </c>
      <c r="B738">
        <v>1086</v>
      </c>
    </row>
    <row r="739" spans="1:2">
      <c r="A739">
        <v>740</v>
      </c>
      <c r="B739">
        <v>1087</v>
      </c>
    </row>
    <row r="740" spans="1:2">
      <c r="A740">
        <v>741</v>
      </c>
      <c r="B740">
        <v>1088</v>
      </c>
    </row>
    <row r="741" spans="1:2">
      <c r="A741">
        <v>742</v>
      </c>
      <c r="B741">
        <v>1089</v>
      </c>
    </row>
    <row r="742" spans="1:2">
      <c r="A742">
        <v>743</v>
      </c>
      <c r="B742">
        <v>1090</v>
      </c>
    </row>
    <row r="743" spans="1:2">
      <c r="A743">
        <v>744</v>
      </c>
      <c r="B743">
        <v>1091</v>
      </c>
    </row>
    <row r="744" spans="1:2">
      <c r="A744">
        <v>745</v>
      </c>
      <c r="B744">
        <v>1092</v>
      </c>
    </row>
    <row r="745" spans="1:2">
      <c r="A745">
        <v>746</v>
      </c>
      <c r="B745">
        <v>1093</v>
      </c>
    </row>
    <row r="746" spans="1:2">
      <c r="A746">
        <v>747</v>
      </c>
      <c r="B746">
        <v>1094</v>
      </c>
    </row>
    <row r="747" spans="1:2">
      <c r="A747">
        <v>748</v>
      </c>
      <c r="B747">
        <v>1095</v>
      </c>
    </row>
    <row r="748" spans="1:2">
      <c r="A748">
        <v>749</v>
      </c>
      <c r="B748">
        <v>1096</v>
      </c>
    </row>
    <row r="749" spans="1:2">
      <c r="A749">
        <v>750</v>
      </c>
      <c r="B749">
        <v>1097</v>
      </c>
    </row>
    <row r="750" spans="1:2">
      <c r="A750">
        <v>751</v>
      </c>
      <c r="B750">
        <v>1098</v>
      </c>
    </row>
    <row r="751" spans="1:2">
      <c r="A751">
        <v>752</v>
      </c>
      <c r="B751">
        <v>1099</v>
      </c>
    </row>
    <row r="752" spans="1:2">
      <c r="A752">
        <v>753</v>
      </c>
      <c r="B752">
        <v>1100</v>
      </c>
    </row>
    <row r="753" spans="1:2">
      <c r="A753">
        <v>754</v>
      </c>
      <c r="B753">
        <v>1101</v>
      </c>
    </row>
    <row r="754" spans="1:2">
      <c r="A754">
        <v>755</v>
      </c>
      <c r="B754">
        <v>1102</v>
      </c>
    </row>
    <row r="755" spans="1:2">
      <c r="A755">
        <v>756</v>
      </c>
      <c r="B755">
        <v>1103</v>
      </c>
    </row>
    <row r="756" spans="1:2">
      <c r="A756">
        <v>757</v>
      </c>
      <c r="B756">
        <v>1104</v>
      </c>
    </row>
    <row r="757" spans="1:2">
      <c r="A757">
        <v>758</v>
      </c>
      <c r="B757">
        <v>1105</v>
      </c>
    </row>
    <row r="758" spans="1:2">
      <c r="A758">
        <v>759</v>
      </c>
      <c r="B758">
        <v>1106</v>
      </c>
    </row>
    <row r="759" spans="1:2">
      <c r="A759">
        <v>760</v>
      </c>
      <c r="B759">
        <v>1107</v>
      </c>
    </row>
    <row r="760" spans="1:2">
      <c r="A760">
        <v>761</v>
      </c>
      <c r="B760">
        <v>1108</v>
      </c>
    </row>
    <row r="761" spans="1:2">
      <c r="A761">
        <v>762</v>
      </c>
      <c r="B761">
        <v>1109</v>
      </c>
    </row>
    <row r="762" spans="1:2">
      <c r="A762">
        <v>763</v>
      </c>
      <c r="B762">
        <v>1110</v>
      </c>
    </row>
    <row r="763" spans="1:2">
      <c r="A763">
        <v>764</v>
      </c>
      <c r="B763">
        <v>1111</v>
      </c>
    </row>
    <row r="764" spans="1:2">
      <c r="A764">
        <v>765</v>
      </c>
      <c r="B764">
        <v>1112</v>
      </c>
    </row>
    <row r="765" spans="1:2">
      <c r="A765">
        <v>766</v>
      </c>
      <c r="B765">
        <v>1113</v>
      </c>
    </row>
    <row r="766" spans="1:2">
      <c r="A766">
        <v>767</v>
      </c>
      <c r="B766">
        <v>1114</v>
      </c>
    </row>
    <row r="767" spans="1:2">
      <c r="A767">
        <v>768</v>
      </c>
      <c r="B767">
        <v>1115</v>
      </c>
    </row>
    <row r="768" spans="1:2">
      <c r="A768">
        <v>769</v>
      </c>
      <c r="B768">
        <v>1116</v>
      </c>
    </row>
    <row r="769" spans="1:2">
      <c r="A769">
        <v>770</v>
      </c>
      <c r="B769">
        <v>1117</v>
      </c>
    </row>
    <row r="770" spans="1:2">
      <c r="A770">
        <v>771</v>
      </c>
      <c r="B770">
        <v>1118</v>
      </c>
    </row>
    <row r="771" spans="1:2">
      <c r="A771">
        <v>772</v>
      </c>
      <c r="B771">
        <v>1119</v>
      </c>
    </row>
    <row r="772" spans="1:2">
      <c r="A772">
        <v>773</v>
      </c>
      <c r="B772">
        <v>1120</v>
      </c>
    </row>
    <row r="773" spans="1:2">
      <c r="A773">
        <v>774</v>
      </c>
      <c r="B773">
        <v>1121</v>
      </c>
    </row>
    <row r="774" spans="1:2">
      <c r="A774">
        <v>775</v>
      </c>
      <c r="B774">
        <v>1122</v>
      </c>
    </row>
    <row r="775" spans="1:2">
      <c r="A775">
        <v>776</v>
      </c>
      <c r="B775">
        <v>1123</v>
      </c>
    </row>
    <row r="776" spans="1:2">
      <c r="A776">
        <v>777</v>
      </c>
      <c r="B776">
        <v>1124</v>
      </c>
    </row>
    <row r="777" spans="1:2">
      <c r="A777">
        <v>778</v>
      </c>
      <c r="B777">
        <v>1125</v>
      </c>
    </row>
    <row r="778" spans="1:2">
      <c r="A778">
        <v>779</v>
      </c>
      <c r="B778">
        <v>1126</v>
      </c>
    </row>
    <row r="779" spans="1:2">
      <c r="A779">
        <v>780</v>
      </c>
      <c r="B779">
        <v>1127</v>
      </c>
    </row>
    <row r="780" spans="1:2">
      <c r="A780">
        <v>781</v>
      </c>
      <c r="B780">
        <v>1128</v>
      </c>
    </row>
    <row r="781" spans="1:2">
      <c r="A781">
        <v>782</v>
      </c>
      <c r="B781">
        <v>1129</v>
      </c>
    </row>
    <row r="782" spans="1:2">
      <c r="A782">
        <v>783</v>
      </c>
      <c r="B782">
        <v>1130</v>
      </c>
    </row>
    <row r="783" spans="1:2">
      <c r="A783">
        <v>784</v>
      </c>
      <c r="B783">
        <v>1131</v>
      </c>
    </row>
    <row r="784" spans="1:2">
      <c r="A784">
        <v>785</v>
      </c>
      <c r="B784">
        <v>1132</v>
      </c>
    </row>
    <row r="785" spans="1:2">
      <c r="A785">
        <v>786</v>
      </c>
      <c r="B785">
        <v>1133</v>
      </c>
    </row>
    <row r="786" spans="1:2">
      <c r="A786">
        <v>787</v>
      </c>
      <c r="B786">
        <v>1134</v>
      </c>
    </row>
    <row r="787" spans="1:2">
      <c r="A787">
        <v>788</v>
      </c>
      <c r="B787">
        <v>1135</v>
      </c>
    </row>
    <row r="788" spans="1:2">
      <c r="A788">
        <v>789</v>
      </c>
      <c r="B788">
        <v>1136</v>
      </c>
    </row>
    <row r="789" spans="1:2">
      <c r="A789">
        <v>790</v>
      </c>
      <c r="B789">
        <v>1137</v>
      </c>
    </row>
    <row r="790" spans="1:2">
      <c r="A790">
        <v>791</v>
      </c>
      <c r="B790">
        <v>1138</v>
      </c>
    </row>
    <row r="791" spans="1:2">
      <c r="A791">
        <v>792</v>
      </c>
      <c r="B791">
        <v>1139</v>
      </c>
    </row>
    <row r="792" spans="1:2">
      <c r="A792">
        <v>793</v>
      </c>
      <c r="B792">
        <v>1140</v>
      </c>
    </row>
    <row r="793" spans="1:2">
      <c r="A793">
        <v>794</v>
      </c>
      <c r="B793">
        <v>1141</v>
      </c>
    </row>
    <row r="794" spans="1:2">
      <c r="A794">
        <v>795</v>
      </c>
      <c r="B794">
        <v>1142</v>
      </c>
    </row>
    <row r="795" spans="1:2">
      <c r="A795">
        <v>796</v>
      </c>
      <c r="B795">
        <v>1143</v>
      </c>
    </row>
    <row r="796" spans="1:2">
      <c r="A796">
        <v>797</v>
      </c>
      <c r="B796">
        <v>1144</v>
      </c>
    </row>
    <row r="797" spans="1:2">
      <c r="A797">
        <v>798</v>
      </c>
      <c r="B797">
        <v>1145</v>
      </c>
    </row>
    <row r="798" spans="1:2">
      <c r="A798">
        <v>799</v>
      </c>
      <c r="B798">
        <v>1146</v>
      </c>
    </row>
    <row r="799" spans="1:2">
      <c r="A799">
        <v>800</v>
      </c>
      <c r="B799">
        <v>1147</v>
      </c>
    </row>
    <row r="800" spans="1:2">
      <c r="A800">
        <v>801</v>
      </c>
      <c r="B800">
        <v>1148</v>
      </c>
    </row>
    <row r="801" spans="1:2">
      <c r="A801">
        <v>802</v>
      </c>
      <c r="B801">
        <v>1149</v>
      </c>
    </row>
    <row r="802" spans="1:2">
      <c r="A802">
        <v>803</v>
      </c>
      <c r="B802">
        <v>1150</v>
      </c>
    </row>
    <row r="803" spans="1:2">
      <c r="A803">
        <v>804</v>
      </c>
      <c r="B803">
        <v>1151</v>
      </c>
    </row>
    <row r="804" spans="1:2">
      <c r="A804">
        <v>805</v>
      </c>
      <c r="B804">
        <v>1152</v>
      </c>
    </row>
    <row r="805" spans="1:2">
      <c r="A805">
        <v>806</v>
      </c>
      <c r="B805">
        <v>1153</v>
      </c>
    </row>
    <row r="806" spans="1:2">
      <c r="A806">
        <v>807</v>
      </c>
      <c r="B806">
        <v>1154</v>
      </c>
    </row>
    <row r="807" spans="1:2">
      <c r="A807">
        <v>808</v>
      </c>
      <c r="B807">
        <v>1155</v>
      </c>
    </row>
    <row r="808" spans="1:2">
      <c r="A808">
        <v>809</v>
      </c>
      <c r="B808">
        <v>1156</v>
      </c>
    </row>
    <row r="809" spans="1:2">
      <c r="A809">
        <v>810</v>
      </c>
      <c r="B809">
        <v>1157</v>
      </c>
    </row>
    <row r="810" spans="1:2">
      <c r="A810">
        <v>811</v>
      </c>
      <c r="B810">
        <v>1158</v>
      </c>
    </row>
    <row r="811" spans="1:2">
      <c r="A811">
        <v>812</v>
      </c>
      <c r="B811">
        <v>1159</v>
      </c>
    </row>
    <row r="812" spans="1:2">
      <c r="A812">
        <v>813</v>
      </c>
      <c r="B812">
        <v>1160</v>
      </c>
    </row>
    <row r="813" spans="1:2">
      <c r="A813">
        <v>814</v>
      </c>
      <c r="B813">
        <v>1161</v>
      </c>
    </row>
    <row r="814" spans="1:2">
      <c r="A814">
        <v>815</v>
      </c>
      <c r="B814">
        <v>1162</v>
      </c>
    </row>
    <row r="815" spans="1:2">
      <c r="A815">
        <v>816</v>
      </c>
      <c r="B815">
        <v>1163</v>
      </c>
    </row>
    <row r="816" spans="1:2">
      <c r="A816">
        <v>817</v>
      </c>
      <c r="B816">
        <v>1164</v>
      </c>
    </row>
    <row r="817" spans="1:2">
      <c r="A817">
        <v>818</v>
      </c>
      <c r="B817">
        <v>1165</v>
      </c>
    </row>
    <row r="818" spans="1:2">
      <c r="A818">
        <v>819</v>
      </c>
      <c r="B818">
        <v>1166</v>
      </c>
    </row>
    <row r="819" spans="1:2">
      <c r="A819">
        <v>820</v>
      </c>
      <c r="B819">
        <v>1167</v>
      </c>
    </row>
    <row r="820" spans="1:2">
      <c r="A820">
        <v>821</v>
      </c>
      <c r="B820">
        <v>1168</v>
      </c>
    </row>
    <row r="821" spans="1:2">
      <c r="A821">
        <v>822</v>
      </c>
      <c r="B821">
        <v>1169</v>
      </c>
    </row>
    <row r="822" spans="1:2">
      <c r="A822">
        <v>823</v>
      </c>
      <c r="B822">
        <v>1170</v>
      </c>
    </row>
    <row r="823" spans="1:2">
      <c r="A823">
        <v>824</v>
      </c>
      <c r="B823">
        <v>1171</v>
      </c>
    </row>
    <row r="824" spans="1:2">
      <c r="A824">
        <v>825</v>
      </c>
      <c r="B824">
        <v>1172</v>
      </c>
    </row>
    <row r="825" spans="1:2">
      <c r="A825">
        <v>826</v>
      </c>
      <c r="B825">
        <v>1173</v>
      </c>
    </row>
    <row r="826" spans="1:2">
      <c r="A826">
        <v>827</v>
      </c>
      <c r="B826">
        <v>1174</v>
      </c>
    </row>
    <row r="827" spans="1:2">
      <c r="A827">
        <v>828</v>
      </c>
      <c r="B827">
        <v>1175</v>
      </c>
    </row>
    <row r="828" spans="1:2">
      <c r="A828">
        <v>829</v>
      </c>
      <c r="B828">
        <v>1176</v>
      </c>
    </row>
    <row r="829" spans="1:2">
      <c r="A829">
        <v>830</v>
      </c>
      <c r="B829">
        <v>1177</v>
      </c>
    </row>
    <row r="830" spans="1:2">
      <c r="A830">
        <v>831</v>
      </c>
      <c r="B830">
        <v>1178</v>
      </c>
    </row>
    <row r="831" spans="1:2">
      <c r="A831">
        <v>832</v>
      </c>
      <c r="B831">
        <v>1179</v>
      </c>
    </row>
    <row r="832" spans="1:2">
      <c r="A832">
        <v>833</v>
      </c>
      <c r="B832">
        <v>1180</v>
      </c>
    </row>
    <row r="833" spans="1:2">
      <c r="A833">
        <v>834</v>
      </c>
      <c r="B833">
        <v>1181</v>
      </c>
    </row>
    <row r="834" spans="1:2">
      <c r="A834">
        <v>835</v>
      </c>
      <c r="B834">
        <v>1182</v>
      </c>
    </row>
    <row r="835" spans="1:2">
      <c r="A835">
        <v>836</v>
      </c>
      <c r="B835">
        <v>1183</v>
      </c>
    </row>
    <row r="836" spans="1:2">
      <c r="A836">
        <v>837</v>
      </c>
      <c r="B836">
        <v>1184</v>
      </c>
    </row>
    <row r="837" spans="1:2">
      <c r="A837">
        <v>838</v>
      </c>
      <c r="B837">
        <v>1185</v>
      </c>
    </row>
    <row r="838" spans="1:2">
      <c r="A838">
        <v>839</v>
      </c>
      <c r="B838">
        <v>1186</v>
      </c>
    </row>
    <row r="839" spans="1:2">
      <c r="A839">
        <v>840</v>
      </c>
      <c r="B839">
        <v>1187</v>
      </c>
    </row>
    <row r="840" spans="1:2">
      <c r="A840">
        <v>841</v>
      </c>
      <c r="B840">
        <v>1188</v>
      </c>
    </row>
    <row r="841" spans="1:2">
      <c r="A841">
        <v>842</v>
      </c>
      <c r="B841">
        <v>1189</v>
      </c>
    </row>
    <row r="842" spans="1:2">
      <c r="A842">
        <v>843</v>
      </c>
      <c r="B842">
        <v>1190</v>
      </c>
    </row>
    <row r="843" spans="1:2">
      <c r="A843">
        <v>844</v>
      </c>
      <c r="B843">
        <v>1191</v>
      </c>
    </row>
    <row r="844" spans="1:2">
      <c r="A844">
        <v>845</v>
      </c>
      <c r="B844">
        <v>1192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25"/>
  <sheetViews>
    <sheetView workbookViewId="0"/>
  </sheetViews>
  <sheetFormatPr defaultRowHeight="12.75"/>
  <cols>
    <col min="1" max="2" width="5" bestFit="1" customWidth="1"/>
  </cols>
  <sheetData>
    <row r="1" spans="1:2">
      <c r="A1">
        <v>0</v>
      </c>
      <c r="B1">
        <v>1193</v>
      </c>
    </row>
    <row r="2" spans="1:2">
      <c r="A2">
        <v>1</v>
      </c>
      <c r="B2">
        <v>1194</v>
      </c>
    </row>
    <row r="3" spans="1:2">
      <c r="A3">
        <v>2</v>
      </c>
      <c r="B3">
        <v>1195</v>
      </c>
    </row>
    <row r="4" spans="1:2">
      <c r="A4">
        <v>3</v>
      </c>
      <c r="B4">
        <v>1196</v>
      </c>
    </row>
    <row r="5" spans="1:2">
      <c r="A5">
        <v>4</v>
      </c>
      <c r="B5">
        <v>1197</v>
      </c>
    </row>
    <row r="6" spans="1:2">
      <c r="A6">
        <v>5</v>
      </c>
      <c r="B6">
        <v>1198</v>
      </c>
    </row>
    <row r="7" spans="1:2">
      <c r="A7">
        <v>11</v>
      </c>
      <c r="B7">
        <v>1199</v>
      </c>
    </row>
    <row r="8" spans="1:2">
      <c r="A8">
        <v>12</v>
      </c>
      <c r="B8">
        <v>1200</v>
      </c>
    </row>
    <row r="9" spans="1:2">
      <c r="A9">
        <v>13</v>
      </c>
      <c r="B9">
        <v>1201</v>
      </c>
    </row>
    <row r="10" spans="1:2">
      <c r="A10">
        <v>14</v>
      </c>
      <c r="B10">
        <v>1202</v>
      </c>
    </row>
    <row r="11" spans="1:2">
      <c r="A11">
        <v>15</v>
      </c>
      <c r="B11">
        <v>1203</v>
      </c>
    </row>
    <row r="12" spans="1:2">
      <c r="A12">
        <v>16</v>
      </c>
      <c r="B12">
        <v>1204</v>
      </c>
    </row>
    <row r="13" spans="1:2">
      <c r="A13">
        <v>17</v>
      </c>
      <c r="B13">
        <v>1205</v>
      </c>
    </row>
    <row r="14" spans="1:2">
      <c r="A14">
        <v>19</v>
      </c>
      <c r="B14">
        <v>1206</v>
      </c>
    </row>
    <row r="15" spans="1:2">
      <c r="A15">
        <v>20</v>
      </c>
      <c r="B15">
        <v>1207</v>
      </c>
    </row>
    <row r="16" spans="1:2">
      <c r="A16">
        <v>21</v>
      </c>
      <c r="B16">
        <v>1208</v>
      </c>
    </row>
    <row r="17" spans="1:2">
      <c r="A17">
        <v>22</v>
      </c>
      <c r="B17">
        <v>1209</v>
      </c>
    </row>
    <row r="18" spans="1:2">
      <c r="A18">
        <v>23</v>
      </c>
      <c r="B18">
        <v>1210</v>
      </c>
    </row>
    <row r="19" spans="1:2">
      <c r="A19">
        <v>24</v>
      </c>
      <c r="B19">
        <v>1211</v>
      </c>
    </row>
    <row r="20" spans="1:2">
      <c r="A20">
        <v>25</v>
      </c>
      <c r="B20">
        <v>1212</v>
      </c>
    </row>
    <row r="21" spans="1:2">
      <c r="A21">
        <v>26</v>
      </c>
      <c r="B21">
        <v>1213</v>
      </c>
    </row>
    <row r="22" spans="1:2">
      <c r="A22">
        <v>27</v>
      </c>
      <c r="B22">
        <v>1214</v>
      </c>
    </row>
    <row r="23" spans="1:2">
      <c r="A23">
        <v>28</v>
      </c>
      <c r="B23">
        <v>1215</v>
      </c>
    </row>
    <row r="24" spans="1:2">
      <c r="A24">
        <v>29</v>
      </c>
      <c r="B24">
        <v>1216</v>
      </c>
    </row>
    <row r="25" spans="1:2">
      <c r="A25">
        <v>30</v>
      </c>
      <c r="B25">
        <v>1217</v>
      </c>
    </row>
    <row r="26" spans="1:2">
      <c r="A26">
        <v>31</v>
      </c>
      <c r="B26">
        <v>1218</v>
      </c>
    </row>
    <row r="27" spans="1:2">
      <c r="A27">
        <v>32</v>
      </c>
      <c r="B27">
        <v>1219</v>
      </c>
    </row>
    <row r="28" spans="1:2">
      <c r="A28">
        <v>33</v>
      </c>
      <c r="B28">
        <v>1220</v>
      </c>
    </row>
    <row r="29" spans="1:2">
      <c r="A29">
        <v>34</v>
      </c>
      <c r="B29">
        <v>1221</v>
      </c>
    </row>
    <row r="30" spans="1:2">
      <c r="A30">
        <v>35</v>
      </c>
      <c r="B30">
        <v>1222</v>
      </c>
    </row>
    <row r="31" spans="1:2">
      <c r="A31">
        <v>36</v>
      </c>
      <c r="B31">
        <v>1223</v>
      </c>
    </row>
    <row r="32" spans="1:2">
      <c r="A32">
        <v>38</v>
      </c>
      <c r="B32">
        <v>1224</v>
      </c>
    </row>
    <row r="33" spans="1:2">
      <c r="A33">
        <v>39</v>
      </c>
      <c r="B33">
        <v>1225</v>
      </c>
    </row>
    <row r="34" spans="1:2">
      <c r="A34">
        <v>40</v>
      </c>
      <c r="B34">
        <v>1226</v>
      </c>
    </row>
    <row r="35" spans="1:2">
      <c r="A35">
        <v>41</v>
      </c>
      <c r="B35">
        <v>1227</v>
      </c>
    </row>
    <row r="36" spans="1:2">
      <c r="A36">
        <v>43</v>
      </c>
      <c r="B36">
        <v>1228</v>
      </c>
    </row>
    <row r="37" spans="1:2">
      <c r="A37">
        <v>44</v>
      </c>
      <c r="B37">
        <v>1229</v>
      </c>
    </row>
    <row r="38" spans="1:2">
      <c r="A38">
        <v>45</v>
      </c>
      <c r="B38">
        <v>1230</v>
      </c>
    </row>
    <row r="39" spans="1:2">
      <c r="A39">
        <v>46</v>
      </c>
      <c r="B39">
        <v>1231</v>
      </c>
    </row>
    <row r="40" spans="1:2">
      <c r="A40">
        <v>47</v>
      </c>
      <c r="B40">
        <v>1232</v>
      </c>
    </row>
    <row r="41" spans="1:2">
      <c r="A41">
        <v>48</v>
      </c>
      <c r="B41">
        <v>1233</v>
      </c>
    </row>
    <row r="42" spans="1:2">
      <c r="A42">
        <v>49</v>
      </c>
      <c r="B42">
        <v>1234</v>
      </c>
    </row>
    <row r="43" spans="1:2">
      <c r="A43">
        <v>50</v>
      </c>
      <c r="B43">
        <v>1235</v>
      </c>
    </row>
    <row r="44" spans="1:2">
      <c r="A44">
        <v>51</v>
      </c>
      <c r="B44">
        <v>1236</v>
      </c>
    </row>
    <row r="45" spans="1:2">
      <c r="A45">
        <v>52</v>
      </c>
      <c r="B45">
        <v>1237</v>
      </c>
    </row>
    <row r="46" spans="1:2">
      <c r="A46">
        <v>53</v>
      </c>
      <c r="B46">
        <v>1238</v>
      </c>
    </row>
    <row r="47" spans="1:2">
      <c r="A47">
        <v>54</v>
      </c>
      <c r="B47">
        <v>1239</v>
      </c>
    </row>
    <row r="48" spans="1:2">
      <c r="A48">
        <v>55</v>
      </c>
      <c r="B48">
        <v>1240</v>
      </c>
    </row>
    <row r="49" spans="1:2">
      <c r="A49">
        <v>56</v>
      </c>
      <c r="B49">
        <v>1241</v>
      </c>
    </row>
    <row r="50" spans="1:2">
      <c r="A50">
        <v>57</v>
      </c>
      <c r="B50">
        <v>1242</v>
      </c>
    </row>
    <row r="51" spans="1:2">
      <c r="A51">
        <v>58</v>
      </c>
      <c r="B51">
        <v>1243</v>
      </c>
    </row>
    <row r="52" spans="1:2">
      <c r="A52">
        <v>59</v>
      </c>
      <c r="B52">
        <v>1244</v>
      </c>
    </row>
    <row r="53" spans="1:2">
      <c r="A53">
        <v>60</v>
      </c>
      <c r="B53">
        <v>1245</v>
      </c>
    </row>
    <row r="54" spans="1:2">
      <c r="A54">
        <v>61</v>
      </c>
      <c r="B54">
        <v>1246</v>
      </c>
    </row>
    <row r="55" spans="1:2">
      <c r="A55">
        <v>62</v>
      </c>
      <c r="B55">
        <v>1247</v>
      </c>
    </row>
    <row r="56" spans="1:2">
      <c r="A56">
        <v>63</v>
      </c>
      <c r="B56">
        <v>1248</v>
      </c>
    </row>
    <row r="57" spans="1:2">
      <c r="A57">
        <v>64</v>
      </c>
      <c r="B57">
        <v>1249</v>
      </c>
    </row>
    <row r="58" spans="1:2">
      <c r="A58">
        <v>65</v>
      </c>
      <c r="B58">
        <v>1250</v>
      </c>
    </row>
    <row r="59" spans="1:2">
      <c r="A59">
        <v>66</v>
      </c>
      <c r="B59">
        <v>1251</v>
      </c>
    </row>
    <row r="60" spans="1:2">
      <c r="A60">
        <v>67</v>
      </c>
      <c r="B60">
        <v>1252</v>
      </c>
    </row>
    <row r="61" spans="1:2">
      <c r="A61">
        <v>68</v>
      </c>
      <c r="B61">
        <v>1253</v>
      </c>
    </row>
    <row r="62" spans="1:2">
      <c r="A62">
        <v>69</v>
      </c>
      <c r="B62">
        <v>1254</v>
      </c>
    </row>
    <row r="63" spans="1:2">
      <c r="A63">
        <v>70</v>
      </c>
      <c r="B63">
        <v>1255</v>
      </c>
    </row>
    <row r="64" spans="1:2">
      <c r="A64">
        <v>71</v>
      </c>
      <c r="B64">
        <v>1256</v>
      </c>
    </row>
    <row r="65" spans="1:2">
      <c r="A65">
        <v>72</v>
      </c>
      <c r="B65">
        <v>1257</v>
      </c>
    </row>
    <row r="66" spans="1:2">
      <c r="A66">
        <v>73</v>
      </c>
      <c r="B66">
        <v>1258</v>
      </c>
    </row>
    <row r="67" spans="1:2">
      <c r="A67">
        <v>74</v>
      </c>
      <c r="B67">
        <v>1259</v>
      </c>
    </row>
    <row r="68" spans="1:2">
      <c r="A68">
        <v>75</v>
      </c>
      <c r="B68">
        <v>1260</v>
      </c>
    </row>
    <row r="69" spans="1:2">
      <c r="A69">
        <v>77</v>
      </c>
      <c r="B69">
        <v>1261</v>
      </c>
    </row>
    <row r="70" spans="1:2">
      <c r="A70">
        <v>78</v>
      </c>
      <c r="B70">
        <v>1262</v>
      </c>
    </row>
    <row r="71" spans="1:2">
      <c r="A71">
        <v>79</v>
      </c>
      <c r="B71">
        <v>1263</v>
      </c>
    </row>
    <row r="72" spans="1:2">
      <c r="A72">
        <v>80</v>
      </c>
      <c r="B72">
        <v>1264</v>
      </c>
    </row>
    <row r="73" spans="1:2">
      <c r="A73">
        <v>81</v>
      </c>
      <c r="B73">
        <v>1265</v>
      </c>
    </row>
    <row r="74" spans="1:2">
      <c r="A74">
        <v>82</v>
      </c>
      <c r="B74">
        <v>1266</v>
      </c>
    </row>
    <row r="75" spans="1:2">
      <c r="A75">
        <v>83</v>
      </c>
      <c r="B75">
        <v>1267</v>
      </c>
    </row>
    <row r="76" spans="1:2">
      <c r="A76">
        <v>84</v>
      </c>
      <c r="B76">
        <v>1268</v>
      </c>
    </row>
    <row r="77" spans="1:2">
      <c r="A77">
        <v>85</v>
      </c>
      <c r="B77">
        <v>1269</v>
      </c>
    </row>
    <row r="78" spans="1:2">
      <c r="A78">
        <v>86</v>
      </c>
      <c r="B78">
        <v>1270</v>
      </c>
    </row>
    <row r="79" spans="1:2">
      <c r="A79">
        <v>87</v>
      </c>
      <c r="B79">
        <v>1271</v>
      </c>
    </row>
    <row r="80" spans="1:2">
      <c r="A80">
        <v>88</v>
      </c>
      <c r="B80">
        <v>1272</v>
      </c>
    </row>
    <row r="81" spans="1:2">
      <c r="A81">
        <v>91</v>
      </c>
      <c r="B81">
        <v>1273</v>
      </c>
    </row>
    <row r="82" spans="1:2">
      <c r="A82">
        <v>92</v>
      </c>
      <c r="B82">
        <v>1274</v>
      </c>
    </row>
    <row r="83" spans="1:2">
      <c r="A83">
        <v>93</v>
      </c>
      <c r="B83">
        <v>1275</v>
      </c>
    </row>
    <row r="84" spans="1:2">
      <c r="A84">
        <v>95</v>
      </c>
      <c r="B84">
        <v>1276</v>
      </c>
    </row>
    <row r="85" spans="1:2">
      <c r="A85">
        <v>96</v>
      </c>
      <c r="B85">
        <v>1277</v>
      </c>
    </row>
    <row r="86" spans="1:2">
      <c r="A86">
        <v>98</v>
      </c>
      <c r="B86">
        <v>1278</v>
      </c>
    </row>
    <row r="87" spans="1:2">
      <c r="A87">
        <v>99</v>
      </c>
      <c r="B87">
        <v>1279</v>
      </c>
    </row>
    <row r="88" spans="1:2">
      <c r="A88">
        <v>100</v>
      </c>
      <c r="B88">
        <v>1280</v>
      </c>
    </row>
    <row r="89" spans="1:2">
      <c r="A89">
        <v>101</v>
      </c>
      <c r="B89">
        <v>1281</v>
      </c>
    </row>
    <row r="90" spans="1:2">
      <c r="A90">
        <v>102</v>
      </c>
      <c r="B90">
        <v>1282</v>
      </c>
    </row>
    <row r="91" spans="1:2">
      <c r="A91">
        <v>103</v>
      </c>
      <c r="B91">
        <v>1283</v>
      </c>
    </row>
    <row r="92" spans="1:2">
      <c r="A92">
        <v>104</v>
      </c>
      <c r="B92">
        <v>1284</v>
      </c>
    </row>
    <row r="93" spans="1:2">
      <c r="A93">
        <v>105</v>
      </c>
      <c r="B93">
        <v>1285</v>
      </c>
    </row>
    <row r="94" spans="1:2">
      <c r="A94">
        <v>106</v>
      </c>
      <c r="B94">
        <v>1286</v>
      </c>
    </row>
    <row r="95" spans="1:2">
      <c r="A95">
        <v>107</v>
      </c>
      <c r="B95">
        <v>1287</v>
      </c>
    </row>
    <row r="96" spans="1:2">
      <c r="A96">
        <v>108</v>
      </c>
      <c r="B96">
        <v>1288</v>
      </c>
    </row>
    <row r="97" spans="1:2">
      <c r="A97">
        <v>109</v>
      </c>
      <c r="B97">
        <v>1289</v>
      </c>
    </row>
    <row r="98" spans="1:2">
      <c r="A98">
        <v>110</v>
      </c>
      <c r="B98">
        <v>1290</v>
      </c>
    </row>
    <row r="99" spans="1:2">
      <c r="A99">
        <v>111</v>
      </c>
      <c r="B99">
        <v>1291</v>
      </c>
    </row>
    <row r="100" spans="1:2">
      <c r="A100">
        <v>112</v>
      </c>
      <c r="B100">
        <v>1292</v>
      </c>
    </row>
    <row r="101" spans="1:2">
      <c r="A101">
        <v>113</v>
      </c>
      <c r="B101">
        <v>1293</v>
      </c>
    </row>
    <row r="102" spans="1:2">
      <c r="A102">
        <v>114</v>
      </c>
      <c r="B102">
        <v>1294</v>
      </c>
    </row>
    <row r="103" spans="1:2">
      <c r="A103">
        <v>115</v>
      </c>
      <c r="B103">
        <v>1295</v>
      </c>
    </row>
    <row r="104" spans="1:2">
      <c r="A104">
        <v>116</v>
      </c>
      <c r="B104">
        <v>1296</v>
      </c>
    </row>
    <row r="105" spans="1:2">
      <c r="A105">
        <v>117</v>
      </c>
      <c r="B105">
        <v>1297</v>
      </c>
    </row>
    <row r="106" spans="1:2">
      <c r="A106">
        <v>119</v>
      </c>
      <c r="B106">
        <v>1298</v>
      </c>
    </row>
    <row r="107" spans="1:2">
      <c r="A107">
        <v>120</v>
      </c>
      <c r="B107">
        <v>1299</v>
      </c>
    </row>
    <row r="108" spans="1:2">
      <c r="A108">
        <v>121</v>
      </c>
      <c r="B108">
        <v>1300</v>
      </c>
    </row>
    <row r="109" spans="1:2">
      <c r="A109">
        <v>122</v>
      </c>
      <c r="B109">
        <v>1301</v>
      </c>
    </row>
    <row r="110" spans="1:2">
      <c r="A110">
        <v>123</v>
      </c>
      <c r="B110">
        <v>1302</v>
      </c>
    </row>
    <row r="111" spans="1:2">
      <c r="A111">
        <v>124</v>
      </c>
      <c r="B111">
        <v>1303</v>
      </c>
    </row>
    <row r="112" spans="1:2">
      <c r="A112">
        <v>125</v>
      </c>
      <c r="B112">
        <v>1304</v>
      </c>
    </row>
    <row r="113" spans="1:2">
      <c r="A113">
        <v>126</v>
      </c>
      <c r="B113">
        <v>1305</v>
      </c>
    </row>
    <row r="114" spans="1:2">
      <c r="A114">
        <v>127</v>
      </c>
      <c r="B114">
        <v>1306</v>
      </c>
    </row>
    <row r="115" spans="1:2">
      <c r="A115">
        <v>130</v>
      </c>
      <c r="B115">
        <v>1307</v>
      </c>
    </row>
    <row r="116" spans="1:2">
      <c r="A116">
        <v>131</v>
      </c>
      <c r="B116">
        <v>1308</v>
      </c>
    </row>
    <row r="117" spans="1:2">
      <c r="A117">
        <v>132</v>
      </c>
      <c r="B117">
        <v>1309</v>
      </c>
    </row>
    <row r="118" spans="1:2">
      <c r="A118">
        <v>133</v>
      </c>
      <c r="B118">
        <v>1310</v>
      </c>
    </row>
    <row r="119" spans="1:2">
      <c r="A119">
        <v>134</v>
      </c>
      <c r="B119">
        <v>1311</v>
      </c>
    </row>
    <row r="120" spans="1:2">
      <c r="A120">
        <v>135</v>
      </c>
      <c r="B120">
        <v>1312</v>
      </c>
    </row>
    <row r="121" spans="1:2">
      <c r="A121">
        <v>136</v>
      </c>
      <c r="B121">
        <v>1313</v>
      </c>
    </row>
    <row r="122" spans="1:2">
      <c r="A122">
        <v>137</v>
      </c>
      <c r="B122">
        <v>1314</v>
      </c>
    </row>
    <row r="123" spans="1:2">
      <c r="A123">
        <v>138</v>
      </c>
      <c r="B123">
        <v>1315</v>
      </c>
    </row>
    <row r="124" spans="1:2">
      <c r="A124">
        <v>139</v>
      </c>
      <c r="B124">
        <v>1316</v>
      </c>
    </row>
    <row r="125" spans="1:2">
      <c r="A125">
        <v>140</v>
      </c>
      <c r="B125">
        <v>1317</v>
      </c>
    </row>
    <row r="126" spans="1:2">
      <c r="A126">
        <v>141</v>
      </c>
      <c r="B126">
        <v>1318</v>
      </c>
    </row>
    <row r="127" spans="1:2">
      <c r="A127">
        <v>142</v>
      </c>
      <c r="B127">
        <v>1319</v>
      </c>
    </row>
    <row r="128" spans="1:2">
      <c r="A128">
        <v>143</v>
      </c>
      <c r="B128">
        <v>1320</v>
      </c>
    </row>
    <row r="129" spans="1:2">
      <c r="A129">
        <v>144</v>
      </c>
      <c r="B129">
        <v>1321</v>
      </c>
    </row>
    <row r="130" spans="1:2">
      <c r="A130">
        <v>145</v>
      </c>
      <c r="B130">
        <v>1322</v>
      </c>
    </row>
    <row r="131" spans="1:2">
      <c r="A131">
        <v>146</v>
      </c>
      <c r="B131">
        <v>1323</v>
      </c>
    </row>
    <row r="132" spans="1:2">
      <c r="A132">
        <v>147</v>
      </c>
      <c r="B132">
        <v>1324</v>
      </c>
    </row>
    <row r="133" spans="1:2">
      <c r="A133">
        <v>148</v>
      </c>
      <c r="B133">
        <v>1325</v>
      </c>
    </row>
    <row r="134" spans="1:2">
      <c r="A134">
        <v>149</v>
      </c>
      <c r="B134">
        <v>1326</v>
      </c>
    </row>
    <row r="135" spans="1:2">
      <c r="A135">
        <v>150</v>
      </c>
      <c r="B135">
        <v>1327</v>
      </c>
    </row>
    <row r="136" spans="1:2">
      <c r="A136">
        <v>151</v>
      </c>
      <c r="B136">
        <v>1328</v>
      </c>
    </row>
    <row r="137" spans="1:2">
      <c r="A137">
        <v>152</v>
      </c>
      <c r="B137">
        <v>1329</v>
      </c>
    </row>
    <row r="138" spans="1:2">
      <c r="A138">
        <v>153</v>
      </c>
      <c r="B138">
        <v>1330</v>
      </c>
    </row>
    <row r="139" spans="1:2">
      <c r="A139">
        <v>154</v>
      </c>
      <c r="B139">
        <v>1331</v>
      </c>
    </row>
    <row r="140" spans="1:2">
      <c r="A140">
        <v>155</v>
      </c>
      <c r="B140">
        <v>1332</v>
      </c>
    </row>
    <row r="141" spans="1:2">
      <c r="A141">
        <v>157</v>
      </c>
      <c r="B141">
        <v>1333</v>
      </c>
    </row>
    <row r="142" spans="1:2">
      <c r="A142">
        <v>159</v>
      </c>
      <c r="B142">
        <v>1334</v>
      </c>
    </row>
    <row r="143" spans="1:2">
      <c r="A143">
        <v>160</v>
      </c>
      <c r="B143">
        <v>1335</v>
      </c>
    </row>
    <row r="144" spans="1:2">
      <c r="A144">
        <v>161</v>
      </c>
      <c r="B144">
        <v>1336</v>
      </c>
    </row>
    <row r="145" spans="1:2">
      <c r="A145">
        <v>164</v>
      </c>
      <c r="B145">
        <v>1337</v>
      </c>
    </row>
    <row r="146" spans="1:2">
      <c r="A146">
        <v>165</v>
      </c>
      <c r="B146">
        <v>1338</v>
      </c>
    </row>
    <row r="147" spans="1:2">
      <c r="A147">
        <v>166</v>
      </c>
      <c r="B147">
        <v>1339</v>
      </c>
    </row>
    <row r="148" spans="1:2">
      <c r="A148">
        <v>167</v>
      </c>
      <c r="B148">
        <v>1340</v>
      </c>
    </row>
    <row r="149" spans="1:2">
      <c r="A149">
        <v>168</v>
      </c>
      <c r="B149">
        <v>1341</v>
      </c>
    </row>
    <row r="150" spans="1:2">
      <c r="A150">
        <v>169</v>
      </c>
      <c r="B150">
        <v>1342</v>
      </c>
    </row>
    <row r="151" spans="1:2">
      <c r="A151">
        <v>170</v>
      </c>
      <c r="B151">
        <v>1343</v>
      </c>
    </row>
    <row r="152" spans="1:2">
      <c r="A152">
        <v>171</v>
      </c>
      <c r="B152">
        <v>1344</v>
      </c>
    </row>
    <row r="153" spans="1:2">
      <c r="A153">
        <v>172</v>
      </c>
      <c r="B153">
        <v>1345</v>
      </c>
    </row>
    <row r="154" spans="1:2">
      <c r="A154">
        <v>173</v>
      </c>
      <c r="B154">
        <v>1346</v>
      </c>
    </row>
    <row r="155" spans="1:2">
      <c r="A155">
        <v>174</v>
      </c>
      <c r="B155">
        <v>1347</v>
      </c>
    </row>
    <row r="156" spans="1:2">
      <c r="A156">
        <v>175</v>
      </c>
      <c r="B156">
        <v>1348</v>
      </c>
    </row>
    <row r="157" spans="1:2">
      <c r="A157">
        <v>176</v>
      </c>
      <c r="B157">
        <v>1349</v>
      </c>
    </row>
    <row r="158" spans="1:2">
      <c r="A158">
        <v>178</v>
      </c>
      <c r="B158">
        <v>1350</v>
      </c>
    </row>
    <row r="159" spans="1:2">
      <c r="A159">
        <v>179</v>
      </c>
      <c r="B159">
        <v>1351</v>
      </c>
    </row>
    <row r="160" spans="1:2">
      <c r="A160">
        <v>180</v>
      </c>
      <c r="B160">
        <v>1352</v>
      </c>
    </row>
    <row r="161" spans="1:2">
      <c r="A161">
        <v>181</v>
      </c>
      <c r="B161">
        <v>1353</v>
      </c>
    </row>
    <row r="162" spans="1:2">
      <c r="A162">
        <v>183</v>
      </c>
      <c r="B162">
        <v>1354</v>
      </c>
    </row>
    <row r="163" spans="1:2">
      <c r="A163">
        <v>184</v>
      </c>
      <c r="B163">
        <v>1355</v>
      </c>
    </row>
    <row r="164" spans="1:2">
      <c r="A164">
        <v>185</v>
      </c>
      <c r="B164">
        <v>1356</v>
      </c>
    </row>
    <row r="165" spans="1:2">
      <c r="A165">
        <v>186</v>
      </c>
      <c r="B165">
        <v>1357</v>
      </c>
    </row>
    <row r="166" spans="1:2">
      <c r="A166">
        <v>187</v>
      </c>
      <c r="B166">
        <v>1358</v>
      </c>
    </row>
    <row r="167" spans="1:2">
      <c r="A167">
        <v>188</v>
      </c>
      <c r="B167">
        <v>1359</v>
      </c>
    </row>
    <row r="168" spans="1:2">
      <c r="A168">
        <v>189</v>
      </c>
      <c r="B168">
        <v>1360</v>
      </c>
    </row>
    <row r="169" spans="1:2">
      <c r="A169">
        <v>190</v>
      </c>
      <c r="B169">
        <v>1361</v>
      </c>
    </row>
    <row r="170" spans="1:2">
      <c r="A170">
        <v>191</v>
      </c>
      <c r="B170">
        <v>1362</v>
      </c>
    </row>
    <row r="171" spans="1:2">
      <c r="A171">
        <v>192</v>
      </c>
      <c r="B171">
        <v>1363</v>
      </c>
    </row>
    <row r="172" spans="1:2">
      <c r="A172">
        <v>193</v>
      </c>
      <c r="B172">
        <v>1364</v>
      </c>
    </row>
    <row r="173" spans="1:2">
      <c r="A173">
        <v>194</v>
      </c>
      <c r="B173">
        <v>1365</v>
      </c>
    </row>
    <row r="174" spans="1:2">
      <c r="A174">
        <v>195</v>
      </c>
      <c r="B174">
        <v>1366</v>
      </c>
    </row>
    <row r="175" spans="1:2">
      <c r="A175">
        <v>196</v>
      </c>
      <c r="B175">
        <v>1367</v>
      </c>
    </row>
    <row r="176" spans="1:2">
      <c r="A176">
        <v>197</v>
      </c>
      <c r="B176">
        <v>1368</v>
      </c>
    </row>
    <row r="177" spans="1:2">
      <c r="A177">
        <v>198</v>
      </c>
      <c r="B177">
        <v>1369</v>
      </c>
    </row>
    <row r="178" spans="1:2">
      <c r="A178">
        <v>199</v>
      </c>
      <c r="B178">
        <v>1370</v>
      </c>
    </row>
    <row r="179" spans="1:2">
      <c r="A179">
        <v>200</v>
      </c>
      <c r="B179">
        <v>1371</v>
      </c>
    </row>
    <row r="180" spans="1:2">
      <c r="A180">
        <v>201</v>
      </c>
      <c r="B180">
        <v>1372</v>
      </c>
    </row>
    <row r="181" spans="1:2">
      <c r="A181">
        <v>202</v>
      </c>
      <c r="B181">
        <v>1373</v>
      </c>
    </row>
    <row r="182" spans="1:2">
      <c r="A182">
        <v>203</v>
      </c>
      <c r="B182">
        <v>1374</v>
      </c>
    </row>
    <row r="183" spans="1:2">
      <c r="A183">
        <v>204</v>
      </c>
      <c r="B183">
        <v>1375</v>
      </c>
    </row>
    <row r="184" spans="1:2">
      <c r="A184">
        <v>205</v>
      </c>
      <c r="B184">
        <v>1376</v>
      </c>
    </row>
    <row r="185" spans="1:2">
      <c r="A185">
        <v>206</v>
      </c>
      <c r="B185">
        <v>1377</v>
      </c>
    </row>
    <row r="186" spans="1:2">
      <c r="A186">
        <v>207</v>
      </c>
      <c r="B186">
        <v>1378</v>
      </c>
    </row>
    <row r="187" spans="1:2">
      <c r="A187">
        <v>208</v>
      </c>
      <c r="B187">
        <v>1379</v>
      </c>
    </row>
    <row r="188" spans="1:2">
      <c r="A188">
        <v>209</v>
      </c>
      <c r="B188">
        <v>1380</v>
      </c>
    </row>
    <row r="189" spans="1:2">
      <c r="A189">
        <v>210</v>
      </c>
      <c r="B189">
        <v>1381</v>
      </c>
    </row>
    <row r="190" spans="1:2">
      <c r="A190">
        <v>211</v>
      </c>
      <c r="B190">
        <v>1382</v>
      </c>
    </row>
    <row r="191" spans="1:2">
      <c r="A191">
        <v>212</v>
      </c>
      <c r="B191">
        <v>1383</v>
      </c>
    </row>
    <row r="192" spans="1:2">
      <c r="A192">
        <v>213</v>
      </c>
      <c r="B192">
        <v>1384</v>
      </c>
    </row>
    <row r="193" spans="1:2">
      <c r="A193">
        <v>214</v>
      </c>
      <c r="B193">
        <v>1385</v>
      </c>
    </row>
    <row r="194" spans="1:2">
      <c r="A194">
        <v>215</v>
      </c>
      <c r="B194">
        <v>1386</v>
      </c>
    </row>
    <row r="195" spans="1:2">
      <c r="A195">
        <v>216</v>
      </c>
      <c r="B195">
        <v>1387</v>
      </c>
    </row>
    <row r="196" spans="1:2">
      <c r="A196">
        <v>217</v>
      </c>
      <c r="B196">
        <v>1388</v>
      </c>
    </row>
    <row r="197" spans="1:2">
      <c r="A197">
        <v>218</v>
      </c>
      <c r="B197">
        <v>1389</v>
      </c>
    </row>
    <row r="198" spans="1:2">
      <c r="A198">
        <v>219</v>
      </c>
      <c r="B198">
        <v>1390</v>
      </c>
    </row>
    <row r="199" spans="1:2">
      <c r="A199">
        <v>221</v>
      </c>
      <c r="B199">
        <v>1391</v>
      </c>
    </row>
    <row r="200" spans="1:2">
      <c r="A200">
        <v>222</v>
      </c>
      <c r="B200">
        <v>1392</v>
      </c>
    </row>
    <row r="201" spans="1:2">
      <c r="A201">
        <v>223</v>
      </c>
      <c r="B201">
        <v>1393</v>
      </c>
    </row>
    <row r="202" spans="1:2">
      <c r="A202">
        <v>224</v>
      </c>
      <c r="B202">
        <v>1394</v>
      </c>
    </row>
    <row r="203" spans="1:2">
      <c r="A203">
        <v>226</v>
      </c>
      <c r="B203">
        <v>1395</v>
      </c>
    </row>
    <row r="204" spans="1:2">
      <c r="A204">
        <v>228</v>
      </c>
      <c r="B204">
        <v>1396</v>
      </c>
    </row>
    <row r="205" spans="1:2">
      <c r="A205">
        <v>229</v>
      </c>
      <c r="B205">
        <v>1397</v>
      </c>
    </row>
    <row r="206" spans="1:2">
      <c r="A206">
        <v>230</v>
      </c>
      <c r="B206">
        <v>1398</v>
      </c>
    </row>
    <row r="207" spans="1:2">
      <c r="A207">
        <v>231</v>
      </c>
      <c r="B207">
        <v>1399</v>
      </c>
    </row>
    <row r="208" spans="1:2">
      <c r="A208">
        <v>232</v>
      </c>
      <c r="B208">
        <v>1400</v>
      </c>
    </row>
    <row r="209" spans="1:2">
      <c r="A209">
        <v>233</v>
      </c>
      <c r="B209">
        <v>1401</v>
      </c>
    </row>
    <row r="210" spans="1:2">
      <c r="A210">
        <v>234</v>
      </c>
      <c r="B210">
        <v>1402</v>
      </c>
    </row>
    <row r="211" spans="1:2">
      <c r="A211">
        <v>235</v>
      </c>
      <c r="B211">
        <v>1403</v>
      </c>
    </row>
    <row r="212" spans="1:2">
      <c r="A212">
        <v>236</v>
      </c>
      <c r="B212">
        <v>1404</v>
      </c>
    </row>
    <row r="213" spans="1:2">
      <c r="A213">
        <v>237</v>
      </c>
      <c r="B213">
        <v>1405</v>
      </c>
    </row>
    <row r="214" spans="1:2">
      <c r="A214">
        <v>238</v>
      </c>
      <c r="B214">
        <v>1406</v>
      </c>
    </row>
    <row r="215" spans="1:2">
      <c r="A215">
        <v>239</v>
      </c>
      <c r="B215">
        <v>1407</v>
      </c>
    </row>
    <row r="216" spans="1:2">
      <c r="A216">
        <v>240</v>
      </c>
      <c r="B216">
        <v>1408</v>
      </c>
    </row>
    <row r="217" spans="1:2">
      <c r="A217">
        <v>241</v>
      </c>
      <c r="B217">
        <v>1409</v>
      </c>
    </row>
    <row r="218" spans="1:2">
      <c r="A218">
        <v>242</v>
      </c>
      <c r="B218">
        <v>1410</v>
      </c>
    </row>
    <row r="219" spans="1:2">
      <c r="A219">
        <v>243</v>
      </c>
      <c r="B219">
        <v>1411</v>
      </c>
    </row>
    <row r="220" spans="1:2">
      <c r="A220">
        <v>244</v>
      </c>
      <c r="B220">
        <v>1412</v>
      </c>
    </row>
    <row r="221" spans="1:2">
      <c r="A221">
        <v>245</v>
      </c>
      <c r="B221">
        <v>1413</v>
      </c>
    </row>
    <row r="222" spans="1:2">
      <c r="A222">
        <v>246</v>
      </c>
      <c r="B222">
        <v>1414</v>
      </c>
    </row>
    <row r="223" spans="1:2">
      <c r="A223">
        <v>247</v>
      </c>
      <c r="B223">
        <v>1415</v>
      </c>
    </row>
    <row r="224" spans="1:2">
      <c r="A224">
        <v>248</v>
      </c>
      <c r="B224">
        <v>1416</v>
      </c>
    </row>
    <row r="225" spans="1:2">
      <c r="A225">
        <v>249</v>
      </c>
      <c r="B225">
        <v>1417</v>
      </c>
    </row>
    <row r="226" spans="1:2">
      <c r="A226">
        <v>250</v>
      </c>
      <c r="B226">
        <v>1418</v>
      </c>
    </row>
    <row r="227" spans="1:2">
      <c r="A227">
        <v>251</v>
      </c>
      <c r="B227">
        <v>1419</v>
      </c>
    </row>
    <row r="228" spans="1:2">
      <c r="A228">
        <v>252</v>
      </c>
      <c r="B228">
        <v>1420</v>
      </c>
    </row>
    <row r="229" spans="1:2">
      <c r="A229">
        <v>253</v>
      </c>
      <c r="B229">
        <v>1421</v>
      </c>
    </row>
    <row r="230" spans="1:2">
      <c r="A230">
        <v>254</v>
      </c>
      <c r="B230">
        <v>1422</v>
      </c>
    </row>
    <row r="231" spans="1:2">
      <c r="A231">
        <v>255</v>
      </c>
      <c r="B231">
        <v>1423</v>
      </c>
    </row>
    <row r="232" spans="1:2">
      <c r="A232">
        <v>256</v>
      </c>
      <c r="B232">
        <v>1424</v>
      </c>
    </row>
    <row r="233" spans="1:2">
      <c r="A233">
        <v>258</v>
      </c>
      <c r="B233">
        <v>1425</v>
      </c>
    </row>
    <row r="234" spans="1:2">
      <c r="A234">
        <v>259</v>
      </c>
      <c r="B234">
        <v>1426</v>
      </c>
    </row>
    <row r="235" spans="1:2">
      <c r="A235">
        <v>260</v>
      </c>
      <c r="B235">
        <v>1427</v>
      </c>
    </row>
    <row r="236" spans="1:2">
      <c r="A236">
        <v>261</v>
      </c>
      <c r="B236">
        <v>1428</v>
      </c>
    </row>
    <row r="237" spans="1:2">
      <c r="A237">
        <v>262</v>
      </c>
      <c r="B237">
        <v>1429</v>
      </c>
    </row>
    <row r="238" spans="1:2">
      <c r="A238">
        <v>263</v>
      </c>
      <c r="B238">
        <v>1430</v>
      </c>
    </row>
    <row r="239" spans="1:2">
      <c r="A239">
        <v>264</v>
      </c>
      <c r="B239">
        <v>1431</v>
      </c>
    </row>
    <row r="240" spans="1:2">
      <c r="A240">
        <v>265</v>
      </c>
      <c r="B240">
        <v>1432</v>
      </c>
    </row>
    <row r="241" spans="1:2">
      <c r="A241">
        <v>266</v>
      </c>
      <c r="B241">
        <v>1433</v>
      </c>
    </row>
    <row r="242" spans="1:2">
      <c r="A242">
        <v>268</v>
      </c>
      <c r="B242">
        <v>1434</v>
      </c>
    </row>
    <row r="243" spans="1:2">
      <c r="A243">
        <v>269</v>
      </c>
      <c r="B243">
        <v>1435</v>
      </c>
    </row>
    <row r="244" spans="1:2">
      <c r="A244">
        <v>270</v>
      </c>
      <c r="B244">
        <v>1436</v>
      </c>
    </row>
    <row r="245" spans="1:2">
      <c r="A245">
        <v>271</v>
      </c>
      <c r="B245">
        <v>1437</v>
      </c>
    </row>
    <row r="246" spans="1:2">
      <c r="A246">
        <v>272</v>
      </c>
      <c r="B246">
        <v>1438</v>
      </c>
    </row>
    <row r="247" spans="1:2">
      <c r="A247">
        <v>273</v>
      </c>
      <c r="B247">
        <v>1439</v>
      </c>
    </row>
    <row r="248" spans="1:2">
      <c r="A248">
        <v>274</v>
      </c>
      <c r="B248">
        <v>1440</v>
      </c>
    </row>
    <row r="249" spans="1:2">
      <c r="A249">
        <v>275</v>
      </c>
      <c r="B249">
        <v>1441</v>
      </c>
    </row>
    <row r="250" spans="1:2">
      <c r="A250">
        <v>276</v>
      </c>
      <c r="B250">
        <v>1442</v>
      </c>
    </row>
    <row r="251" spans="1:2">
      <c r="A251">
        <v>277</v>
      </c>
      <c r="B251">
        <v>1443</v>
      </c>
    </row>
    <row r="252" spans="1:2">
      <c r="A252">
        <v>278</v>
      </c>
      <c r="B252">
        <v>1444</v>
      </c>
    </row>
    <row r="253" spans="1:2">
      <c r="A253">
        <v>279</v>
      </c>
      <c r="B253">
        <v>1445</v>
      </c>
    </row>
    <row r="254" spans="1:2">
      <c r="A254">
        <v>280</v>
      </c>
      <c r="B254">
        <v>1446</v>
      </c>
    </row>
    <row r="255" spans="1:2">
      <c r="A255">
        <v>281</v>
      </c>
      <c r="B255">
        <v>1447</v>
      </c>
    </row>
    <row r="256" spans="1:2">
      <c r="A256">
        <v>282</v>
      </c>
      <c r="B256">
        <v>1448</v>
      </c>
    </row>
    <row r="257" spans="1:2">
      <c r="A257">
        <v>283</v>
      </c>
      <c r="B257">
        <v>1449</v>
      </c>
    </row>
    <row r="258" spans="1:2">
      <c r="A258">
        <v>284</v>
      </c>
      <c r="B258">
        <v>1450</v>
      </c>
    </row>
    <row r="259" spans="1:2">
      <c r="A259">
        <v>285</v>
      </c>
      <c r="B259">
        <v>1451</v>
      </c>
    </row>
    <row r="260" spans="1:2">
      <c r="A260">
        <v>286</v>
      </c>
      <c r="B260">
        <v>1452</v>
      </c>
    </row>
    <row r="261" spans="1:2">
      <c r="A261">
        <v>287</v>
      </c>
      <c r="B261">
        <v>1453</v>
      </c>
    </row>
    <row r="262" spans="1:2">
      <c r="A262">
        <v>288</v>
      </c>
      <c r="B262">
        <v>1454</v>
      </c>
    </row>
    <row r="263" spans="1:2">
      <c r="A263">
        <v>289</v>
      </c>
      <c r="B263">
        <v>1455</v>
      </c>
    </row>
    <row r="264" spans="1:2">
      <c r="A264">
        <v>290</v>
      </c>
      <c r="B264">
        <v>1456</v>
      </c>
    </row>
    <row r="265" spans="1:2">
      <c r="A265">
        <v>291</v>
      </c>
      <c r="B265">
        <v>1457</v>
      </c>
    </row>
    <row r="266" spans="1:2">
      <c r="A266">
        <v>292</v>
      </c>
      <c r="B266">
        <v>1458</v>
      </c>
    </row>
    <row r="267" spans="1:2">
      <c r="A267">
        <v>293</v>
      </c>
      <c r="B267">
        <v>1459</v>
      </c>
    </row>
    <row r="268" spans="1:2">
      <c r="A268">
        <v>294</v>
      </c>
      <c r="B268">
        <v>1460</v>
      </c>
    </row>
    <row r="269" spans="1:2">
      <c r="A269">
        <v>295</v>
      </c>
      <c r="B269">
        <v>1461</v>
      </c>
    </row>
    <row r="270" spans="1:2">
      <c r="A270">
        <v>296</v>
      </c>
      <c r="B270">
        <v>1462</v>
      </c>
    </row>
    <row r="271" spans="1:2">
      <c r="A271">
        <v>297</v>
      </c>
      <c r="B271">
        <v>1463</v>
      </c>
    </row>
    <row r="272" spans="1:2">
      <c r="A272">
        <v>298</v>
      </c>
      <c r="B272">
        <v>1464</v>
      </c>
    </row>
    <row r="273" spans="1:2">
      <c r="A273">
        <v>299</v>
      </c>
      <c r="B273">
        <v>1465</v>
      </c>
    </row>
    <row r="274" spans="1:2">
      <c r="A274">
        <v>300</v>
      </c>
      <c r="B274">
        <v>1466</v>
      </c>
    </row>
    <row r="275" spans="1:2">
      <c r="A275">
        <v>301</v>
      </c>
      <c r="B275">
        <v>1467</v>
      </c>
    </row>
    <row r="276" spans="1:2">
      <c r="A276">
        <v>302</v>
      </c>
      <c r="B276">
        <v>1468</v>
      </c>
    </row>
    <row r="277" spans="1:2">
      <c r="A277">
        <v>303</v>
      </c>
      <c r="B277">
        <v>1469</v>
      </c>
    </row>
    <row r="278" spans="1:2">
      <c r="A278">
        <v>304</v>
      </c>
      <c r="B278">
        <v>1470</v>
      </c>
    </row>
    <row r="279" spans="1:2">
      <c r="A279">
        <v>305</v>
      </c>
      <c r="B279">
        <v>1471</v>
      </c>
    </row>
    <row r="280" spans="1:2">
      <c r="A280">
        <v>306</v>
      </c>
      <c r="B280">
        <v>1472</v>
      </c>
    </row>
    <row r="281" spans="1:2">
      <c r="A281">
        <v>307</v>
      </c>
      <c r="B281">
        <v>1473</v>
      </c>
    </row>
    <row r="282" spans="1:2">
      <c r="A282">
        <v>308</v>
      </c>
      <c r="B282">
        <v>1474</v>
      </c>
    </row>
    <row r="283" spans="1:2">
      <c r="A283">
        <v>309</v>
      </c>
      <c r="B283">
        <v>1475</v>
      </c>
    </row>
    <row r="284" spans="1:2">
      <c r="A284">
        <v>310</v>
      </c>
      <c r="B284">
        <v>1476</v>
      </c>
    </row>
    <row r="285" spans="1:2">
      <c r="A285">
        <v>311</v>
      </c>
      <c r="B285">
        <v>1477</v>
      </c>
    </row>
    <row r="286" spans="1:2">
      <c r="A286">
        <v>312</v>
      </c>
      <c r="B286">
        <v>1478</v>
      </c>
    </row>
    <row r="287" spans="1:2">
      <c r="A287">
        <v>314</v>
      </c>
      <c r="B287">
        <v>1479</v>
      </c>
    </row>
    <row r="288" spans="1:2">
      <c r="A288">
        <v>315</v>
      </c>
      <c r="B288">
        <v>1480</v>
      </c>
    </row>
    <row r="289" spans="1:2">
      <c r="A289">
        <v>316</v>
      </c>
      <c r="B289">
        <v>1481</v>
      </c>
    </row>
    <row r="290" spans="1:2">
      <c r="A290">
        <v>317</v>
      </c>
      <c r="B290">
        <v>1482</v>
      </c>
    </row>
    <row r="291" spans="1:2">
      <c r="A291">
        <v>318</v>
      </c>
      <c r="B291">
        <v>1483</v>
      </c>
    </row>
    <row r="292" spans="1:2">
      <c r="A292">
        <v>319</v>
      </c>
      <c r="B292">
        <v>1484</v>
      </c>
    </row>
    <row r="293" spans="1:2">
      <c r="A293">
        <v>321</v>
      </c>
      <c r="B293">
        <v>1485</v>
      </c>
    </row>
    <row r="294" spans="1:2">
      <c r="A294">
        <v>322</v>
      </c>
      <c r="B294">
        <v>1486</v>
      </c>
    </row>
    <row r="295" spans="1:2">
      <c r="A295">
        <v>323</v>
      </c>
      <c r="B295">
        <v>1487</v>
      </c>
    </row>
    <row r="296" spans="1:2">
      <c r="A296">
        <v>324</v>
      </c>
      <c r="B296">
        <v>1488</v>
      </c>
    </row>
    <row r="297" spans="1:2">
      <c r="A297">
        <v>326</v>
      </c>
      <c r="B297">
        <v>1489</v>
      </c>
    </row>
    <row r="298" spans="1:2">
      <c r="A298">
        <v>327</v>
      </c>
      <c r="B298">
        <v>1490</v>
      </c>
    </row>
    <row r="299" spans="1:2">
      <c r="A299">
        <v>329</v>
      </c>
      <c r="B299">
        <v>1491</v>
      </c>
    </row>
    <row r="300" spans="1:2">
      <c r="A300">
        <v>330</v>
      </c>
      <c r="B300">
        <v>1492</v>
      </c>
    </row>
    <row r="301" spans="1:2">
      <c r="A301">
        <v>331</v>
      </c>
      <c r="B301">
        <v>1493</v>
      </c>
    </row>
    <row r="302" spans="1:2">
      <c r="A302">
        <v>332</v>
      </c>
      <c r="B302">
        <v>1494</v>
      </c>
    </row>
    <row r="303" spans="1:2">
      <c r="A303">
        <v>333</v>
      </c>
      <c r="B303">
        <v>1495</v>
      </c>
    </row>
    <row r="304" spans="1:2">
      <c r="A304">
        <v>334</v>
      </c>
      <c r="B304">
        <v>1496</v>
      </c>
    </row>
    <row r="305" spans="1:2">
      <c r="A305">
        <v>335</v>
      </c>
      <c r="B305">
        <v>1497</v>
      </c>
    </row>
    <row r="306" spans="1:2">
      <c r="A306">
        <v>336</v>
      </c>
      <c r="B306">
        <v>1498</v>
      </c>
    </row>
    <row r="307" spans="1:2">
      <c r="A307">
        <v>338</v>
      </c>
      <c r="B307">
        <v>1499</v>
      </c>
    </row>
    <row r="308" spans="1:2">
      <c r="A308">
        <v>339</v>
      </c>
      <c r="B308">
        <v>1500</v>
      </c>
    </row>
    <row r="309" spans="1:2">
      <c r="A309">
        <v>340</v>
      </c>
      <c r="B309">
        <v>1501</v>
      </c>
    </row>
    <row r="310" spans="1:2">
      <c r="A310">
        <v>341</v>
      </c>
      <c r="B310">
        <v>1502</v>
      </c>
    </row>
    <row r="311" spans="1:2">
      <c r="A311">
        <v>342</v>
      </c>
      <c r="B311">
        <v>1503</v>
      </c>
    </row>
    <row r="312" spans="1:2">
      <c r="A312">
        <v>343</v>
      </c>
      <c r="B312">
        <v>1504</v>
      </c>
    </row>
    <row r="313" spans="1:2">
      <c r="A313">
        <v>344</v>
      </c>
      <c r="B313">
        <v>1505</v>
      </c>
    </row>
    <row r="314" spans="1:2">
      <c r="A314">
        <v>345</v>
      </c>
      <c r="B314">
        <v>1506</v>
      </c>
    </row>
    <row r="315" spans="1:2">
      <c r="A315">
        <v>346</v>
      </c>
      <c r="B315">
        <v>1507</v>
      </c>
    </row>
    <row r="316" spans="1:2">
      <c r="A316">
        <v>347</v>
      </c>
      <c r="B316">
        <v>1508</v>
      </c>
    </row>
    <row r="317" spans="1:2">
      <c r="A317">
        <v>348</v>
      </c>
      <c r="B317">
        <v>1509</v>
      </c>
    </row>
    <row r="318" spans="1:2">
      <c r="A318">
        <v>349</v>
      </c>
      <c r="B318">
        <v>1510</v>
      </c>
    </row>
    <row r="319" spans="1:2">
      <c r="A319">
        <v>350</v>
      </c>
      <c r="B319">
        <v>1511</v>
      </c>
    </row>
    <row r="320" spans="1:2">
      <c r="A320">
        <v>351</v>
      </c>
      <c r="B320">
        <v>1512</v>
      </c>
    </row>
    <row r="321" spans="1:2">
      <c r="A321">
        <v>352</v>
      </c>
      <c r="B321">
        <v>1513</v>
      </c>
    </row>
    <row r="322" spans="1:2">
      <c r="A322">
        <v>353</v>
      </c>
      <c r="B322">
        <v>1514</v>
      </c>
    </row>
    <row r="323" spans="1:2">
      <c r="A323">
        <v>354</v>
      </c>
      <c r="B323">
        <v>1515</v>
      </c>
    </row>
    <row r="324" spans="1:2">
      <c r="A324">
        <v>355</v>
      </c>
      <c r="B324">
        <v>1516</v>
      </c>
    </row>
    <row r="325" spans="1:2">
      <c r="A325">
        <v>357</v>
      </c>
      <c r="B325">
        <v>1517</v>
      </c>
    </row>
    <row r="326" spans="1:2">
      <c r="A326">
        <v>358</v>
      </c>
      <c r="B326">
        <v>1518</v>
      </c>
    </row>
    <row r="327" spans="1:2">
      <c r="A327">
        <v>359</v>
      </c>
      <c r="B327">
        <v>1519</v>
      </c>
    </row>
    <row r="328" spans="1:2">
      <c r="A328">
        <v>360</v>
      </c>
      <c r="B328">
        <v>1520</v>
      </c>
    </row>
    <row r="329" spans="1:2">
      <c r="A329">
        <v>361</v>
      </c>
      <c r="B329">
        <v>1521</v>
      </c>
    </row>
    <row r="330" spans="1:2">
      <c r="A330">
        <v>362</v>
      </c>
      <c r="B330">
        <v>1522</v>
      </c>
    </row>
    <row r="331" spans="1:2">
      <c r="A331">
        <v>363</v>
      </c>
      <c r="B331">
        <v>1523</v>
      </c>
    </row>
    <row r="332" spans="1:2">
      <c r="A332">
        <v>364</v>
      </c>
      <c r="B332">
        <v>1524</v>
      </c>
    </row>
    <row r="333" spans="1:2">
      <c r="A333">
        <v>365</v>
      </c>
      <c r="B333">
        <v>1525</v>
      </c>
    </row>
    <row r="334" spans="1:2">
      <c r="A334">
        <v>366</v>
      </c>
      <c r="B334">
        <v>1526</v>
      </c>
    </row>
    <row r="335" spans="1:2">
      <c r="A335">
        <v>367</v>
      </c>
      <c r="B335">
        <v>1527</v>
      </c>
    </row>
    <row r="336" spans="1:2">
      <c r="A336">
        <v>369</v>
      </c>
      <c r="B336">
        <v>1528</v>
      </c>
    </row>
    <row r="337" spans="1:2">
      <c r="A337">
        <v>370</v>
      </c>
      <c r="B337">
        <v>1529</v>
      </c>
    </row>
    <row r="338" spans="1:2">
      <c r="A338">
        <v>371</v>
      </c>
      <c r="B338">
        <v>1530</v>
      </c>
    </row>
    <row r="339" spans="1:2">
      <c r="A339">
        <v>373</v>
      </c>
      <c r="B339">
        <v>1531</v>
      </c>
    </row>
    <row r="340" spans="1:2">
      <c r="A340">
        <v>374</v>
      </c>
      <c r="B340">
        <v>1532</v>
      </c>
    </row>
    <row r="341" spans="1:2">
      <c r="A341">
        <v>375</v>
      </c>
      <c r="B341">
        <v>1533</v>
      </c>
    </row>
    <row r="342" spans="1:2">
      <c r="A342">
        <v>376</v>
      </c>
      <c r="B342">
        <v>1534</v>
      </c>
    </row>
    <row r="343" spans="1:2">
      <c r="A343">
        <v>377</v>
      </c>
      <c r="B343">
        <v>1535</v>
      </c>
    </row>
    <row r="344" spans="1:2">
      <c r="A344">
        <v>378</v>
      </c>
      <c r="B344">
        <v>1536</v>
      </c>
    </row>
    <row r="345" spans="1:2">
      <c r="A345">
        <v>380</v>
      </c>
      <c r="B345">
        <v>1537</v>
      </c>
    </row>
    <row r="346" spans="1:2">
      <c r="A346">
        <v>381</v>
      </c>
      <c r="B346">
        <v>1538</v>
      </c>
    </row>
    <row r="347" spans="1:2">
      <c r="A347">
        <v>382</v>
      </c>
      <c r="B347">
        <v>1539</v>
      </c>
    </row>
    <row r="348" spans="1:2">
      <c r="A348">
        <v>383</v>
      </c>
      <c r="B348">
        <v>1540</v>
      </c>
    </row>
    <row r="349" spans="1:2">
      <c r="A349">
        <v>384</v>
      </c>
      <c r="B349">
        <v>1541</v>
      </c>
    </row>
    <row r="350" spans="1:2">
      <c r="A350">
        <v>385</v>
      </c>
      <c r="B350">
        <v>1542</v>
      </c>
    </row>
    <row r="351" spans="1:2">
      <c r="A351">
        <v>386</v>
      </c>
      <c r="B351">
        <v>1543</v>
      </c>
    </row>
    <row r="352" spans="1:2">
      <c r="A352">
        <v>387</v>
      </c>
      <c r="B352">
        <v>1544</v>
      </c>
    </row>
    <row r="353" spans="1:2">
      <c r="A353">
        <v>389</v>
      </c>
      <c r="B353">
        <v>1545</v>
      </c>
    </row>
    <row r="354" spans="1:2">
      <c r="A354">
        <v>390</v>
      </c>
      <c r="B354">
        <v>1546</v>
      </c>
    </row>
    <row r="355" spans="1:2">
      <c r="A355">
        <v>391</v>
      </c>
      <c r="B355">
        <v>1547</v>
      </c>
    </row>
    <row r="356" spans="1:2">
      <c r="A356">
        <v>392</v>
      </c>
      <c r="B356">
        <v>1548</v>
      </c>
    </row>
    <row r="357" spans="1:2">
      <c r="A357">
        <v>393</v>
      </c>
      <c r="B357">
        <v>1549</v>
      </c>
    </row>
    <row r="358" spans="1:2">
      <c r="A358">
        <v>394</v>
      </c>
      <c r="B358">
        <v>1550</v>
      </c>
    </row>
    <row r="359" spans="1:2">
      <c r="A359">
        <v>395</v>
      </c>
      <c r="B359">
        <v>1551</v>
      </c>
    </row>
    <row r="360" spans="1:2">
      <c r="A360">
        <v>396</v>
      </c>
      <c r="B360">
        <v>1552</v>
      </c>
    </row>
    <row r="361" spans="1:2">
      <c r="A361">
        <v>397</v>
      </c>
      <c r="B361">
        <v>1553</v>
      </c>
    </row>
    <row r="362" spans="1:2">
      <c r="A362">
        <v>398</v>
      </c>
      <c r="B362">
        <v>1554</v>
      </c>
    </row>
    <row r="363" spans="1:2">
      <c r="A363">
        <v>400</v>
      </c>
      <c r="B363">
        <v>1555</v>
      </c>
    </row>
    <row r="364" spans="1:2">
      <c r="A364">
        <v>401</v>
      </c>
      <c r="B364">
        <v>1556</v>
      </c>
    </row>
    <row r="365" spans="1:2">
      <c r="A365">
        <v>402</v>
      </c>
      <c r="B365">
        <v>1557</v>
      </c>
    </row>
    <row r="366" spans="1:2">
      <c r="A366">
        <v>403</v>
      </c>
      <c r="B366">
        <v>1558</v>
      </c>
    </row>
    <row r="367" spans="1:2">
      <c r="A367">
        <v>404</v>
      </c>
      <c r="B367">
        <v>1559</v>
      </c>
    </row>
    <row r="368" spans="1:2">
      <c r="A368">
        <v>405</v>
      </c>
      <c r="B368">
        <v>1560</v>
      </c>
    </row>
    <row r="369" spans="1:2">
      <c r="A369">
        <v>406</v>
      </c>
      <c r="B369">
        <v>1561</v>
      </c>
    </row>
    <row r="370" spans="1:2">
      <c r="A370">
        <v>407</v>
      </c>
      <c r="B370">
        <v>1562</v>
      </c>
    </row>
    <row r="371" spans="1:2">
      <c r="A371">
        <v>408</v>
      </c>
      <c r="B371">
        <v>1563</v>
      </c>
    </row>
    <row r="372" spans="1:2">
      <c r="A372">
        <v>409</v>
      </c>
      <c r="B372">
        <v>1564</v>
      </c>
    </row>
    <row r="373" spans="1:2">
      <c r="A373">
        <v>410</v>
      </c>
      <c r="B373">
        <v>1565</v>
      </c>
    </row>
    <row r="374" spans="1:2">
      <c r="A374">
        <v>411</v>
      </c>
      <c r="B374">
        <v>1566</v>
      </c>
    </row>
    <row r="375" spans="1:2">
      <c r="A375">
        <v>413</v>
      </c>
      <c r="B375">
        <v>1567</v>
      </c>
    </row>
    <row r="376" spans="1:2">
      <c r="A376">
        <v>414</v>
      </c>
      <c r="B376">
        <v>1568</v>
      </c>
    </row>
    <row r="377" spans="1:2">
      <c r="A377">
        <v>415</v>
      </c>
      <c r="B377">
        <v>1569</v>
      </c>
    </row>
    <row r="378" spans="1:2">
      <c r="A378">
        <v>416</v>
      </c>
      <c r="B378">
        <v>1570</v>
      </c>
    </row>
    <row r="379" spans="1:2">
      <c r="A379">
        <v>417</v>
      </c>
      <c r="B379">
        <v>1571</v>
      </c>
    </row>
    <row r="380" spans="1:2">
      <c r="A380">
        <v>418</v>
      </c>
      <c r="B380">
        <v>1572</v>
      </c>
    </row>
    <row r="381" spans="1:2">
      <c r="A381">
        <v>419</v>
      </c>
      <c r="B381">
        <v>1573</v>
      </c>
    </row>
    <row r="382" spans="1:2">
      <c r="A382">
        <v>420</v>
      </c>
      <c r="B382">
        <v>1574</v>
      </c>
    </row>
    <row r="383" spans="1:2">
      <c r="A383">
        <v>421</v>
      </c>
      <c r="B383">
        <v>1575</v>
      </c>
    </row>
    <row r="384" spans="1:2">
      <c r="A384">
        <v>422</v>
      </c>
      <c r="B384">
        <v>1576</v>
      </c>
    </row>
    <row r="385" spans="1:2">
      <c r="A385">
        <v>423</v>
      </c>
      <c r="B385">
        <v>1577</v>
      </c>
    </row>
    <row r="386" spans="1:2">
      <c r="A386">
        <v>424</v>
      </c>
      <c r="B386">
        <v>1578</v>
      </c>
    </row>
    <row r="387" spans="1:2">
      <c r="A387">
        <v>425</v>
      </c>
      <c r="B387">
        <v>1579</v>
      </c>
    </row>
    <row r="388" spans="1:2">
      <c r="A388">
        <v>426</v>
      </c>
      <c r="B388">
        <v>1580</v>
      </c>
    </row>
    <row r="389" spans="1:2">
      <c r="A389">
        <v>427</v>
      </c>
      <c r="B389">
        <v>1581</v>
      </c>
    </row>
    <row r="390" spans="1:2">
      <c r="A390">
        <v>428</v>
      </c>
      <c r="B390">
        <v>1582</v>
      </c>
    </row>
    <row r="391" spans="1:2">
      <c r="A391">
        <v>429</v>
      </c>
      <c r="B391">
        <v>1583</v>
      </c>
    </row>
    <row r="392" spans="1:2">
      <c r="A392">
        <v>430</v>
      </c>
      <c r="B392">
        <v>1584</v>
      </c>
    </row>
    <row r="393" spans="1:2">
      <c r="A393">
        <v>431</v>
      </c>
      <c r="B393">
        <v>1585</v>
      </c>
    </row>
    <row r="394" spans="1:2">
      <c r="A394">
        <v>432</v>
      </c>
      <c r="B394">
        <v>1586</v>
      </c>
    </row>
    <row r="395" spans="1:2">
      <c r="A395">
        <v>433</v>
      </c>
      <c r="B395">
        <v>1587</v>
      </c>
    </row>
    <row r="396" spans="1:2">
      <c r="A396">
        <v>434</v>
      </c>
      <c r="B396">
        <v>1588</v>
      </c>
    </row>
    <row r="397" spans="1:2">
      <c r="A397">
        <v>435</v>
      </c>
      <c r="B397">
        <v>1589</v>
      </c>
    </row>
    <row r="398" spans="1:2">
      <c r="A398">
        <v>436</v>
      </c>
      <c r="B398">
        <v>1590</v>
      </c>
    </row>
    <row r="399" spans="1:2">
      <c r="A399">
        <v>437</v>
      </c>
      <c r="B399">
        <v>1591</v>
      </c>
    </row>
    <row r="400" spans="1:2">
      <c r="A400">
        <v>438</v>
      </c>
      <c r="B400">
        <v>1592</v>
      </c>
    </row>
    <row r="401" spans="1:2">
      <c r="A401">
        <v>439</v>
      </c>
      <c r="B401">
        <v>1593</v>
      </c>
    </row>
    <row r="402" spans="1:2">
      <c r="A402">
        <v>440</v>
      </c>
      <c r="B402">
        <v>1594</v>
      </c>
    </row>
    <row r="403" spans="1:2">
      <c r="A403">
        <v>441</v>
      </c>
      <c r="B403">
        <v>1595</v>
      </c>
    </row>
    <row r="404" spans="1:2">
      <c r="A404">
        <v>442</v>
      </c>
      <c r="B404">
        <v>1596</v>
      </c>
    </row>
    <row r="405" spans="1:2">
      <c r="A405">
        <v>443</v>
      </c>
      <c r="B405">
        <v>1597</v>
      </c>
    </row>
    <row r="406" spans="1:2">
      <c r="A406">
        <v>445</v>
      </c>
      <c r="B406">
        <v>1598</v>
      </c>
    </row>
    <row r="407" spans="1:2">
      <c r="A407">
        <v>446</v>
      </c>
      <c r="B407">
        <v>1599</v>
      </c>
    </row>
    <row r="408" spans="1:2">
      <c r="A408">
        <v>447</v>
      </c>
      <c r="B408">
        <v>1600</v>
      </c>
    </row>
    <row r="409" spans="1:2">
      <c r="A409">
        <v>448</v>
      </c>
      <c r="B409">
        <v>1601</v>
      </c>
    </row>
    <row r="410" spans="1:2">
      <c r="A410">
        <v>449</v>
      </c>
      <c r="B410">
        <v>1602</v>
      </c>
    </row>
    <row r="411" spans="1:2">
      <c r="A411">
        <v>450</v>
      </c>
      <c r="B411">
        <v>1603</v>
      </c>
    </row>
    <row r="412" spans="1:2">
      <c r="A412">
        <v>451</v>
      </c>
      <c r="B412">
        <v>1604</v>
      </c>
    </row>
    <row r="413" spans="1:2">
      <c r="A413">
        <v>452</v>
      </c>
      <c r="B413">
        <v>1605</v>
      </c>
    </row>
    <row r="414" spans="1:2">
      <c r="A414">
        <v>453</v>
      </c>
      <c r="B414">
        <v>1606</v>
      </c>
    </row>
    <row r="415" spans="1:2">
      <c r="A415">
        <v>454</v>
      </c>
      <c r="B415">
        <v>1607</v>
      </c>
    </row>
    <row r="416" spans="1:2">
      <c r="A416">
        <v>455</v>
      </c>
      <c r="B416">
        <v>1608</v>
      </c>
    </row>
    <row r="417" spans="1:2">
      <c r="A417">
        <v>456</v>
      </c>
      <c r="B417">
        <v>1609</v>
      </c>
    </row>
    <row r="418" spans="1:2">
      <c r="A418">
        <v>457</v>
      </c>
      <c r="B418">
        <v>1610</v>
      </c>
    </row>
    <row r="419" spans="1:2">
      <c r="A419">
        <v>458</v>
      </c>
      <c r="B419">
        <v>1611</v>
      </c>
    </row>
    <row r="420" spans="1:2">
      <c r="A420">
        <v>459</v>
      </c>
      <c r="B420">
        <v>1612</v>
      </c>
    </row>
    <row r="421" spans="1:2">
      <c r="A421">
        <v>460</v>
      </c>
      <c r="B421">
        <v>1613</v>
      </c>
    </row>
    <row r="422" spans="1:2">
      <c r="A422">
        <v>461</v>
      </c>
      <c r="B422">
        <v>1614</v>
      </c>
    </row>
    <row r="423" spans="1:2">
      <c r="A423">
        <v>462</v>
      </c>
      <c r="B423">
        <v>1615</v>
      </c>
    </row>
    <row r="424" spans="1:2">
      <c r="A424">
        <v>463</v>
      </c>
      <c r="B424">
        <v>1616</v>
      </c>
    </row>
    <row r="425" spans="1:2">
      <c r="A425">
        <v>464</v>
      </c>
      <c r="B425">
        <v>1617</v>
      </c>
    </row>
    <row r="426" spans="1:2">
      <c r="A426">
        <v>465</v>
      </c>
      <c r="B426">
        <v>1618</v>
      </c>
    </row>
    <row r="427" spans="1:2">
      <c r="A427">
        <v>466</v>
      </c>
      <c r="B427">
        <v>1619</v>
      </c>
    </row>
    <row r="428" spans="1:2">
      <c r="A428">
        <v>467</v>
      </c>
      <c r="B428">
        <v>1620</v>
      </c>
    </row>
    <row r="429" spans="1:2">
      <c r="A429">
        <v>469</v>
      </c>
      <c r="B429">
        <v>1621</v>
      </c>
    </row>
    <row r="430" spans="1:2">
      <c r="A430">
        <v>470</v>
      </c>
      <c r="B430">
        <v>1622</v>
      </c>
    </row>
    <row r="431" spans="1:2">
      <c r="A431">
        <v>471</v>
      </c>
      <c r="B431">
        <v>1623</v>
      </c>
    </row>
    <row r="432" spans="1:2">
      <c r="A432">
        <v>472</v>
      </c>
      <c r="B432">
        <v>1624</v>
      </c>
    </row>
    <row r="433" spans="1:2">
      <c r="A433">
        <v>473</v>
      </c>
      <c r="B433">
        <v>1625</v>
      </c>
    </row>
    <row r="434" spans="1:2">
      <c r="A434">
        <v>474</v>
      </c>
      <c r="B434">
        <v>1626</v>
      </c>
    </row>
    <row r="435" spans="1:2">
      <c r="A435">
        <v>476</v>
      </c>
      <c r="B435">
        <v>1627</v>
      </c>
    </row>
    <row r="436" spans="1:2">
      <c r="A436">
        <v>478</v>
      </c>
      <c r="B436">
        <v>1628</v>
      </c>
    </row>
    <row r="437" spans="1:2">
      <c r="A437">
        <v>480</v>
      </c>
      <c r="B437">
        <v>1629</v>
      </c>
    </row>
    <row r="438" spans="1:2">
      <c r="A438">
        <v>482</v>
      </c>
      <c r="B438">
        <v>1630</v>
      </c>
    </row>
    <row r="439" spans="1:2">
      <c r="A439">
        <v>483</v>
      </c>
      <c r="B439">
        <v>1631</v>
      </c>
    </row>
    <row r="440" spans="1:2">
      <c r="A440">
        <v>484</v>
      </c>
      <c r="B440">
        <v>1632</v>
      </c>
    </row>
    <row r="441" spans="1:2">
      <c r="A441">
        <v>485</v>
      </c>
      <c r="B441">
        <v>1633</v>
      </c>
    </row>
    <row r="442" spans="1:2">
      <c r="A442">
        <v>486</v>
      </c>
      <c r="B442">
        <v>1634</v>
      </c>
    </row>
    <row r="443" spans="1:2">
      <c r="A443">
        <v>488</v>
      </c>
      <c r="B443">
        <v>1635</v>
      </c>
    </row>
    <row r="444" spans="1:2">
      <c r="A444">
        <v>489</v>
      </c>
      <c r="B444">
        <v>1636</v>
      </c>
    </row>
    <row r="445" spans="1:2">
      <c r="A445">
        <v>490</v>
      </c>
      <c r="B445">
        <v>1637</v>
      </c>
    </row>
    <row r="446" spans="1:2">
      <c r="A446">
        <v>491</v>
      </c>
      <c r="B446">
        <v>1638</v>
      </c>
    </row>
    <row r="447" spans="1:2">
      <c r="A447">
        <v>492</v>
      </c>
      <c r="B447">
        <v>1639</v>
      </c>
    </row>
    <row r="448" spans="1:2">
      <c r="A448">
        <v>493</v>
      </c>
      <c r="B448">
        <v>1640</v>
      </c>
    </row>
    <row r="449" spans="1:2">
      <c r="A449">
        <v>494</v>
      </c>
      <c r="B449">
        <v>1641</v>
      </c>
    </row>
    <row r="450" spans="1:2">
      <c r="A450">
        <v>495</v>
      </c>
      <c r="B450">
        <v>1642</v>
      </c>
    </row>
    <row r="451" spans="1:2">
      <c r="A451">
        <v>496</v>
      </c>
      <c r="B451">
        <v>1643</v>
      </c>
    </row>
    <row r="452" spans="1:2">
      <c r="A452">
        <v>497</v>
      </c>
      <c r="B452">
        <v>1644</v>
      </c>
    </row>
    <row r="453" spans="1:2">
      <c r="A453">
        <v>498</v>
      </c>
      <c r="B453">
        <v>1645</v>
      </c>
    </row>
    <row r="454" spans="1:2">
      <c r="A454">
        <v>499</v>
      </c>
      <c r="B454">
        <v>1646</v>
      </c>
    </row>
    <row r="455" spans="1:2">
      <c r="A455">
        <v>500</v>
      </c>
      <c r="B455">
        <v>1647</v>
      </c>
    </row>
    <row r="456" spans="1:2">
      <c r="A456">
        <v>501</v>
      </c>
      <c r="B456">
        <v>1648</v>
      </c>
    </row>
    <row r="457" spans="1:2">
      <c r="A457">
        <v>502</v>
      </c>
      <c r="B457">
        <v>1649</v>
      </c>
    </row>
    <row r="458" spans="1:2">
      <c r="A458">
        <v>503</v>
      </c>
      <c r="B458">
        <v>1650</v>
      </c>
    </row>
    <row r="459" spans="1:2">
      <c r="A459">
        <v>504</v>
      </c>
      <c r="B459">
        <v>1651</v>
      </c>
    </row>
    <row r="460" spans="1:2">
      <c r="A460">
        <v>505</v>
      </c>
      <c r="B460">
        <v>1652</v>
      </c>
    </row>
    <row r="461" spans="1:2">
      <c r="A461">
        <v>506</v>
      </c>
      <c r="B461">
        <v>1653</v>
      </c>
    </row>
    <row r="462" spans="1:2">
      <c r="A462">
        <v>507</v>
      </c>
      <c r="B462">
        <v>1654</v>
      </c>
    </row>
    <row r="463" spans="1:2">
      <c r="A463">
        <v>508</v>
      </c>
      <c r="B463">
        <v>1655</v>
      </c>
    </row>
    <row r="464" spans="1:2">
      <c r="A464">
        <v>509</v>
      </c>
      <c r="B464">
        <v>1656</v>
      </c>
    </row>
    <row r="465" spans="1:2">
      <c r="A465">
        <v>510</v>
      </c>
      <c r="B465">
        <v>1657</v>
      </c>
    </row>
    <row r="466" spans="1:2">
      <c r="A466">
        <v>511</v>
      </c>
      <c r="B466">
        <v>1658</v>
      </c>
    </row>
    <row r="467" spans="1:2">
      <c r="A467">
        <v>512</v>
      </c>
      <c r="B467">
        <v>1659</v>
      </c>
    </row>
    <row r="468" spans="1:2">
      <c r="A468">
        <v>513</v>
      </c>
      <c r="B468">
        <v>1660</v>
      </c>
    </row>
    <row r="469" spans="1:2">
      <c r="A469">
        <v>514</v>
      </c>
      <c r="B469">
        <v>1661</v>
      </c>
    </row>
    <row r="470" spans="1:2">
      <c r="A470">
        <v>515</v>
      </c>
      <c r="B470">
        <v>1662</v>
      </c>
    </row>
    <row r="471" spans="1:2">
      <c r="A471">
        <v>516</v>
      </c>
      <c r="B471">
        <v>1663</v>
      </c>
    </row>
    <row r="472" spans="1:2">
      <c r="A472">
        <v>517</v>
      </c>
      <c r="B472">
        <v>1664</v>
      </c>
    </row>
    <row r="473" spans="1:2">
      <c r="A473">
        <v>518</v>
      </c>
      <c r="B473">
        <v>1665</v>
      </c>
    </row>
    <row r="474" spans="1:2">
      <c r="A474">
        <v>519</v>
      </c>
      <c r="B474">
        <v>1666</v>
      </c>
    </row>
    <row r="475" spans="1:2">
      <c r="A475">
        <v>520</v>
      </c>
      <c r="B475">
        <v>1667</v>
      </c>
    </row>
    <row r="476" spans="1:2">
      <c r="A476">
        <v>521</v>
      </c>
      <c r="B476">
        <v>1668</v>
      </c>
    </row>
    <row r="477" spans="1:2">
      <c r="A477">
        <v>522</v>
      </c>
      <c r="B477">
        <v>1669</v>
      </c>
    </row>
    <row r="478" spans="1:2">
      <c r="A478">
        <v>524</v>
      </c>
      <c r="B478">
        <v>1670</v>
      </c>
    </row>
    <row r="479" spans="1:2">
      <c r="A479">
        <v>525</v>
      </c>
      <c r="B479">
        <v>1671</v>
      </c>
    </row>
    <row r="480" spans="1:2">
      <c r="A480">
        <v>526</v>
      </c>
      <c r="B480">
        <v>1672</v>
      </c>
    </row>
    <row r="481" spans="1:2">
      <c r="A481">
        <v>527</v>
      </c>
      <c r="B481">
        <v>1673</v>
      </c>
    </row>
    <row r="482" spans="1:2">
      <c r="A482">
        <v>528</v>
      </c>
      <c r="B482">
        <v>1674</v>
      </c>
    </row>
    <row r="483" spans="1:2">
      <c r="A483">
        <v>529</v>
      </c>
      <c r="B483">
        <v>1675</v>
      </c>
    </row>
    <row r="484" spans="1:2">
      <c r="A484">
        <v>530</v>
      </c>
      <c r="B484">
        <v>1676</v>
      </c>
    </row>
    <row r="485" spans="1:2">
      <c r="A485">
        <v>531</v>
      </c>
      <c r="B485">
        <v>1677</v>
      </c>
    </row>
    <row r="486" spans="1:2">
      <c r="A486">
        <v>532</v>
      </c>
      <c r="B486">
        <v>1678</v>
      </c>
    </row>
    <row r="487" spans="1:2">
      <c r="A487">
        <v>533</v>
      </c>
      <c r="B487">
        <v>1679</v>
      </c>
    </row>
    <row r="488" spans="1:2">
      <c r="A488">
        <v>534</v>
      </c>
      <c r="B488">
        <v>1680</v>
      </c>
    </row>
    <row r="489" spans="1:2">
      <c r="A489">
        <v>535</v>
      </c>
      <c r="B489">
        <v>1681</v>
      </c>
    </row>
    <row r="490" spans="1:2">
      <c r="A490">
        <v>536</v>
      </c>
      <c r="B490">
        <v>1682</v>
      </c>
    </row>
    <row r="491" spans="1:2">
      <c r="A491">
        <v>537</v>
      </c>
      <c r="B491">
        <v>1683</v>
      </c>
    </row>
    <row r="492" spans="1:2">
      <c r="A492">
        <v>538</v>
      </c>
      <c r="B492">
        <v>1684</v>
      </c>
    </row>
    <row r="493" spans="1:2">
      <c r="A493">
        <v>539</v>
      </c>
      <c r="B493">
        <v>1685</v>
      </c>
    </row>
    <row r="494" spans="1:2">
      <c r="A494">
        <v>540</v>
      </c>
      <c r="B494">
        <v>1686</v>
      </c>
    </row>
    <row r="495" spans="1:2">
      <c r="A495">
        <v>541</v>
      </c>
      <c r="B495">
        <v>1687</v>
      </c>
    </row>
    <row r="496" spans="1:2">
      <c r="A496">
        <v>542</v>
      </c>
      <c r="B496">
        <v>1688</v>
      </c>
    </row>
    <row r="497" spans="1:2">
      <c r="A497">
        <v>543</v>
      </c>
      <c r="B497">
        <v>1689</v>
      </c>
    </row>
    <row r="498" spans="1:2">
      <c r="A498">
        <v>544</v>
      </c>
      <c r="B498">
        <v>1690</v>
      </c>
    </row>
    <row r="499" spans="1:2">
      <c r="A499">
        <v>545</v>
      </c>
      <c r="B499">
        <v>1691</v>
      </c>
    </row>
    <row r="500" spans="1:2">
      <c r="A500">
        <v>547</v>
      </c>
      <c r="B500">
        <v>1692</v>
      </c>
    </row>
    <row r="501" spans="1:2">
      <c r="A501">
        <v>548</v>
      </c>
      <c r="B501">
        <v>1693</v>
      </c>
    </row>
    <row r="502" spans="1:2">
      <c r="A502">
        <v>549</v>
      </c>
      <c r="B502">
        <v>1694</v>
      </c>
    </row>
    <row r="503" spans="1:2">
      <c r="A503">
        <v>550</v>
      </c>
      <c r="B503">
        <v>1695</v>
      </c>
    </row>
    <row r="504" spans="1:2">
      <c r="A504">
        <v>551</v>
      </c>
      <c r="B504">
        <v>1696</v>
      </c>
    </row>
    <row r="505" spans="1:2">
      <c r="A505">
        <v>552</v>
      </c>
      <c r="B505">
        <v>1697</v>
      </c>
    </row>
    <row r="506" spans="1:2">
      <c r="A506">
        <v>553</v>
      </c>
      <c r="B506">
        <v>1698</v>
      </c>
    </row>
    <row r="507" spans="1:2">
      <c r="A507">
        <v>554</v>
      </c>
      <c r="B507">
        <v>1699</v>
      </c>
    </row>
    <row r="508" spans="1:2">
      <c r="A508">
        <v>555</v>
      </c>
      <c r="B508">
        <v>1700</v>
      </c>
    </row>
    <row r="509" spans="1:2">
      <c r="A509">
        <v>556</v>
      </c>
      <c r="B509">
        <v>1701</v>
      </c>
    </row>
    <row r="510" spans="1:2">
      <c r="A510">
        <v>557</v>
      </c>
      <c r="B510">
        <v>1702</v>
      </c>
    </row>
    <row r="511" spans="1:2">
      <c r="A511">
        <v>558</v>
      </c>
      <c r="B511">
        <v>1703</v>
      </c>
    </row>
    <row r="512" spans="1:2">
      <c r="A512">
        <v>559</v>
      </c>
      <c r="B512">
        <v>1704</v>
      </c>
    </row>
    <row r="513" spans="1:2">
      <c r="A513">
        <v>560</v>
      </c>
      <c r="B513">
        <v>1705</v>
      </c>
    </row>
    <row r="514" spans="1:2">
      <c r="A514">
        <v>562</v>
      </c>
      <c r="B514">
        <v>1706</v>
      </c>
    </row>
    <row r="515" spans="1:2">
      <c r="A515">
        <v>564</v>
      </c>
      <c r="B515">
        <v>1707</v>
      </c>
    </row>
    <row r="516" spans="1:2">
      <c r="A516">
        <v>565</v>
      </c>
      <c r="B516">
        <v>1708</v>
      </c>
    </row>
    <row r="517" spans="1:2">
      <c r="A517">
        <v>566</v>
      </c>
      <c r="B517">
        <v>1709</v>
      </c>
    </row>
    <row r="518" spans="1:2">
      <c r="A518">
        <v>568</v>
      </c>
      <c r="B518">
        <v>1710</v>
      </c>
    </row>
    <row r="519" spans="1:2">
      <c r="A519">
        <v>569</v>
      </c>
      <c r="B519">
        <v>1711</v>
      </c>
    </row>
    <row r="520" spans="1:2">
      <c r="A520">
        <v>570</v>
      </c>
      <c r="B520">
        <v>1712</v>
      </c>
    </row>
    <row r="521" spans="1:2">
      <c r="A521">
        <v>571</v>
      </c>
      <c r="B521">
        <v>1713</v>
      </c>
    </row>
    <row r="522" spans="1:2">
      <c r="A522">
        <v>572</v>
      </c>
      <c r="B522">
        <v>1714</v>
      </c>
    </row>
    <row r="523" spans="1:2">
      <c r="A523">
        <v>573</v>
      </c>
      <c r="B523">
        <v>1715</v>
      </c>
    </row>
    <row r="524" spans="1:2">
      <c r="A524">
        <v>574</v>
      </c>
      <c r="B524">
        <v>1716</v>
      </c>
    </row>
    <row r="525" spans="1:2">
      <c r="A525">
        <v>575</v>
      </c>
      <c r="B525">
        <v>1717</v>
      </c>
    </row>
    <row r="526" spans="1:2">
      <c r="A526">
        <v>576</v>
      </c>
      <c r="B526">
        <v>1718</v>
      </c>
    </row>
    <row r="527" spans="1:2">
      <c r="A527">
        <v>577</v>
      </c>
      <c r="B527">
        <v>1719</v>
      </c>
    </row>
    <row r="528" spans="1:2">
      <c r="A528">
        <v>578</v>
      </c>
      <c r="B528">
        <v>1720</v>
      </c>
    </row>
    <row r="529" spans="1:2">
      <c r="A529">
        <v>579</v>
      </c>
      <c r="B529">
        <v>1721</v>
      </c>
    </row>
    <row r="530" spans="1:2">
      <c r="A530">
        <v>580</v>
      </c>
      <c r="B530">
        <v>1722</v>
      </c>
    </row>
    <row r="531" spans="1:2">
      <c r="A531">
        <v>581</v>
      </c>
      <c r="B531">
        <v>1723</v>
      </c>
    </row>
    <row r="532" spans="1:2">
      <c r="A532">
        <v>582</v>
      </c>
      <c r="B532">
        <v>1724</v>
      </c>
    </row>
    <row r="533" spans="1:2">
      <c r="A533">
        <v>583</v>
      </c>
      <c r="B533">
        <v>1725</v>
      </c>
    </row>
    <row r="534" spans="1:2">
      <c r="A534">
        <v>584</v>
      </c>
      <c r="B534">
        <v>1726</v>
      </c>
    </row>
    <row r="535" spans="1:2">
      <c r="A535">
        <v>585</v>
      </c>
      <c r="B535">
        <v>1727</v>
      </c>
    </row>
    <row r="536" spans="1:2">
      <c r="A536">
        <v>586</v>
      </c>
      <c r="B536">
        <v>1728</v>
      </c>
    </row>
    <row r="537" spans="1:2">
      <c r="A537">
        <v>587</v>
      </c>
      <c r="B537">
        <v>1729</v>
      </c>
    </row>
    <row r="538" spans="1:2">
      <c r="A538">
        <v>588</v>
      </c>
      <c r="B538">
        <v>1730</v>
      </c>
    </row>
    <row r="539" spans="1:2">
      <c r="A539">
        <v>589</v>
      </c>
      <c r="B539">
        <v>1731</v>
      </c>
    </row>
    <row r="540" spans="1:2">
      <c r="A540">
        <v>590</v>
      </c>
      <c r="B540">
        <v>1732</v>
      </c>
    </row>
    <row r="541" spans="1:2">
      <c r="A541">
        <v>591</v>
      </c>
      <c r="B541">
        <v>1733</v>
      </c>
    </row>
    <row r="542" spans="1:2">
      <c r="A542">
        <v>592</v>
      </c>
      <c r="B542">
        <v>1734</v>
      </c>
    </row>
    <row r="543" spans="1:2">
      <c r="A543">
        <v>593</v>
      </c>
      <c r="B543">
        <v>1735</v>
      </c>
    </row>
    <row r="544" spans="1:2">
      <c r="A544">
        <v>594</v>
      </c>
      <c r="B544">
        <v>1736</v>
      </c>
    </row>
    <row r="545" spans="1:2">
      <c r="A545">
        <v>595</v>
      </c>
      <c r="B545">
        <v>1737</v>
      </c>
    </row>
    <row r="546" spans="1:2">
      <c r="A546">
        <v>596</v>
      </c>
      <c r="B546">
        <v>1738</v>
      </c>
    </row>
    <row r="547" spans="1:2">
      <c r="A547">
        <v>597</v>
      </c>
      <c r="B547">
        <v>1739</v>
      </c>
    </row>
    <row r="548" spans="1:2">
      <c r="A548">
        <v>598</v>
      </c>
      <c r="B548">
        <v>1740</v>
      </c>
    </row>
    <row r="549" spans="1:2">
      <c r="A549">
        <v>599</v>
      </c>
      <c r="B549">
        <v>1741</v>
      </c>
    </row>
    <row r="550" spans="1:2">
      <c r="A550">
        <v>600</v>
      </c>
      <c r="B550">
        <v>1742</v>
      </c>
    </row>
    <row r="551" spans="1:2">
      <c r="A551">
        <v>601</v>
      </c>
      <c r="B551">
        <v>1743</v>
      </c>
    </row>
    <row r="552" spans="1:2">
      <c r="A552">
        <v>602</v>
      </c>
      <c r="B552">
        <v>1744</v>
      </c>
    </row>
    <row r="553" spans="1:2">
      <c r="A553">
        <v>604</v>
      </c>
      <c r="B553">
        <v>1745</v>
      </c>
    </row>
    <row r="554" spans="1:2">
      <c r="A554">
        <v>605</v>
      </c>
      <c r="B554">
        <v>1746</v>
      </c>
    </row>
    <row r="555" spans="1:2">
      <c r="A555">
        <v>606</v>
      </c>
      <c r="B555">
        <v>1747</v>
      </c>
    </row>
    <row r="556" spans="1:2">
      <c r="A556">
        <v>607</v>
      </c>
      <c r="B556">
        <v>1748</v>
      </c>
    </row>
    <row r="557" spans="1:2">
      <c r="A557">
        <v>609</v>
      </c>
      <c r="B557">
        <v>1749</v>
      </c>
    </row>
    <row r="558" spans="1:2">
      <c r="A558">
        <v>610</v>
      </c>
      <c r="B558">
        <v>1750</v>
      </c>
    </row>
    <row r="559" spans="1:2">
      <c r="A559">
        <v>611</v>
      </c>
      <c r="B559">
        <v>1751</v>
      </c>
    </row>
    <row r="560" spans="1:2">
      <c r="A560">
        <v>612</v>
      </c>
      <c r="B560">
        <v>1752</v>
      </c>
    </row>
    <row r="561" spans="1:2">
      <c r="A561">
        <v>613</v>
      </c>
      <c r="B561">
        <v>1753</v>
      </c>
    </row>
    <row r="562" spans="1:2">
      <c r="A562">
        <v>615</v>
      </c>
      <c r="B562">
        <v>1754</v>
      </c>
    </row>
    <row r="563" spans="1:2">
      <c r="A563">
        <v>617</v>
      </c>
      <c r="B563">
        <v>1755</v>
      </c>
    </row>
    <row r="564" spans="1:2">
      <c r="A564">
        <v>618</v>
      </c>
      <c r="B564">
        <v>1756</v>
      </c>
    </row>
    <row r="565" spans="1:2">
      <c r="A565">
        <v>619</v>
      </c>
      <c r="B565">
        <v>1757</v>
      </c>
    </row>
    <row r="566" spans="1:2">
      <c r="A566">
        <v>620</v>
      </c>
      <c r="B566">
        <v>1758</v>
      </c>
    </row>
    <row r="567" spans="1:2">
      <c r="A567">
        <v>621</v>
      </c>
      <c r="B567">
        <v>1759</v>
      </c>
    </row>
    <row r="568" spans="1:2">
      <c r="A568">
        <v>622</v>
      </c>
      <c r="B568">
        <v>1760</v>
      </c>
    </row>
    <row r="569" spans="1:2">
      <c r="A569">
        <v>623</v>
      </c>
      <c r="B569">
        <v>1761</v>
      </c>
    </row>
    <row r="570" spans="1:2">
      <c r="A570">
        <v>624</v>
      </c>
      <c r="B570">
        <v>1762</v>
      </c>
    </row>
    <row r="571" spans="1:2">
      <c r="A571">
        <v>625</v>
      </c>
      <c r="B571">
        <v>1763</v>
      </c>
    </row>
    <row r="572" spans="1:2">
      <c r="A572">
        <v>626</v>
      </c>
      <c r="B572">
        <v>1764</v>
      </c>
    </row>
    <row r="573" spans="1:2">
      <c r="A573">
        <v>627</v>
      </c>
      <c r="B573">
        <v>1765</v>
      </c>
    </row>
    <row r="574" spans="1:2">
      <c r="A574">
        <v>628</v>
      </c>
      <c r="B574">
        <v>1766</v>
      </c>
    </row>
    <row r="575" spans="1:2">
      <c r="A575">
        <v>629</v>
      </c>
      <c r="B575">
        <v>1767</v>
      </c>
    </row>
    <row r="576" spans="1:2">
      <c r="A576">
        <v>630</v>
      </c>
      <c r="B576">
        <v>1768</v>
      </c>
    </row>
    <row r="577" spans="1:2">
      <c r="A577">
        <v>632</v>
      </c>
      <c r="B577">
        <v>1769</v>
      </c>
    </row>
    <row r="578" spans="1:2">
      <c r="A578">
        <v>633</v>
      </c>
      <c r="B578">
        <v>1770</v>
      </c>
    </row>
    <row r="579" spans="1:2">
      <c r="A579">
        <v>634</v>
      </c>
      <c r="B579">
        <v>1771</v>
      </c>
    </row>
    <row r="580" spans="1:2">
      <c r="A580">
        <v>635</v>
      </c>
      <c r="B580">
        <v>1772</v>
      </c>
    </row>
    <row r="581" spans="1:2">
      <c r="A581">
        <v>636</v>
      </c>
      <c r="B581">
        <v>1773</v>
      </c>
    </row>
    <row r="582" spans="1:2">
      <c r="A582">
        <v>637</v>
      </c>
      <c r="B582">
        <v>1774</v>
      </c>
    </row>
    <row r="583" spans="1:2">
      <c r="A583">
        <v>638</v>
      </c>
      <c r="B583">
        <v>1775</v>
      </c>
    </row>
    <row r="584" spans="1:2">
      <c r="A584">
        <v>639</v>
      </c>
      <c r="B584">
        <v>1776</v>
      </c>
    </row>
    <row r="585" spans="1:2">
      <c r="A585">
        <v>640</v>
      </c>
      <c r="B585">
        <v>1777</v>
      </c>
    </row>
    <row r="586" spans="1:2">
      <c r="A586">
        <v>641</v>
      </c>
      <c r="B586">
        <v>1778</v>
      </c>
    </row>
    <row r="587" spans="1:2">
      <c r="A587">
        <v>642</v>
      </c>
      <c r="B587">
        <v>1779</v>
      </c>
    </row>
    <row r="588" spans="1:2">
      <c r="A588">
        <v>644</v>
      </c>
      <c r="B588">
        <v>1780</v>
      </c>
    </row>
    <row r="589" spans="1:2">
      <c r="A589">
        <v>645</v>
      </c>
      <c r="B589">
        <v>1781</v>
      </c>
    </row>
    <row r="590" spans="1:2">
      <c r="A590">
        <v>646</v>
      </c>
      <c r="B590">
        <v>1782</v>
      </c>
    </row>
    <row r="591" spans="1:2">
      <c r="A591">
        <v>648</v>
      </c>
      <c r="B591">
        <v>1783</v>
      </c>
    </row>
    <row r="592" spans="1:2">
      <c r="A592">
        <v>649</v>
      </c>
      <c r="B592">
        <v>1784</v>
      </c>
    </row>
    <row r="593" spans="1:2">
      <c r="A593">
        <v>650</v>
      </c>
      <c r="B593">
        <v>1785</v>
      </c>
    </row>
    <row r="594" spans="1:2">
      <c r="A594">
        <v>651</v>
      </c>
      <c r="B594">
        <v>1786</v>
      </c>
    </row>
    <row r="595" spans="1:2">
      <c r="A595">
        <v>653</v>
      </c>
      <c r="B595">
        <v>1787</v>
      </c>
    </row>
    <row r="596" spans="1:2">
      <c r="A596">
        <v>654</v>
      </c>
      <c r="B596">
        <v>1788</v>
      </c>
    </row>
    <row r="597" spans="1:2">
      <c r="A597">
        <v>655</v>
      </c>
      <c r="B597">
        <v>1789</v>
      </c>
    </row>
    <row r="598" spans="1:2">
      <c r="A598">
        <v>656</v>
      </c>
      <c r="B598">
        <v>1790</v>
      </c>
    </row>
    <row r="599" spans="1:2">
      <c r="A599">
        <v>658</v>
      </c>
      <c r="B599">
        <v>1791</v>
      </c>
    </row>
    <row r="600" spans="1:2">
      <c r="A600">
        <v>660</v>
      </c>
      <c r="B600">
        <v>1792</v>
      </c>
    </row>
    <row r="601" spans="1:2">
      <c r="A601">
        <v>661</v>
      </c>
      <c r="B601">
        <v>1793</v>
      </c>
    </row>
    <row r="602" spans="1:2">
      <c r="A602">
        <v>662</v>
      </c>
      <c r="B602">
        <v>1794</v>
      </c>
    </row>
    <row r="603" spans="1:2">
      <c r="A603">
        <v>663</v>
      </c>
      <c r="B603">
        <v>1795</v>
      </c>
    </row>
    <row r="604" spans="1:2">
      <c r="A604">
        <v>664</v>
      </c>
      <c r="B604">
        <v>1796</v>
      </c>
    </row>
    <row r="605" spans="1:2">
      <c r="A605">
        <v>665</v>
      </c>
      <c r="B605">
        <v>1797</v>
      </c>
    </row>
    <row r="606" spans="1:2">
      <c r="A606">
        <v>667</v>
      </c>
      <c r="B606">
        <v>1798</v>
      </c>
    </row>
    <row r="607" spans="1:2">
      <c r="A607">
        <v>668</v>
      </c>
      <c r="B607">
        <v>1799</v>
      </c>
    </row>
    <row r="608" spans="1:2">
      <c r="A608">
        <v>669</v>
      </c>
      <c r="B608">
        <v>1800</v>
      </c>
    </row>
    <row r="609" spans="1:2">
      <c r="A609">
        <v>670</v>
      </c>
      <c r="B609">
        <v>1801</v>
      </c>
    </row>
    <row r="610" spans="1:2">
      <c r="A610">
        <v>671</v>
      </c>
      <c r="B610">
        <v>1802</v>
      </c>
    </row>
    <row r="611" spans="1:2">
      <c r="A611">
        <v>672</v>
      </c>
      <c r="B611">
        <v>1803</v>
      </c>
    </row>
    <row r="612" spans="1:2">
      <c r="A612">
        <v>673</v>
      </c>
      <c r="B612">
        <v>1804</v>
      </c>
    </row>
    <row r="613" spans="1:2">
      <c r="A613">
        <v>674</v>
      </c>
      <c r="B613">
        <v>1805</v>
      </c>
    </row>
    <row r="614" spans="1:2">
      <c r="A614">
        <v>675</v>
      </c>
      <c r="B614">
        <v>1806</v>
      </c>
    </row>
    <row r="615" spans="1:2">
      <c r="A615">
        <v>676</v>
      </c>
      <c r="B615">
        <v>1807</v>
      </c>
    </row>
    <row r="616" spans="1:2">
      <c r="A616">
        <v>677</v>
      </c>
      <c r="B616">
        <v>1808</v>
      </c>
    </row>
    <row r="617" spans="1:2">
      <c r="A617">
        <v>678</v>
      </c>
      <c r="B617">
        <v>1809</v>
      </c>
    </row>
    <row r="618" spans="1:2">
      <c r="A618">
        <v>679</v>
      </c>
      <c r="B618">
        <v>1810</v>
      </c>
    </row>
    <row r="619" spans="1:2">
      <c r="A619">
        <v>680</v>
      </c>
      <c r="B619">
        <v>1811</v>
      </c>
    </row>
    <row r="620" spans="1:2">
      <c r="A620">
        <v>681</v>
      </c>
      <c r="B620">
        <v>1812</v>
      </c>
    </row>
    <row r="621" spans="1:2">
      <c r="A621">
        <v>682</v>
      </c>
      <c r="B621">
        <v>1813</v>
      </c>
    </row>
    <row r="622" spans="1:2">
      <c r="A622">
        <v>683</v>
      </c>
      <c r="B622">
        <v>1814</v>
      </c>
    </row>
    <row r="623" spans="1:2">
      <c r="A623">
        <v>684</v>
      </c>
      <c r="B623">
        <v>1815</v>
      </c>
    </row>
    <row r="624" spans="1:2">
      <c r="A624">
        <v>685</v>
      </c>
      <c r="B624">
        <v>1816</v>
      </c>
    </row>
    <row r="625" spans="1:2">
      <c r="A625">
        <v>686</v>
      </c>
      <c r="B625">
        <v>1817</v>
      </c>
    </row>
    <row r="626" spans="1:2">
      <c r="A626">
        <v>687</v>
      </c>
      <c r="B626">
        <v>1818</v>
      </c>
    </row>
    <row r="627" spans="1:2">
      <c r="A627">
        <v>688</v>
      </c>
      <c r="B627">
        <v>1819</v>
      </c>
    </row>
    <row r="628" spans="1:2">
      <c r="A628">
        <v>689</v>
      </c>
      <c r="B628">
        <v>1820</v>
      </c>
    </row>
    <row r="629" spans="1:2">
      <c r="A629">
        <v>690</v>
      </c>
      <c r="B629">
        <v>1821</v>
      </c>
    </row>
    <row r="630" spans="1:2">
      <c r="A630">
        <v>691</v>
      </c>
      <c r="B630">
        <v>1822</v>
      </c>
    </row>
    <row r="631" spans="1:2">
      <c r="A631">
        <v>692</v>
      </c>
      <c r="B631">
        <v>1823</v>
      </c>
    </row>
    <row r="632" spans="1:2">
      <c r="A632">
        <v>693</v>
      </c>
      <c r="B632">
        <v>1824</v>
      </c>
    </row>
    <row r="633" spans="1:2">
      <c r="A633">
        <v>694</v>
      </c>
      <c r="B633">
        <v>1825</v>
      </c>
    </row>
    <row r="634" spans="1:2">
      <c r="A634">
        <v>695</v>
      </c>
      <c r="B634">
        <v>1826</v>
      </c>
    </row>
    <row r="635" spans="1:2">
      <c r="A635">
        <v>696</v>
      </c>
      <c r="B635">
        <v>1827</v>
      </c>
    </row>
    <row r="636" spans="1:2">
      <c r="A636">
        <v>697</v>
      </c>
      <c r="B636">
        <v>1828</v>
      </c>
    </row>
    <row r="637" spans="1:2">
      <c r="A637">
        <v>698</v>
      </c>
      <c r="B637">
        <v>1829</v>
      </c>
    </row>
    <row r="638" spans="1:2">
      <c r="A638">
        <v>699</v>
      </c>
      <c r="B638">
        <v>1830</v>
      </c>
    </row>
    <row r="639" spans="1:2">
      <c r="A639">
        <v>700</v>
      </c>
      <c r="B639">
        <v>1831</v>
      </c>
    </row>
    <row r="640" spans="1:2">
      <c r="A640">
        <v>701</v>
      </c>
      <c r="B640">
        <v>1832</v>
      </c>
    </row>
    <row r="641" spans="1:2">
      <c r="A641">
        <v>702</v>
      </c>
      <c r="B641">
        <v>1833</v>
      </c>
    </row>
    <row r="642" spans="1:2">
      <c r="A642">
        <v>703</v>
      </c>
      <c r="B642">
        <v>1834</v>
      </c>
    </row>
    <row r="643" spans="1:2">
      <c r="A643">
        <v>704</v>
      </c>
      <c r="B643">
        <v>1835</v>
      </c>
    </row>
    <row r="644" spans="1:2">
      <c r="A644">
        <v>705</v>
      </c>
      <c r="B644">
        <v>1836</v>
      </c>
    </row>
    <row r="645" spans="1:2">
      <c r="A645">
        <v>706</v>
      </c>
      <c r="B645">
        <v>1837</v>
      </c>
    </row>
    <row r="646" spans="1:2">
      <c r="A646">
        <v>707</v>
      </c>
      <c r="B646">
        <v>1838</v>
      </c>
    </row>
    <row r="647" spans="1:2">
      <c r="A647">
        <v>708</v>
      </c>
      <c r="B647">
        <v>1839</v>
      </c>
    </row>
    <row r="648" spans="1:2">
      <c r="A648">
        <v>710</v>
      </c>
      <c r="B648">
        <v>1840</v>
      </c>
    </row>
    <row r="649" spans="1:2">
      <c r="A649">
        <v>711</v>
      </c>
      <c r="B649">
        <v>1841</v>
      </c>
    </row>
    <row r="650" spans="1:2">
      <c r="A650">
        <v>712</v>
      </c>
      <c r="B650">
        <v>1842</v>
      </c>
    </row>
    <row r="651" spans="1:2">
      <c r="A651">
        <v>713</v>
      </c>
      <c r="B651">
        <v>1843</v>
      </c>
    </row>
    <row r="652" spans="1:2">
      <c r="A652">
        <v>714</v>
      </c>
      <c r="B652">
        <v>1844</v>
      </c>
    </row>
    <row r="653" spans="1:2">
      <c r="A653">
        <v>715</v>
      </c>
      <c r="B653">
        <v>1845</v>
      </c>
    </row>
    <row r="654" spans="1:2">
      <c r="A654">
        <v>716</v>
      </c>
      <c r="B654">
        <v>1846</v>
      </c>
    </row>
    <row r="655" spans="1:2">
      <c r="A655">
        <v>717</v>
      </c>
      <c r="B655">
        <v>1847</v>
      </c>
    </row>
    <row r="656" spans="1:2">
      <c r="A656">
        <v>718</v>
      </c>
      <c r="B656">
        <v>1848</v>
      </c>
    </row>
    <row r="657" spans="1:2">
      <c r="A657">
        <v>719</v>
      </c>
      <c r="B657">
        <v>1849</v>
      </c>
    </row>
    <row r="658" spans="1:2">
      <c r="A658">
        <v>720</v>
      </c>
      <c r="B658">
        <v>1850</v>
      </c>
    </row>
    <row r="659" spans="1:2">
      <c r="A659">
        <v>721</v>
      </c>
      <c r="B659">
        <v>1851</v>
      </c>
    </row>
    <row r="660" spans="1:2">
      <c r="A660">
        <v>722</v>
      </c>
      <c r="B660">
        <v>1852</v>
      </c>
    </row>
    <row r="661" spans="1:2">
      <c r="A661">
        <v>723</v>
      </c>
      <c r="B661">
        <v>1853</v>
      </c>
    </row>
    <row r="662" spans="1:2">
      <c r="A662">
        <v>724</v>
      </c>
      <c r="B662">
        <v>1854</v>
      </c>
    </row>
    <row r="663" spans="1:2">
      <c r="A663">
        <v>725</v>
      </c>
      <c r="B663">
        <v>1855</v>
      </c>
    </row>
    <row r="664" spans="1:2">
      <c r="A664">
        <v>726</v>
      </c>
      <c r="B664">
        <v>1856</v>
      </c>
    </row>
    <row r="665" spans="1:2">
      <c r="A665">
        <v>727</v>
      </c>
      <c r="B665">
        <v>1857</v>
      </c>
    </row>
    <row r="666" spans="1:2">
      <c r="A666">
        <v>728</v>
      </c>
      <c r="B666">
        <v>1858</v>
      </c>
    </row>
    <row r="667" spans="1:2">
      <c r="A667">
        <v>729</v>
      </c>
      <c r="B667">
        <v>1859</v>
      </c>
    </row>
    <row r="668" spans="1:2">
      <c r="A668">
        <v>730</v>
      </c>
      <c r="B668">
        <v>1860</v>
      </c>
    </row>
    <row r="669" spans="1:2">
      <c r="A669">
        <v>731</v>
      </c>
      <c r="B669">
        <v>1861</v>
      </c>
    </row>
    <row r="670" spans="1:2">
      <c r="A670">
        <v>732</v>
      </c>
      <c r="B670">
        <v>1862</v>
      </c>
    </row>
    <row r="671" spans="1:2">
      <c r="A671">
        <v>733</v>
      </c>
      <c r="B671">
        <v>1863</v>
      </c>
    </row>
    <row r="672" spans="1:2">
      <c r="A672">
        <v>734</v>
      </c>
      <c r="B672">
        <v>1864</v>
      </c>
    </row>
    <row r="673" spans="1:2">
      <c r="A673">
        <v>735</v>
      </c>
      <c r="B673">
        <v>1865</v>
      </c>
    </row>
    <row r="674" spans="1:2">
      <c r="A674">
        <v>736</v>
      </c>
      <c r="B674">
        <v>1866</v>
      </c>
    </row>
    <row r="675" spans="1:2">
      <c r="A675">
        <v>737</v>
      </c>
      <c r="B675">
        <v>1867</v>
      </c>
    </row>
    <row r="676" spans="1:2">
      <c r="A676">
        <v>738</v>
      </c>
      <c r="B676">
        <v>1868</v>
      </c>
    </row>
    <row r="677" spans="1:2">
      <c r="A677">
        <v>739</v>
      </c>
      <c r="B677">
        <v>1869</v>
      </c>
    </row>
    <row r="678" spans="1:2">
      <c r="A678">
        <v>740</v>
      </c>
      <c r="B678">
        <v>1870</v>
      </c>
    </row>
    <row r="679" spans="1:2">
      <c r="A679">
        <v>741</v>
      </c>
      <c r="B679">
        <v>1871</v>
      </c>
    </row>
    <row r="680" spans="1:2">
      <c r="A680">
        <v>742</v>
      </c>
      <c r="B680">
        <v>1872</v>
      </c>
    </row>
    <row r="681" spans="1:2">
      <c r="A681">
        <v>743</v>
      </c>
      <c r="B681">
        <v>1873</v>
      </c>
    </row>
    <row r="682" spans="1:2">
      <c r="A682">
        <v>744</v>
      </c>
      <c r="B682">
        <v>1874</v>
      </c>
    </row>
    <row r="683" spans="1:2">
      <c r="A683">
        <v>746</v>
      </c>
      <c r="B683">
        <v>1875</v>
      </c>
    </row>
    <row r="684" spans="1:2">
      <c r="A684">
        <v>747</v>
      </c>
      <c r="B684">
        <v>1876</v>
      </c>
    </row>
    <row r="685" spans="1:2">
      <c r="A685">
        <v>748</v>
      </c>
      <c r="B685">
        <v>1877</v>
      </c>
    </row>
    <row r="686" spans="1:2">
      <c r="A686">
        <v>749</v>
      </c>
      <c r="B686">
        <v>1878</v>
      </c>
    </row>
    <row r="687" spans="1:2">
      <c r="A687">
        <v>750</v>
      </c>
      <c r="B687">
        <v>1879</v>
      </c>
    </row>
    <row r="688" spans="1:2">
      <c r="A688">
        <v>751</v>
      </c>
      <c r="B688">
        <v>1880</v>
      </c>
    </row>
    <row r="689" spans="1:2">
      <c r="A689">
        <v>752</v>
      </c>
      <c r="B689">
        <v>1881</v>
      </c>
    </row>
    <row r="690" spans="1:2">
      <c r="A690">
        <v>753</v>
      </c>
      <c r="B690">
        <v>1882</v>
      </c>
    </row>
    <row r="691" spans="1:2">
      <c r="A691">
        <v>754</v>
      </c>
      <c r="B691">
        <v>1883</v>
      </c>
    </row>
    <row r="692" spans="1:2">
      <c r="A692">
        <v>755</v>
      </c>
      <c r="B692">
        <v>1884</v>
      </c>
    </row>
    <row r="693" spans="1:2">
      <c r="A693">
        <v>756</v>
      </c>
      <c r="B693">
        <v>1885</v>
      </c>
    </row>
    <row r="694" spans="1:2">
      <c r="A694">
        <v>757</v>
      </c>
      <c r="B694">
        <v>1886</v>
      </c>
    </row>
    <row r="695" spans="1:2">
      <c r="A695">
        <v>758</v>
      </c>
      <c r="B695">
        <v>1887</v>
      </c>
    </row>
    <row r="696" spans="1:2">
      <c r="A696">
        <v>759</v>
      </c>
      <c r="B696">
        <v>1888</v>
      </c>
    </row>
    <row r="697" spans="1:2">
      <c r="A697">
        <v>760</v>
      </c>
      <c r="B697">
        <v>1889</v>
      </c>
    </row>
    <row r="698" spans="1:2">
      <c r="A698">
        <v>762</v>
      </c>
      <c r="B698">
        <v>1890</v>
      </c>
    </row>
    <row r="699" spans="1:2">
      <c r="A699">
        <v>769</v>
      </c>
      <c r="B699">
        <v>1891</v>
      </c>
    </row>
    <row r="700" spans="1:2">
      <c r="A700">
        <v>774</v>
      </c>
      <c r="B700">
        <v>1892</v>
      </c>
    </row>
    <row r="701" spans="1:2">
      <c r="A701">
        <v>865</v>
      </c>
      <c r="B701">
        <v>1893</v>
      </c>
    </row>
    <row r="702" spans="1:2">
      <c r="A702">
        <v>866</v>
      </c>
      <c r="B702">
        <v>1894</v>
      </c>
    </row>
    <row r="703" spans="1:2">
      <c r="A703">
        <v>867</v>
      </c>
      <c r="B703">
        <v>1895</v>
      </c>
    </row>
    <row r="704" spans="1:2">
      <c r="A704">
        <v>868</v>
      </c>
      <c r="B704">
        <v>1896</v>
      </c>
    </row>
    <row r="705" spans="1:2">
      <c r="A705">
        <v>869</v>
      </c>
      <c r="B705">
        <v>1897</v>
      </c>
    </row>
    <row r="706" spans="1:2">
      <c r="A706">
        <v>870</v>
      </c>
      <c r="B706">
        <v>1898</v>
      </c>
    </row>
    <row r="707" spans="1:2">
      <c r="A707">
        <v>871</v>
      </c>
      <c r="B707">
        <v>1899</v>
      </c>
    </row>
    <row r="708" spans="1:2">
      <c r="A708">
        <v>872</v>
      </c>
      <c r="B708">
        <v>1900</v>
      </c>
    </row>
    <row r="709" spans="1:2">
      <c r="A709">
        <v>873</v>
      </c>
      <c r="B709">
        <v>1901</v>
      </c>
    </row>
    <row r="710" spans="1:2">
      <c r="A710">
        <v>874</v>
      </c>
      <c r="B710">
        <v>1902</v>
      </c>
    </row>
    <row r="711" spans="1:2">
      <c r="A711">
        <v>875</v>
      </c>
      <c r="B711">
        <v>1903</v>
      </c>
    </row>
    <row r="712" spans="1:2">
      <c r="A712">
        <v>876</v>
      </c>
      <c r="B712">
        <v>1904</v>
      </c>
    </row>
    <row r="713" spans="1:2">
      <c r="A713">
        <v>877</v>
      </c>
      <c r="B713">
        <v>1905</v>
      </c>
    </row>
    <row r="714" spans="1:2">
      <c r="A714">
        <v>880</v>
      </c>
      <c r="B714">
        <v>1906</v>
      </c>
    </row>
    <row r="715" spans="1:2">
      <c r="A715">
        <v>881</v>
      </c>
      <c r="B715">
        <v>1907</v>
      </c>
    </row>
    <row r="716" spans="1:2">
      <c r="A716">
        <v>882</v>
      </c>
      <c r="B716">
        <v>1908</v>
      </c>
    </row>
    <row r="717" spans="1:2">
      <c r="A717">
        <v>884</v>
      </c>
      <c r="B717">
        <v>1909</v>
      </c>
    </row>
    <row r="718" spans="1:2">
      <c r="A718">
        <v>886</v>
      </c>
      <c r="B718">
        <v>1910</v>
      </c>
    </row>
    <row r="719" spans="1:2">
      <c r="A719">
        <v>887</v>
      </c>
      <c r="B719">
        <v>1911</v>
      </c>
    </row>
    <row r="720" spans="1:2">
      <c r="A720">
        <v>888</v>
      </c>
      <c r="B720">
        <v>1912</v>
      </c>
    </row>
    <row r="721" spans="1:2">
      <c r="A721">
        <v>889</v>
      </c>
      <c r="B721">
        <v>1913</v>
      </c>
    </row>
    <row r="722" spans="1:2">
      <c r="A722">
        <v>890</v>
      </c>
      <c r="B722">
        <v>1914</v>
      </c>
    </row>
    <row r="723" spans="1:2">
      <c r="A723">
        <v>891</v>
      </c>
      <c r="B723">
        <v>1915</v>
      </c>
    </row>
    <row r="724" spans="1:2">
      <c r="A724">
        <v>892</v>
      </c>
      <c r="B724">
        <v>1916</v>
      </c>
    </row>
    <row r="725" spans="1:2">
      <c r="A725">
        <v>893</v>
      </c>
      <c r="B725">
        <v>1917</v>
      </c>
    </row>
    <row r="726" spans="1:2">
      <c r="A726">
        <v>894</v>
      </c>
      <c r="B726">
        <v>1918</v>
      </c>
    </row>
    <row r="727" spans="1:2">
      <c r="A727">
        <v>895</v>
      </c>
      <c r="B727">
        <v>1919</v>
      </c>
    </row>
    <row r="728" spans="1:2">
      <c r="A728">
        <v>896</v>
      </c>
      <c r="B728">
        <v>1920</v>
      </c>
    </row>
    <row r="729" spans="1:2">
      <c r="A729">
        <v>897</v>
      </c>
      <c r="B729">
        <v>1921</v>
      </c>
    </row>
    <row r="730" spans="1:2">
      <c r="A730">
        <v>899</v>
      </c>
      <c r="B730">
        <v>1922</v>
      </c>
    </row>
    <row r="731" spans="1:2">
      <c r="A731">
        <v>901</v>
      </c>
      <c r="B731">
        <v>1923</v>
      </c>
    </row>
    <row r="732" spans="1:2">
      <c r="A732">
        <v>902</v>
      </c>
      <c r="B732">
        <v>1924</v>
      </c>
    </row>
    <row r="733" spans="1:2">
      <c r="A733">
        <v>903</v>
      </c>
      <c r="B733">
        <v>1925</v>
      </c>
    </row>
    <row r="734" spans="1:2">
      <c r="A734">
        <v>904</v>
      </c>
      <c r="B734">
        <v>1926</v>
      </c>
    </row>
    <row r="735" spans="1:2">
      <c r="A735">
        <v>905</v>
      </c>
      <c r="B735">
        <v>1927</v>
      </c>
    </row>
    <row r="736" spans="1:2">
      <c r="A736">
        <v>906</v>
      </c>
      <c r="B736">
        <v>1928</v>
      </c>
    </row>
    <row r="737" spans="1:2">
      <c r="A737">
        <v>907</v>
      </c>
      <c r="B737">
        <v>1929</v>
      </c>
    </row>
    <row r="738" spans="1:2">
      <c r="A738">
        <v>908</v>
      </c>
      <c r="B738">
        <v>1930</v>
      </c>
    </row>
    <row r="739" spans="1:2">
      <c r="A739">
        <v>909</v>
      </c>
      <c r="B739">
        <v>1931</v>
      </c>
    </row>
    <row r="740" spans="1:2">
      <c r="A740">
        <v>910</v>
      </c>
      <c r="B740">
        <v>1932</v>
      </c>
    </row>
    <row r="741" spans="1:2">
      <c r="A741">
        <v>911</v>
      </c>
      <c r="B741">
        <v>1933</v>
      </c>
    </row>
    <row r="742" spans="1:2">
      <c r="A742">
        <v>912</v>
      </c>
      <c r="B742">
        <v>1934</v>
      </c>
    </row>
    <row r="743" spans="1:2">
      <c r="A743">
        <v>913</v>
      </c>
      <c r="B743">
        <v>1935</v>
      </c>
    </row>
    <row r="744" spans="1:2">
      <c r="A744">
        <v>914</v>
      </c>
      <c r="B744">
        <v>1936</v>
      </c>
    </row>
    <row r="745" spans="1:2">
      <c r="A745">
        <v>915</v>
      </c>
      <c r="B745">
        <v>1937</v>
      </c>
    </row>
    <row r="746" spans="1:2">
      <c r="A746">
        <v>916</v>
      </c>
      <c r="B746">
        <v>1938</v>
      </c>
    </row>
    <row r="747" spans="1:2">
      <c r="A747">
        <v>917</v>
      </c>
      <c r="B747">
        <v>1939</v>
      </c>
    </row>
    <row r="748" spans="1:2">
      <c r="A748">
        <v>918</v>
      </c>
      <c r="B748">
        <v>1940</v>
      </c>
    </row>
    <row r="749" spans="1:2">
      <c r="A749">
        <v>919</v>
      </c>
      <c r="B749">
        <v>1941</v>
      </c>
    </row>
    <row r="750" spans="1:2">
      <c r="A750">
        <v>920</v>
      </c>
      <c r="B750">
        <v>1942</v>
      </c>
    </row>
    <row r="751" spans="1:2">
      <c r="A751">
        <v>921</v>
      </c>
      <c r="B751">
        <v>1943</v>
      </c>
    </row>
    <row r="752" spans="1:2">
      <c r="A752">
        <v>922</v>
      </c>
      <c r="B752">
        <v>1944</v>
      </c>
    </row>
    <row r="753" spans="1:2">
      <c r="A753">
        <v>923</v>
      </c>
      <c r="B753">
        <v>1945</v>
      </c>
    </row>
    <row r="754" spans="1:2">
      <c r="A754">
        <v>924</v>
      </c>
      <c r="B754">
        <v>1946</v>
      </c>
    </row>
    <row r="755" spans="1:2">
      <c r="A755">
        <v>929</v>
      </c>
      <c r="B755">
        <v>1947</v>
      </c>
    </row>
    <row r="756" spans="1:2">
      <c r="A756">
        <v>930</v>
      </c>
      <c r="B756">
        <v>1948</v>
      </c>
    </row>
    <row r="757" spans="1:2">
      <c r="A757">
        <v>931</v>
      </c>
      <c r="B757">
        <v>1949</v>
      </c>
    </row>
    <row r="758" spans="1:2">
      <c r="A758">
        <v>932</v>
      </c>
      <c r="B758">
        <v>1950</v>
      </c>
    </row>
    <row r="759" spans="1:2">
      <c r="A759">
        <v>933</v>
      </c>
      <c r="B759">
        <v>1951</v>
      </c>
    </row>
    <row r="760" spans="1:2">
      <c r="A760">
        <v>934</v>
      </c>
      <c r="B760">
        <v>1952</v>
      </c>
    </row>
    <row r="761" spans="1:2">
      <c r="A761">
        <v>935</v>
      </c>
      <c r="B761">
        <v>1953</v>
      </c>
    </row>
    <row r="762" spans="1:2">
      <c r="A762">
        <v>936</v>
      </c>
      <c r="B762">
        <v>1954</v>
      </c>
    </row>
    <row r="763" spans="1:2">
      <c r="A763">
        <v>937</v>
      </c>
      <c r="B763">
        <v>1955</v>
      </c>
    </row>
    <row r="764" spans="1:2">
      <c r="A764">
        <v>938</v>
      </c>
      <c r="B764">
        <v>1956</v>
      </c>
    </row>
    <row r="765" spans="1:2">
      <c r="A765">
        <v>939</v>
      </c>
      <c r="B765">
        <v>1957</v>
      </c>
    </row>
    <row r="766" spans="1:2">
      <c r="A766">
        <v>940</v>
      </c>
      <c r="B766">
        <v>1958</v>
      </c>
    </row>
    <row r="767" spans="1:2">
      <c r="A767">
        <v>941</v>
      </c>
      <c r="B767">
        <v>1959</v>
      </c>
    </row>
    <row r="768" spans="1:2">
      <c r="A768">
        <v>942</v>
      </c>
      <c r="B768">
        <v>1960</v>
      </c>
    </row>
    <row r="769" spans="1:2">
      <c r="A769">
        <v>943</v>
      </c>
      <c r="B769">
        <v>1961</v>
      </c>
    </row>
    <row r="770" spans="1:2">
      <c r="A770">
        <v>944</v>
      </c>
      <c r="B770">
        <v>1962</v>
      </c>
    </row>
    <row r="771" spans="1:2">
      <c r="A771">
        <v>945</v>
      </c>
      <c r="B771">
        <v>1963</v>
      </c>
    </row>
    <row r="772" spans="1:2">
      <c r="A772">
        <v>946</v>
      </c>
      <c r="B772">
        <v>1964</v>
      </c>
    </row>
    <row r="773" spans="1:2">
      <c r="A773">
        <v>947</v>
      </c>
      <c r="B773">
        <v>1965</v>
      </c>
    </row>
    <row r="774" spans="1:2">
      <c r="A774">
        <v>948</v>
      </c>
      <c r="B774">
        <v>1966</v>
      </c>
    </row>
    <row r="775" spans="1:2">
      <c r="A775">
        <v>949</v>
      </c>
      <c r="B775">
        <v>1967</v>
      </c>
    </row>
    <row r="776" spans="1:2">
      <c r="A776">
        <v>950</v>
      </c>
      <c r="B776">
        <v>1968</v>
      </c>
    </row>
    <row r="777" spans="1:2">
      <c r="A777">
        <v>951</v>
      </c>
      <c r="B777">
        <v>1969</v>
      </c>
    </row>
    <row r="778" spans="1:2">
      <c r="A778">
        <v>952</v>
      </c>
      <c r="B778">
        <v>1970</v>
      </c>
    </row>
    <row r="779" spans="1:2">
      <c r="A779">
        <v>954</v>
      </c>
      <c r="B779">
        <v>1971</v>
      </c>
    </row>
    <row r="780" spans="1:2">
      <c r="A780">
        <v>955</v>
      </c>
      <c r="B780">
        <v>1972</v>
      </c>
    </row>
    <row r="781" spans="1:2">
      <c r="A781">
        <v>956</v>
      </c>
      <c r="B781">
        <v>1973</v>
      </c>
    </row>
    <row r="782" spans="1:2">
      <c r="A782">
        <v>957</v>
      </c>
      <c r="B782">
        <v>1974</v>
      </c>
    </row>
    <row r="783" spans="1:2">
      <c r="A783">
        <v>959</v>
      </c>
      <c r="B783">
        <v>1975</v>
      </c>
    </row>
    <row r="784" spans="1:2">
      <c r="A784">
        <v>961</v>
      </c>
      <c r="B784">
        <v>1976</v>
      </c>
    </row>
    <row r="785" spans="1:2">
      <c r="A785">
        <v>962</v>
      </c>
      <c r="B785">
        <v>1977</v>
      </c>
    </row>
    <row r="786" spans="1:2">
      <c r="A786">
        <v>966</v>
      </c>
      <c r="B786">
        <v>1978</v>
      </c>
    </row>
    <row r="787" spans="1:2">
      <c r="A787">
        <v>967</v>
      </c>
      <c r="B787">
        <v>1979</v>
      </c>
    </row>
    <row r="788" spans="1:2">
      <c r="A788">
        <v>968</v>
      </c>
      <c r="B788">
        <v>1980</v>
      </c>
    </row>
    <row r="789" spans="1:2">
      <c r="A789">
        <v>969</v>
      </c>
      <c r="B789">
        <v>1981</v>
      </c>
    </row>
    <row r="790" spans="1:2">
      <c r="A790">
        <v>970</v>
      </c>
      <c r="B790">
        <v>1982</v>
      </c>
    </row>
    <row r="791" spans="1:2">
      <c r="A791">
        <v>971</v>
      </c>
      <c r="B791">
        <v>1983</v>
      </c>
    </row>
    <row r="792" spans="1:2">
      <c r="A792">
        <v>972</v>
      </c>
      <c r="B792">
        <v>1984</v>
      </c>
    </row>
    <row r="793" spans="1:2">
      <c r="A793">
        <v>973</v>
      </c>
      <c r="B793">
        <v>1985</v>
      </c>
    </row>
    <row r="794" spans="1:2">
      <c r="A794">
        <v>974</v>
      </c>
      <c r="B794">
        <v>1986</v>
      </c>
    </row>
    <row r="795" spans="1:2">
      <c r="A795">
        <v>975</v>
      </c>
      <c r="B795">
        <v>1987</v>
      </c>
    </row>
    <row r="796" spans="1:2">
      <c r="A796">
        <v>976</v>
      </c>
      <c r="B796">
        <v>1988</v>
      </c>
    </row>
    <row r="797" spans="1:2">
      <c r="A797">
        <v>977</v>
      </c>
      <c r="B797">
        <v>1989</v>
      </c>
    </row>
    <row r="798" spans="1:2">
      <c r="A798">
        <v>978</v>
      </c>
      <c r="B798">
        <v>1990</v>
      </c>
    </row>
    <row r="799" spans="1:2">
      <c r="A799">
        <v>979</v>
      </c>
      <c r="B799">
        <v>1991</v>
      </c>
    </row>
    <row r="800" spans="1:2">
      <c r="A800">
        <v>980</v>
      </c>
      <c r="B800">
        <v>1992</v>
      </c>
    </row>
    <row r="801" spans="1:2">
      <c r="A801">
        <v>981</v>
      </c>
      <c r="B801">
        <v>1993</v>
      </c>
    </row>
    <row r="802" spans="1:2">
      <c r="A802">
        <v>982</v>
      </c>
      <c r="B802">
        <v>1994</v>
      </c>
    </row>
    <row r="803" spans="1:2">
      <c r="A803">
        <v>983</v>
      </c>
      <c r="B803">
        <v>1995</v>
      </c>
    </row>
    <row r="804" spans="1:2">
      <c r="A804">
        <v>984</v>
      </c>
      <c r="B804">
        <v>1996</v>
      </c>
    </row>
    <row r="805" spans="1:2">
      <c r="A805">
        <v>985</v>
      </c>
      <c r="B805">
        <v>1997</v>
      </c>
    </row>
    <row r="806" spans="1:2">
      <c r="A806">
        <v>986</v>
      </c>
      <c r="B806">
        <v>1998</v>
      </c>
    </row>
    <row r="807" spans="1:2">
      <c r="A807">
        <v>988</v>
      </c>
      <c r="B807">
        <v>1999</v>
      </c>
    </row>
    <row r="808" spans="1:2">
      <c r="A808">
        <v>989</v>
      </c>
      <c r="B808">
        <v>2000</v>
      </c>
    </row>
    <row r="809" spans="1:2">
      <c r="A809">
        <v>990</v>
      </c>
      <c r="B809">
        <v>2001</v>
      </c>
    </row>
    <row r="810" spans="1:2">
      <c r="A810">
        <v>991</v>
      </c>
      <c r="B810">
        <v>2002</v>
      </c>
    </row>
    <row r="811" spans="1:2">
      <c r="A811">
        <v>992</v>
      </c>
      <c r="B811">
        <v>2003</v>
      </c>
    </row>
    <row r="812" spans="1:2">
      <c r="A812">
        <v>994</v>
      </c>
      <c r="B812">
        <v>2004</v>
      </c>
    </row>
    <row r="813" spans="1:2">
      <c r="A813">
        <v>996</v>
      </c>
      <c r="B813">
        <v>2005</v>
      </c>
    </row>
    <row r="814" spans="1:2">
      <c r="A814">
        <v>997</v>
      </c>
      <c r="B814">
        <v>2006</v>
      </c>
    </row>
    <row r="815" spans="1:2">
      <c r="A815">
        <v>998</v>
      </c>
      <c r="B815">
        <v>2007</v>
      </c>
    </row>
    <row r="816" spans="1:2">
      <c r="A816">
        <v>999</v>
      </c>
      <c r="B816">
        <v>2008</v>
      </c>
    </row>
    <row r="817" spans="1:2">
      <c r="A817">
        <v>1000</v>
      </c>
      <c r="B817">
        <v>2009</v>
      </c>
    </row>
    <row r="818" spans="1:2">
      <c r="A818">
        <v>1001</v>
      </c>
      <c r="B818">
        <v>2010</v>
      </c>
    </row>
    <row r="819" spans="1:2">
      <c r="A819">
        <v>1002</v>
      </c>
      <c r="B819">
        <v>2011</v>
      </c>
    </row>
    <row r="820" spans="1:2">
      <c r="A820">
        <v>1003</v>
      </c>
      <c r="B820">
        <v>2012</v>
      </c>
    </row>
    <row r="821" spans="1:2">
      <c r="A821">
        <v>1004</v>
      </c>
      <c r="B821">
        <v>2013</v>
      </c>
    </row>
    <row r="822" spans="1:2">
      <c r="A822">
        <v>1005</v>
      </c>
      <c r="B822">
        <v>2014</v>
      </c>
    </row>
    <row r="823" spans="1:2">
      <c r="A823">
        <v>1006</v>
      </c>
      <c r="B823">
        <v>2015</v>
      </c>
    </row>
    <row r="824" spans="1:2">
      <c r="A824">
        <v>1007</v>
      </c>
      <c r="B824">
        <v>2016</v>
      </c>
    </row>
    <row r="825" spans="1:2">
      <c r="A825">
        <v>1008</v>
      </c>
      <c r="B825">
        <v>2017</v>
      </c>
    </row>
    <row r="826" spans="1:2">
      <c r="A826">
        <v>1009</v>
      </c>
      <c r="B826">
        <v>2018</v>
      </c>
    </row>
    <row r="827" spans="1:2">
      <c r="A827">
        <v>1010</v>
      </c>
      <c r="B827">
        <v>2019</v>
      </c>
    </row>
    <row r="828" spans="1:2">
      <c r="A828">
        <v>1011</v>
      </c>
      <c r="B828">
        <v>2020</v>
      </c>
    </row>
    <row r="829" spans="1:2">
      <c r="A829">
        <v>1012</v>
      </c>
      <c r="B829">
        <v>2021</v>
      </c>
    </row>
    <row r="830" spans="1:2">
      <c r="A830">
        <v>1013</v>
      </c>
      <c r="B830">
        <v>2022</v>
      </c>
    </row>
    <row r="831" spans="1:2">
      <c r="A831">
        <v>1014</v>
      </c>
      <c r="B831">
        <v>2023</v>
      </c>
    </row>
    <row r="832" spans="1:2">
      <c r="A832">
        <v>1015</v>
      </c>
      <c r="B832">
        <v>2024</v>
      </c>
    </row>
    <row r="833" spans="1:2">
      <c r="A833">
        <v>1016</v>
      </c>
      <c r="B833">
        <v>2025</v>
      </c>
    </row>
    <row r="834" spans="1:2">
      <c r="A834">
        <v>1017</v>
      </c>
      <c r="B834">
        <v>2026</v>
      </c>
    </row>
    <row r="835" spans="1:2">
      <c r="A835">
        <v>1018</v>
      </c>
      <c r="B835">
        <v>2027</v>
      </c>
    </row>
    <row r="836" spans="1:2">
      <c r="A836">
        <v>1019</v>
      </c>
      <c r="B836">
        <v>2028</v>
      </c>
    </row>
    <row r="837" spans="1:2">
      <c r="A837">
        <v>1020</v>
      </c>
      <c r="B837">
        <v>2029</v>
      </c>
    </row>
    <row r="838" spans="1:2">
      <c r="A838">
        <v>1021</v>
      </c>
      <c r="B838">
        <v>2030</v>
      </c>
    </row>
    <row r="839" spans="1:2">
      <c r="A839">
        <v>1022</v>
      </c>
      <c r="B839">
        <v>2031</v>
      </c>
    </row>
    <row r="840" spans="1:2">
      <c r="A840">
        <v>1023</v>
      </c>
      <c r="B840">
        <v>2032</v>
      </c>
    </row>
    <row r="841" spans="1:2">
      <c r="A841">
        <v>1024</v>
      </c>
      <c r="B841">
        <v>2033</v>
      </c>
    </row>
    <row r="842" spans="1:2">
      <c r="A842">
        <v>1025</v>
      </c>
      <c r="B842">
        <v>2034</v>
      </c>
    </row>
    <row r="843" spans="1:2">
      <c r="A843">
        <v>1027</v>
      </c>
      <c r="B843">
        <v>2035</v>
      </c>
    </row>
    <row r="844" spans="1:2">
      <c r="A844">
        <v>1028</v>
      </c>
      <c r="B844">
        <v>2036</v>
      </c>
    </row>
    <row r="845" spans="1:2">
      <c r="A845">
        <v>1029</v>
      </c>
      <c r="B845">
        <v>2037</v>
      </c>
    </row>
    <row r="846" spans="1:2">
      <c r="A846">
        <v>1030</v>
      </c>
      <c r="B846">
        <v>2038</v>
      </c>
    </row>
    <row r="847" spans="1:2">
      <c r="A847">
        <v>1031</v>
      </c>
      <c r="B847">
        <v>2039</v>
      </c>
    </row>
    <row r="848" spans="1:2">
      <c r="A848">
        <v>1032</v>
      </c>
      <c r="B848">
        <v>2040</v>
      </c>
    </row>
    <row r="849" spans="1:2">
      <c r="A849">
        <v>1033</v>
      </c>
      <c r="B849">
        <v>2041</v>
      </c>
    </row>
    <row r="850" spans="1:2">
      <c r="A850">
        <v>1034</v>
      </c>
      <c r="B850">
        <v>2042</v>
      </c>
    </row>
    <row r="851" spans="1:2">
      <c r="A851">
        <v>1035</v>
      </c>
      <c r="B851">
        <v>2043</v>
      </c>
    </row>
    <row r="852" spans="1:2">
      <c r="A852">
        <v>1036</v>
      </c>
      <c r="B852">
        <v>2044</v>
      </c>
    </row>
    <row r="853" spans="1:2">
      <c r="A853">
        <v>1037</v>
      </c>
      <c r="B853">
        <v>2045</v>
      </c>
    </row>
    <row r="854" spans="1:2">
      <c r="A854">
        <v>1038</v>
      </c>
      <c r="B854">
        <v>2046</v>
      </c>
    </row>
    <row r="855" spans="1:2">
      <c r="A855">
        <v>1039</v>
      </c>
      <c r="B855">
        <v>2047</v>
      </c>
    </row>
    <row r="856" spans="1:2">
      <c r="A856">
        <v>1040</v>
      </c>
      <c r="B856">
        <v>2048</v>
      </c>
    </row>
    <row r="857" spans="1:2">
      <c r="A857">
        <v>1041</v>
      </c>
      <c r="B857">
        <v>2049</v>
      </c>
    </row>
    <row r="858" spans="1:2">
      <c r="A858">
        <v>1042</v>
      </c>
      <c r="B858">
        <v>2050</v>
      </c>
    </row>
    <row r="859" spans="1:2">
      <c r="A859">
        <v>1043</v>
      </c>
      <c r="B859">
        <v>2051</v>
      </c>
    </row>
    <row r="860" spans="1:2">
      <c r="A860">
        <v>1044</v>
      </c>
      <c r="B860">
        <v>2052</v>
      </c>
    </row>
    <row r="861" spans="1:2">
      <c r="A861">
        <v>1045</v>
      </c>
      <c r="B861">
        <v>2053</v>
      </c>
    </row>
    <row r="862" spans="1:2">
      <c r="A862">
        <v>1046</v>
      </c>
      <c r="B862">
        <v>2054</v>
      </c>
    </row>
    <row r="863" spans="1:2">
      <c r="A863">
        <v>1047</v>
      </c>
      <c r="B863">
        <v>2055</v>
      </c>
    </row>
    <row r="864" spans="1:2">
      <c r="A864">
        <v>1048</v>
      </c>
      <c r="B864">
        <v>2056</v>
      </c>
    </row>
    <row r="865" spans="1:2">
      <c r="A865">
        <v>1049</v>
      </c>
      <c r="B865">
        <v>2057</v>
      </c>
    </row>
    <row r="866" spans="1:2">
      <c r="A866">
        <v>1050</v>
      </c>
      <c r="B866">
        <v>2058</v>
      </c>
    </row>
    <row r="867" spans="1:2">
      <c r="A867">
        <v>1051</v>
      </c>
      <c r="B867">
        <v>2059</v>
      </c>
    </row>
    <row r="868" spans="1:2">
      <c r="A868">
        <v>1052</v>
      </c>
      <c r="B868">
        <v>2060</v>
      </c>
    </row>
    <row r="869" spans="1:2">
      <c r="A869">
        <v>1053</v>
      </c>
      <c r="B869">
        <v>2061</v>
      </c>
    </row>
    <row r="870" spans="1:2">
      <c r="A870">
        <v>1054</v>
      </c>
      <c r="B870">
        <v>2062</v>
      </c>
    </row>
    <row r="871" spans="1:2">
      <c r="A871">
        <v>1055</v>
      </c>
      <c r="B871">
        <v>2063</v>
      </c>
    </row>
    <row r="872" spans="1:2">
      <c r="A872">
        <v>1056</v>
      </c>
      <c r="B872">
        <v>2064</v>
      </c>
    </row>
    <row r="873" spans="1:2">
      <c r="A873">
        <v>1057</v>
      </c>
      <c r="B873">
        <v>2065</v>
      </c>
    </row>
    <row r="874" spans="1:2">
      <c r="A874">
        <v>1058</v>
      </c>
      <c r="B874">
        <v>2066</v>
      </c>
    </row>
    <row r="875" spans="1:2">
      <c r="A875">
        <v>1059</v>
      </c>
      <c r="B875">
        <v>2067</v>
      </c>
    </row>
    <row r="876" spans="1:2">
      <c r="A876">
        <v>1060</v>
      </c>
      <c r="B876">
        <v>2068</v>
      </c>
    </row>
    <row r="877" spans="1:2">
      <c r="A877">
        <v>1061</v>
      </c>
      <c r="B877">
        <v>2069</v>
      </c>
    </row>
    <row r="878" spans="1:2">
      <c r="A878">
        <v>1062</v>
      </c>
      <c r="B878">
        <v>2070</v>
      </c>
    </row>
    <row r="879" spans="1:2">
      <c r="A879">
        <v>1063</v>
      </c>
      <c r="B879">
        <v>2071</v>
      </c>
    </row>
    <row r="880" spans="1:2">
      <c r="A880">
        <v>1064</v>
      </c>
      <c r="B880">
        <v>2072</v>
      </c>
    </row>
    <row r="881" spans="1:2">
      <c r="A881">
        <v>1065</v>
      </c>
      <c r="B881">
        <v>2073</v>
      </c>
    </row>
    <row r="882" spans="1:2">
      <c r="A882">
        <v>1067</v>
      </c>
      <c r="B882">
        <v>2074</v>
      </c>
    </row>
    <row r="883" spans="1:2">
      <c r="A883">
        <v>1068</v>
      </c>
      <c r="B883">
        <v>2075</v>
      </c>
    </row>
    <row r="884" spans="1:2">
      <c r="A884">
        <v>1069</v>
      </c>
      <c r="B884">
        <v>2076</v>
      </c>
    </row>
    <row r="885" spans="1:2">
      <c r="A885">
        <v>1070</v>
      </c>
      <c r="B885">
        <v>2077</v>
      </c>
    </row>
    <row r="886" spans="1:2">
      <c r="A886">
        <v>1071</v>
      </c>
      <c r="B886">
        <v>2078</v>
      </c>
    </row>
    <row r="887" spans="1:2">
      <c r="A887">
        <v>1072</v>
      </c>
      <c r="B887">
        <v>2079</v>
      </c>
    </row>
    <row r="888" spans="1:2">
      <c r="A888">
        <v>1073</v>
      </c>
      <c r="B888">
        <v>2080</v>
      </c>
    </row>
    <row r="889" spans="1:2">
      <c r="A889">
        <v>1074</v>
      </c>
      <c r="B889">
        <v>2081</v>
      </c>
    </row>
    <row r="890" spans="1:2">
      <c r="A890">
        <v>1075</v>
      </c>
      <c r="B890">
        <v>2082</v>
      </c>
    </row>
    <row r="891" spans="1:2">
      <c r="A891">
        <v>1076</v>
      </c>
      <c r="B891">
        <v>2083</v>
      </c>
    </row>
    <row r="892" spans="1:2">
      <c r="A892">
        <v>1077</v>
      </c>
      <c r="B892">
        <v>2084</v>
      </c>
    </row>
    <row r="893" spans="1:2">
      <c r="A893">
        <v>1078</v>
      </c>
      <c r="B893">
        <v>2085</v>
      </c>
    </row>
    <row r="894" spans="1:2">
      <c r="A894">
        <v>1079</v>
      </c>
      <c r="B894">
        <v>2086</v>
      </c>
    </row>
    <row r="895" spans="1:2">
      <c r="A895">
        <v>1080</v>
      </c>
      <c r="B895">
        <v>2087</v>
      </c>
    </row>
    <row r="896" spans="1:2">
      <c r="A896">
        <v>1081</v>
      </c>
      <c r="B896">
        <v>2088</v>
      </c>
    </row>
    <row r="897" spans="1:2">
      <c r="A897">
        <v>1082</v>
      </c>
      <c r="B897">
        <v>2089</v>
      </c>
    </row>
    <row r="898" spans="1:2">
      <c r="A898">
        <v>1083</v>
      </c>
      <c r="B898">
        <v>2090</v>
      </c>
    </row>
    <row r="899" spans="1:2">
      <c r="A899">
        <v>1084</v>
      </c>
      <c r="B899">
        <v>2091</v>
      </c>
    </row>
    <row r="900" spans="1:2">
      <c r="A900">
        <v>1085</v>
      </c>
      <c r="B900">
        <v>2092</v>
      </c>
    </row>
    <row r="901" spans="1:2">
      <c r="A901">
        <v>1086</v>
      </c>
      <c r="B901">
        <v>2093</v>
      </c>
    </row>
    <row r="902" spans="1:2">
      <c r="A902">
        <v>1087</v>
      </c>
      <c r="B902">
        <v>2094</v>
      </c>
    </row>
    <row r="903" spans="1:2">
      <c r="A903">
        <v>1088</v>
      </c>
      <c r="B903">
        <v>2095</v>
      </c>
    </row>
    <row r="904" spans="1:2">
      <c r="A904">
        <v>1089</v>
      </c>
      <c r="B904">
        <v>2096</v>
      </c>
    </row>
    <row r="905" spans="1:2">
      <c r="A905">
        <v>1090</v>
      </c>
      <c r="B905">
        <v>2097</v>
      </c>
    </row>
    <row r="906" spans="1:2">
      <c r="A906">
        <v>1091</v>
      </c>
      <c r="B906">
        <v>2098</v>
      </c>
    </row>
    <row r="907" spans="1:2">
      <c r="A907">
        <v>1092</v>
      </c>
      <c r="B907">
        <v>2099</v>
      </c>
    </row>
    <row r="908" spans="1:2">
      <c r="A908">
        <v>1093</v>
      </c>
      <c r="B908">
        <v>2100</v>
      </c>
    </row>
    <row r="909" spans="1:2">
      <c r="A909">
        <v>1094</v>
      </c>
      <c r="B909">
        <v>2101</v>
      </c>
    </row>
    <row r="910" spans="1:2">
      <c r="A910">
        <v>1096</v>
      </c>
      <c r="B910">
        <v>2102</v>
      </c>
    </row>
    <row r="911" spans="1:2">
      <c r="A911">
        <v>1097</v>
      </c>
      <c r="B911">
        <v>2103</v>
      </c>
    </row>
    <row r="912" spans="1:2">
      <c r="A912">
        <v>1098</v>
      </c>
      <c r="B912">
        <v>2104</v>
      </c>
    </row>
    <row r="913" spans="1:2">
      <c r="A913">
        <v>1099</v>
      </c>
      <c r="B913">
        <v>2105</v>
      </c>
    </row>
    <row r="914" spans="1:2">
      <c r="A914">
        <v>1100</v>
      </c>
      <c r="B914">
        <v>2106</v>
      </c>
    </row>
    <row r="915" spans="1:2">
      <c r="A915">
        <v>1101</v>
      </c>
      <c r="B915">
        <v>2107</v>
      </c>
    </row>
    <row r="916" spans="1:2">
      <c r="A916">
        <v>1102</v>
      </c>
      <c r="B916">
        <v>2108</v>
      </c>
    </row>
    <row r="917" spans="1:2">
      <c r="A917">
        <v>1103</v>
      </c>
      <c r="B917">
        <v>2109</v>
      </c>
    </row>
    <row r="918" spans="1:2">
      <c r="A918">
        <v>1104</v>
      </c>
      <c r="B918">
        <v>2110</v>
      </c>
    </row>
    <row r="919" spans="1:2">
      <c r="A919">
        <v>1105</v>
      </c>
      <c r="B919">
        <v>2111</v>
      </c>
    </row>
    <row r="920" spans="1:2">
      <c r="A920">
        <v>1106</v>
      </c>
      <c r="B920">
        <v>2112</v>
      </c>
    </row>
    <row r="921" spans="1:2">
      <c r="A921">
        <v>1107</v>
      </c>
      <c r="B921">
        <v>2113</v>
      </c>
    </row>
    <row r="922" spans="1:2">
      <c r="A922">
        <v>1108</v>
      </c>
      <c r="B922">
        <v>2114</v>
      </c>
    </row>
    <row r="923" spans="1:2">
      <c r="A923">
        <v>1109</v>
      </c>
      <c r="B923">
        <v>2115</v>
      </c>
    </row>
    <row r="924" spans="1:2">
      <c r="A924">
        <v>1110</v>
      </c>
      <c r="B924">
        <v>2116</v>
      </c>
    </row>
    <row r="925" spans="1:2">
      <c r="A925">
        <v>1111</v>
      </c>
      <c r="B925">
        <v>2117</v>
      </c>
    </row>
    <row r="926" spans="1:2">
      <c r="A926">
        <v>1112</v>
      </c>
      <c r="B926">
        <v>2118</v>
      </c>
    </row>
    <row r="927" spans="1:2">
      <c r="A927">
        <v>1113</v>
      </c>
      <c r="B927">
        <v>2119</v>
      </c>
    </row>
    <row r="928" spans="1:2">
      <c r="A928">
        <v>1114</v>
      </c>
      <c r="B928">
        <v>2120</v>
      </c>
    </row>
    <row r="929" spans="1:2">
      <c r="A929">
        <v>1115</v>
      </c>
      <c r="B929">
        <v>2121</v>
      </c>
    </row>
    <row r="930" spans="1:2">
      <c r="A930">
        <v>1116</v>
      </c>
      <c r="B930">
        <v>2122</v>
      </c>
    </row>
    <row r="931" spans="1:2">
      <c r="A931">
        <v>1117</v>
      </c>
      <c r="B931">
        <v>2123</v>
      </c>
    </row>
    <row r="932" spans="1:2">
      <c r="A932">
        <v>1118</v>
      </c>
      <c r="B932">
        <v>2124</v>
      </c>
    </row>
    <row r="933" spans="1:2">
      <c r="A933">
        <v>1119</v>
      </c>
      <c r="B933">
        <v>2125</v>
      </c>
    </row>
    <row r="934" spans="1:2">
      <c r="A934">
        <v>1120</v>
      </c>
      <c r="B934">
        <v>2126</v>
      </c>
    </row>
    <row r="935" spans="1:2">
      <c r="A935">
        <v>1121</v>
      </c>
      <c r="B935">
        <v>2127</v>
      </c>
    </row>
    <row r="936" spans="1:2">
      <c r="A936">
        <v>1122</v>
      </c>
      <c r="B936">
        <v>2128</v>
      </c>
    </row>
    <row r="937" spans="1:2">
      <c r="A937">
        <v>1124</v>
      </c>
      <c r="B937">
        <v>2129</v>
      </c>
    </row>
    <row r="938" spans="1:2">
      <c r="A938">
        <v>1125</v>
      </c>
      <c r="B938">
        <v>2130</v>
      </c>
    </row>
    <row r="939" spans="1:2">
      <c r="A939">
        <v>1126</v>
      </c>
      <c r="B939">
        <v>2131</v>
      </c>
    </row>
    <row r="940" spans="1:2">
      <c r="A940">
        <v>1127</v>
      </c>
      <c r="B940">
        <v>2132</v>
      </c>
    </row>
    <row r="941" spans="1:2">
      <c r="A941">
        <v>1128</v>
      </c>
      <c r="B941">
        <v>2133</v>
      </c>
    </row>
    <row r="942" spans="1:2">
      <c r="A942">
        <v>1129</v>
      </c>
      <c r="B942">
        <v>2134</v>
      </c>
    </row>
    <row r="943" spans="1:2">
      <c r="A943">
        <v>1130</v>
      </c>
      <c r="B943">
        <v>2135</v>
      </c>
    </row>
    <row r="944" spans="1:2">
      <c r="A944">
        <v>1131</v>
      </c>
      <c r="B944">
        <v>2136</v>
      </c>
    </row>
    <row r="945" spans="1:2">
      <c r="A945">
        <v>1132</v>
      </c>
      <c r="B945">
        <v>2137</v>
      </c>
    </row>
    <row r="946" spans="1:2">
      <c r="A946">
        <v>1133</v>
      </c>
      <c r="B946">
        <v>2138</v>
      </c>
    </row>
    <row r="947" spans="1:2">
      <c r="A947">
        <v>1134</v>
      </c>
      <c r="B947">
        <v>2139</v>
      </c>
    </row>
    <row r="948" spans="1:2">
      <c r="A948">
        <v>1135</v>
      </c>
      <c r="B948">
        <v>2140</v>
      </c>
    </row>
    <row r="949" spans="1:2">
      <c r="A949">
        <v>1136</v>
      </c>
      <c r="B949">
        <v>2141</v>
      </c>
    </row>
    <row r="950" spans="1:2">
      <c r="A950">
        <v>1137</v>
      </c>
      <c r="B950">
        <v>2142</v>
      </c>
    </row>
    <row r="951" spans="1:2">
      <c r="A951">
        <v>1138</v>
      </c>
      <c r="B951">
        <v>2143</v>
      </c>
    </row>
    <row r="952" spans="1:2">
      <c r="A952">
        <v>1139</v>
      </c>
      <c r="B952">
        <v>2144</v>
      </c>
    </row>
    <row r="953" spans="1:2">
      <c r="A953">
        <v>1140</v>
      </c>
      <c r="B953">
        <v>2145</v>
      </c>
    </row>
    <row r="954" spans="1:2">
      <c r="A954">
        <v>1141</v>
      </c>
      <c r="B954">
        <v>2146</v>
      </c>
    </row>
    <row r="955" spans="1:2">
      <c r="A955">
        <v>1142</v>
      </c>
      <c r="B955">
        <v>2147</v>
      </c>
    </row>
    <row r="956" spans="1:2">
      <c r="A956">
        <v>1143</v>
      </c>
      <c r="B956">
        <v>2148</v>
      </c>
    </row>
    <row r="957" spans="1:2">
      <c r="A957">
        <v>1144</v>
      </c>
      <c r="B957">
        <v>2149</v>
      </c>
    </row>
    <row r="958" spans="1:2">
      <c r="A958">
        <v>1145</v>
      </c>
      <c r="B958">
        <v>2150</v>
      </c>
    </row>
    <row r="959" spans="1:2">
      <c r="A959">
        <v>1146</v>
      </c>
      <c r="B959">
        <v>2151</v>
      </c>
    </row>
    <row r="960" spans="1:2">
      <c r="A960">
        <v>1147</v>
      </c>
      <c r="B960">
        <v>2152</v>
      </c>
    </row>
    <row r="961" spans="1:2">
      <c r="A961">
        <v>1148</v>
      </c>
      <c r="B961">
        <v>2153</v>
      </c>
    </row>
    <row r="962" spans="1:2">
      <c r="A962">
        <v>1149</v>
      </c>
      <c r="B962">
        <v>2154</v>
      </c>
    </row>
    <row r="963" spans="1:2">
      <c r="A963">
        <v>1150</v>
      </c>
      <c r="B963">
        <v>2155</v>
      </c>
    </row>
    <row r="964" spans="1:2">
      <c r="A964">
        <v>1151</v>
      </c>
      <c r="B964">
        <v>2156</v>
      </c>
    </row>
    <row r="965" spans="1:2">
      <c r="A965">
        <v>1152</v>
      </c>
      <c r="B965">
        <v>2157</v>
      </c>
    </row>
    <row r="966" spans="1:2">
      <c r="A966">
        <v>1153</v>
      </c>
      <c r="B966">
        <v>2158</v>
      </c>
    </row>
    <row r="967" spans="1:2">
      <c r="A967">
        <v>1154</v>
      </c>
      <c r="B967">
        <v>2159</v>
      </c>
    </row>
    <row r="968" spans="1:2">
      <c r="A968">
        <v>1155</v>
      </c>
      <c r="B968">
        <v>2160</v>
      </c>
    </row>
    <row r="969" spans="1:2">
      <c r="A969">
        <v>1156</v>
      </c>
      <c r="B969">
        <v>2161</v>
      </c>
    </row>
    <row r="970" spans="1:2">
      <c r="A970">
        <v>1157</v>
      </c>
      <c r="B970">
        <v>2162</v>
      </c>
    </row>
    <row r="971" spans="1:2">
      <c r="A971">
        <v>1158</v>
      </c>
      <c r="B971">
        <v>2163</v>
      </c>
    </row>
    <row r="972" spans="1:2">
      <c r="A972">
        <v>1159</v>
      </c>
      <c r="B972">
        <v>2164</v>
      </c>
    </row>
    <row r="973" spans="1:2">
      <c r="A973">
        <v>1160</v>
      </c>
      <c r="B973">
        <v>2165</v>
      </c>
    </row>
    <row r="974" spans="1:2">
      <c r="A974">
        <v>1161</v>
      </c>
      <c r="B974">
        <v>2166</v>
      </c>
    </row>
    <row r="975" spans="1:2">
      <c r="A975">
        <v>1162</v>
      </c>
      <c r="B975">
        <v>2167</v>
      </c>
    </row>
    <row r="976" spans="1:2">
      <c r="A976">
        <v>1163</v>
      </c>
      <c r="B976">
        <v>2168</v>
      </c>
    </row>
    <row r="977" spans="1:2">
      <c r="A977">
        <v>1164</v>
      </c>
      <c r="B977">
        <v>2169</v>
      </c>
    </row>
    <row r="978" spans="1:2">
      <c r="A978">
        <v>1165</v>
      </c>
      <c r="B978">
        <v>2170</v>
      </c>
    </row>
    <row r="979" spans="1:2">
      <c r="A979">
        <v>1166</v>
      </c>
      <c r="B979">
        <v>2171</v>
      </c>
    </row>
    <row r="980" spans="1:2">
      <c r="A980">
        <v>1167</v>
      </c>
      <c r="B980">
        <v>2172</v>
      </c>
    </row>
    <row r="981" spans="1:2">
      <c r="A981">
        <v>1168</v>
      </c>
      <c r="B981">
        <v>2173</v>
      </c>
    </row>
    <row r="982" spans="1:2">
      <c r="A982">
        <v>1169</v>
      </c>
      <c r="B982">
        <v>2174</v>
      </c>
    </row>
    <row r="983" spans="1:2">
      <c r="A983">
        <v>1170</v>
      </c>
      <c r="B983">
        <v>2175</v>
      </c>
    </row>
    <row r="984" spans="1:2">
      <c r="A984">
        <v>1171</v>
      </c>
      <c r="B984">
        <v>2176</v>
      </c>
    </row>
    <row r="985" spans="1:2">
      <c r="A985">
        <v>1172</v>
      </c>
      <c r="B985">
        <v>2177</v>
      </c>
    </row>
    <row r="986" spans="1:2">
      <c r="A986">
        <v>1173</v>
      </c>
      <c r="B986">
        <v>2178</v>
      </c>
    </row>
    <row r="987" spans="1:2">
      <c r="A987">
        <v>1174</v>
      </c>
      <c r="B987">
        <v>2179</v>
      </c>
    </row>
    <row r="988" spans="1:2">
      <c r="A988">
        <v>1175</v>
      </c>
      <c r="B988">
        <v>2180</v>
      </c>
    </row>
    <row r="989" spans="1:2">
      <c r="A989">
        <v>1176</v>
      </c>
      <c r="B989">
        <v>2181</v>
      </c>
    </row>
    <row r="990" spans="1:2">
      <c r="A990">
        <v>1177</v>
      </c>
      <c r="B990">
        <v>2182</v>
      </c>
    </row>
    <row r="991" spans="1:2">
      <c r="A991">
        <v>1178</v>
      </c>
      <c r="B991">
        <v>2183</v>
      </c>
    </row>
    <row r="992" spans="1:2">
      <c r="A992">
        <v>1179</v>
      </c>
      <c r="B992">
        <v>2184</v>
      </c>
    </row>
    <row r="993" spans="1:2">
      <c r="A993">
        <v>1180</v>
      </c>
      <c r="B993">
        <v>2185</v>
      </c>
    </row>
    <row r="994" spans="1:2">
      <c r="A994">
        <v>1182</v>
      </c>
      <c r="B994">
        <v>2186</v>
      </c>
    </row>
    <row r="995" spans="1:2">
      <c r="A995">
        <v>1184</v>
      </c>
      <c r="B995">
        <v>2187</v>
      </c>
    </row>
    <row r="996" spans="1:2">
      <c r="A996">
        <v>1185</v>
      </c>
      <c r="B996">
        <v>2188</v>
      </c>
    </row>
    <row r="997" spans="1:2">
      <c r="A997">
        <v>1186</v>
      </c>
      <c r="B997">
        <v>2189</v>
      </c>
    </row>
    <row r="998" spans="1:2">
      <c r="A998">
        <v>1187</v>
      </c>
      <c r="B998">
        <v>2190</v>
      </c>
    </row>
    <row r="999" spans="1:2">
      <c r="A999">
        <v>1188</v>
      </c>
      <c r="B999">
        <v>2191</v>
      </c>
    </row>
    <row r="1000" spans="1:2">
      <c r="A1000">
        <v>1189</v>
      </c>
      <c r="B1000">
        <v>2192</v>
      </c>
    </row>
    <row r="1001" spans="1:2">
      <c r="A1001">
        <v>1190</v>
      </c>
      <c r="B1001">
        <v>2193</v>
      </c>
    </row>
    <row r="1002" spans="1:2">
      <c r="A1002">
        <v>1191</v>
      </c>
      <c r="B1002">
        <v>2194</v>
      </c>
    </row>
    <row r="1003" spans="1:2">
      <c r="A1003">
        <v>1192</v>
      </c>
      <c r="B1003">
        <v>2195</v>
      </c>
    </row>
    <row r="1004" spans="1:2">
      <c r="A1004">
        <v>1193</v>
      </c>
      <c r="B1004">
        <v>2196</v>
      </c>
    </row>
    <row r="1005" spans="1:2">
      <c r="A1005">
        <v>1194</v>
      </c>
      <c r="B1005">
        <v>2197</v>
      </c>
    </row>
    <row r="1006" spans="1:2">
      <c r="A1006">
        <v>1195</v>
      </c>
      <c r="B1006">
        <v>2198</v>
      </c>
    </row>
    <row r="1007" spans="1:2">
      <c r="A1007">
        <v>1196</v>
      </c>
      <c r="B1007">
        <v>2199</v>
      </c>
    </row>
    <row r="1008" spans="1:2">
      <c r="A1008">
        <v>1197</v>
      </c>
      <c r="B1008">
        <v>2200</v>
      </c>
    </row>
    <row r="1009" spans="1:2">
      <c r="A1009">
        <v>1198</v>
      </c>
      <c r="B1009">
        <v>2201</v>
      </c>
    </row>
    <row r="1010" spans="1:2">
      <c r="A1010">
        <v>1199</v>
      </c>
      <c r="B1010">
        <v>2202</v>
      </c>
    </row>
    <row r="1011" spans="1:2">
      <c r="A1011">
        <v>1200</v>
      </c>
      <c r="B1011">
        <v>2203</v>
      </c>
    </row>
    <row r="1012" spans="1:2">
      <c r="A1012">
        <v>1201</v>
      </c>
      <c r="B1012">
        <v>2204</v>
      </c>
    </row>
    <row r="1013" spans="1:2">
      <c r="A1013">
        <v>1202</v>
      </c>
      <c r="B1013">
        <v>2205</v>
      </c>
    </row>
    <row r="1014" spans="1:2">
      <c r="A1014">
        <v>1203</v>
      </c>
      <c r="B1014">
        <v>2206</v>
      </c>
    </row>
    <row r="1015" spans="1:2">
      <c r="A1015">
        <v>1204</v>
      </c>
      <c r="B1015">
        <v>2207</v>
      </c>
    </row>
    <row r="1016" spans="1:2">
      <c r="A1016">
        <v>1205</v>
      </c>
      <c r="B1016">
        <v>2208</v>
      </c>
    </row>
    <row r="1017" spans="1:2">
      <c r="A1017">
        <v>1206</v>
      </c>
      <c r="B1017">
        <v>2209</v>
      </c>
    </row>
    <row r="1018" spans="1:2">
      <c r="A1018">
        <v>1207</v>
      </c>
      <c r="B1018">
        <v>2210</v>
      </c>
    </row>
    <row r="1019" spans="1:2">
      <c r="A1019">
        <v>1208</v>
      </c>
      <c r="B1019">
        <v>2211</v>
      </c>
    </row>
    <row r="1020" spans="1:2">
      <c r="A1020">
        <v>1209</v>
      </c>
      <c r="B1020">
        <v>2212</v>
      </c>
    </row>
    <row r="1021" spans="1:2">
      <c r="A1021">
        <v>1210</v>
      </c>
      <c r="B1021">
        <v>2213</v>
      </c>
    </row>
    <row r="1022" spans="1:2">
      <c r="A1022">
        <v>1211</v>
      </c>
      <c r="B1022">
        <v>2214</v>
      </c>
    </row>
    <row r="1023" spans="1:2">
      <c r="A1023">
        <v>1212</v>
      </c>
      <c r="B1023">
        <v>2215</v>
      </c>
    </row>
    <row r="1024" spans="1:2">
      <c r="A1024">
        <v>1213</v>
      </c>
      <c r="B1024">
        <v>2216</v>
      </c>
    </row>
    <row r="1025" spans="1:2">
      <c r="A1025">
        <v>1216</v>
      </c>
      <c r="B1025">
        <v>2217</v>
      </c>
    </row>
    <row r="1026" spans="1:2">
      <c r="A1026">
        <v>1217</v>
      </c>
      <c r="B1026">
        <v>2218</v>
      </c>
    </row>
    <row r="1027" spans="1:2">
      <c r="A1027">
        <v>1218</v>
      </c>
      <c r="B1027">
        <v>2219</v>
      </c>
    </row>
    <row r="1028" spans="1:2">
      <c r="A1028">
        <v>1219</v>
      </c>
      <c r="B1028">
        <v>2220</v>
      </c>
    </row>
    <row r="1029" spans="1:2">
      <c r="A1029">
        <v>1221</v>
      </c>
      <c r="B1029">
        <v>2221</v>
      </c>
    </row>
    <row r="1030" spans="1:2">
      <c r="A1030">
        <v>1222</v>
      </c>
      <c r="B1030">
        <v>2222</v>
      </c>
    </row>
    <row r="1031" spans="1:2">
      <c r="A1031">
        <v>1223</v>
      </c>
      <c r="B1031">
        <v>2223</v>
      </c>
    </row>
    <row r="1032" spans="1:2">
      <c r="A1032">
        <v>1224</v>
      </c>
      <c r="B1032">
        <v>2224</v>
      </c>
    </row>
    <row r="1033" spans="1:2">
      <c r="A1033">
        <v>1225</v>
      </c>
      <c r="B1033">
        <v>2225</v>
      </c>
    </row>
    <row r="1034" spans="1:2">
      <c r="A1034">
        <v>1226</v>
      </c>
      <c r="B1034">
        <v>2226</v>
      </c>
    </row>
    <row r="1035" spans="1:2">
      <c r="A1035">
        <v>1227</v>
      </c>
      <c r="B1035">
        <v>2227</v>
      </c>
    </row>
    <row r="1036" spans="1:2">
      <c r="A1036">
        <v>1228</v>
      </c>
      <c r="B1036">
        <v>2228</v>
      </c>
    </row>
    <row r="1037" spans="1:2">
      <c r="A1037">
        <v>1229</v>
      </c>
      <c r="B1037">
        <v>2229</v>
      </c>
    </row>
    <row r="1038" spans="1:2">
      <c r="A1038">
        <v>1230</v>
      </c>
      <c r="B1038">
        <v>2230</v>
      </c>
    </row>
    <row r="1039" spans="1:2">
      <c r="A1039">
        <v>1231</v>
      </c>
      <c r="B1039">
        <v>2231</v>
      </c>
    </row>
    <row r="1040" spans="1:2">
      <c r="A1040">
        <v>1232</v>
      </c>
      <c r="B1040">
        <v>2232</v>
      </c>
    </row>
    <row r="1041" spans="1:2">
      <c r="A1041">
        <v>1233</v>
      </c>
      <c r="B1041">
        <v>2233</v>
      </c>
    </row>
    <row r="1042" spans="1:2">
      <c r="A1042">
        <v>1234</v>
      </c>
      <c r="B1042">
        <v>2234</v>
      </c>
    </row>
    <row r="1043" spans="1:2">
      <c r="A1043">
        <v>1235</v>
      </c>
      <c r="B1043">
        <v>2235</v>
      </c>
    </row>
    <row r="1044" spans="1:2">
      <c r="A1044">
        <v>1236</v>
      </c>
      <c r="B1044">
        <v>2236</v>
      </c>
    </row>
    <row r="1045" spans="1:2">
      <c r="A1045">
        <v>1237</v>
      </c>
      <c r="B1045">
        <v>2237</v>
      </c>
    </row>
    <row r="1046" spans="1:2">
      <c r="A1046">
        <v>1238</v>
      </c>
      <c r="B1046">
        <v>2238</v>
      </c>
    </row>
    <row r="1047" spans="1:2">
      <c r="A1047">
        <v>1239</v>
      </c>
      <c r="B1047">
        <v>2239</v>
      </c>
    </row>
    <row r="1048" spans="1:2">
      <c r="A1048">
        <v>1240</v>
      </c>
      <c r="B1048">
        <v>2240</v>
      </c>
    </row>
    <row r="1049" spans="1:2">
      <c r="A1049">
        <v>1241</v>
      </c>
      <c r="B1049">
        <v>2241</v>
      </c>
    </row>
    <row r="1050" spans="1:2">
      <c r="A1050">
        <v>1242</v>
      </c>
      <c r="B1050">
        <v>2242</v>
      </c>
    </row>
    <row r="1051" spans="1:2">
      <c r="A1051">
        <v>1243</v>
      </c>
      <c r="B1051">
        <v>2243</v>
      </c>
    </row>
    <row r="1052" spans="1:2">
      <c r="A1052">
        <v>1244</v>
      </c>
      <c r="B1052">
        <v>2244</v>
      </c>
    </row>
    <row r="1053" spans="1:2">
      <c r="A1053">
        <v>1245</v>
      </c>
      <c r="B1053">
        <v>2245</v>
      </c>
    </row>
    <row r="1054" spans="1:2">
      <c r="A1054">
        <v>1246</v>
      </c>
      <c r="B1054">
        <v>2246</v>
      </c>
    </row>
    <row r="1055" spans="1:2">
      <c r="A1055">
        <v>1247</v>
      </c>
      <c r="B1055">
        <v>2247</v>
      </c>
    </row>
    <row r="1056" spans="1:2">
      <c r="A1056">
        <v>1248</v>
      </c>
      <c r="B1056">
        <v>2248</v>
      </c>
    </row>
    <row r="1057" spans="1:2">
      <c r="A1057">
        <v>1249</v>
      </c>
      <c r="B1057">
        <v>2249</v>
      </c>
    </row>
    <row r="1058" spans="1:2">
      <c r="A1058">
        <v>1250</v>
      </c>
      <c r="B1058">
        <v>2250</v>
      </c>
    </row>
    <row r="1059" spans="1:2">
      <c r="A1059">
        <v>1251</v>
      </c>
      <c r="B1059">
        <v>2251</v>
      </c>
    </row>
    <row r="1060" spans="1:2">
      <c r="A1060">
        <v>1252</v>
      </c>
      <c r="B1060">
        <v>2252</v>
      </c>
    </row>
    <row r="1061" spans="1:2">
      <c r="A1061">
        <v>1253</v>
      </c>
      <c r="B1061">
        <v>2253</v>
      </c>
    </row>
    <row r="1062" spans="1:2">
      <c r="A1062">
        <v>1254</v>
      </c>
      <c r="B1062">
        <v>2254</v>
      </c>
    </row>
    <row r="1063" spans="1:2">
      <c r="A1063">
        <v>1255</v>
      </c>
      <c r="B1063">
        <v>2255</v>
      </c>
    </row>
    <row r="1064" spans="1:2">
      <c r="A1064">
        <v>1256</v>
      </c>
      <c r="B1064">
        <v>2256</v>
      </c>
    </row>
    <row r="1065" spans="1:2">
      <c r="A1065">
        <v>1257</v>
      </c>
      <c r="B1065">
        <v>2257</v>
      </c>
    </row>
    <row r="1066" spans="1:2">
      <c r="A1066">
        <v>1258</v>
      </c>
      <c r="B1066">
        <v>2258</v>
      </c>
    </row>
    <row r="1067" spans="1:2">
      <c r="A1067">
        <v>1259</v>
      </c>
      <c r="B1067">
        <v>2259</v>
      </c>
    </row>
    <row r="1068" spans="1:2">
      <c r="A1068">
        <v>1260</v>
      </c>
      <c r="B1068">
        <v>2260</v>
      </c>
    </row>
    <row r="1069" spans="1:2">
      <c r="A1069">
        <v>1261</v>
      </c>
      <c r="B1069">
        <v>2261</v>
      </c>
    </row>
    <row r="1070" spans="1:2">
      <c r="A1070">
        <v>1262</v>
      </c>
      <c r="B1070">
        <v>2262</v>
      </c>
    </row>
    <row r="1071" spans="1:2">
      <c r="A1071">
        <v>1263</v>
      </c>
      <c r="B1071">
        <v>2263</v>
      </c>
    </row>
    <row r="1072" spans="1:2">
      <c r="A1072">
        <v>1264</v>
      </c>
      <c r="B1072">
        <v>2264</v>
      </c>
    </row>
    <row r="1073" spans="1:2">
      <c r="A1073">
        <v>1265</v>
      </c>
      <c r="B1073">
        <v>2265</v>
      </c>
    </row>
    <row r="1074" spans="1:2">
      <c r="A1074">
        <v>1266</v>
      </c>
      <c r="B1074">
        <v>2266</v>
      </c>
    </row>
    <row r="1075" spans="1:2">
      <c r="A1075">
        <v>1267</v>
      </c>
      <c r="B1075">
        <v>2267</v>
      </c>
    </row>
    <row r="1076" spans="1:2">
      <c r="A1076">
        <v>1268</v>
      </c>
      <c r="B1076">
        <v>2268</v>
      </c>
    </row>
    <row r="1077" spans="1:2">
      <c r="A1077">
        <v>1269</v>
      </c>
      <c r="B1077">
        <v>2269</v>
      </c>
    </row>
    <row r="1078" spans="1:2">
      <c r="A1078">
        <v>1270</v>
      </c>
      <c r="B1078">
        <v>2270</v>
      </c>
    </row>
    <row r="1079" spans="1:2">
      <c r="A1079">
        <v>1272</v>
      </c>
      <c r="B1079">
        <v>2271</v>
      </c>
    </row>
    <row r="1080" spans="1:2">
      <c r="A1080">
        <v>1273</v>
      </c>
      <c r="B1080">
        <v>2272</v>
      </c>
    </row>
    <row r="1081" spans="1:2">
      <c r="A1081">
        <v>1274</v>
      </c>
      <c r="B1081">
        <v>2273</v>
      </c>
    </row>
    <row r="1082" spans="1:2">
      <c r="A1082">
        <v>1275</v>
      </c>
      <c r="B1082">
        <v>2274</v>
      </c>
    </row>
    <row r="1083" spans="1:2">
      <c r="A1083">
        <v>1276</v>
      </c>
      <c r="B1083">
        <v>2275</v>
      </c>
    </row>
    <row r="1084" spans="1:2">
      <c r="A1084">
        <v>1277</v>
      </c>
      <c r="B1084">
        <v>2276</v>
      </c>
    </row>
    <row r="1085" spans="1:2">
      <c r="A1085">
        <v>1279</v>
      </c>
      <c r="B1085">
        <v>2277</v>
      </c>
    </row>
    <row r="1086" spans="1:2">
      <c r="A1086">
        <v>1280</v>
      </c>
      <c r="B1086">
        <v>2278</v>
      </c>
    </row>
    <row r="1087" spans="1:2">
      <c r="A1087">
        <v>1281</v>
      </c>
      <c r="B1087">
        <v>2279</v>
      </c>
    </row>
    <row r="1088" spans="1:2">
      <c r="A1088">
        <v>1282</v>
      </c>
      <c r="B1088">
        <v>2280</v>
      </c>
    </row>
    <row r="1089" spans="1:2">
      <c r="A1089">
        <v>1283</v>
      </c>
      <c r="B1089">
        <v>2281</v>
      </c>
    </row>
    <row r="1090" spans="1:2">
      <c r="A1090">
        <v>1284</v>
      </c>
      <c r="B1090">
        <v>2282</v>
      </c>
    </row>
    <row r="1091" spans="1:2">
      <c r="A1091">
        <v>1285</v>
      </c>
      <c r="B1091">
        <v>2283</v>
      </c>
    </row>
    <row r="1092" spans="1:2">
      <c r="A1092">
        <v>1286</v>
      </c>
      <c r="B1092">
        <v>2284</v>
      </c>
    </row>
    <row r="1093" spans="1:2">
      <c r="A1093">
        <v>1287</v>
      </c>
      <c r="B1093">
        <v>2285</v>
      </c>
    </row>
    <row r="1094" spans="1:2">
      <c r="A1094">
        <v>1288</v>
      </c>
      <c r="B1094">
        <v>2286</v>
      </c>
    </row>
    <row r="1095" spans="1:2">
      <c r="A1095">
        <v>1289</v>
      </c>
      <c r="B1095">
        <v>2287</v>
      </c>
    </row>
    <row r="1096" spans="1:2">
      <c r="A1096">
        <v>1290</v>
      </c>
      <c r="B1096">
        <v>2288</v>
      </c>
    </row>
    <row r="1097" spans="1:2">
      <c r="A1097">
        <v>1291</v>
      </c>
      <c r="B1097">
        <v>2289</v>
      </c>
    </row>
    <row r="1098" spans="1:2">
      <c r="A1098">
        <v>1292</v>
      </c>
      <c r="B1098">
        <v>2290</v>
      </c>
    </row>
    <row r="1099" spans="1:2">
      <c r="A1099">
        <v>1293</v>
      </c>
      <c r="B1099">
        <v>2291</v>
      </c>
    </row>
    <row r="1100" spans="1:2">
      <c r="A1100">
        <v>1294</v>
      </c>
      <c r="B1100">
        <v>2292</v>
      </c>
    </row>
    <row r="1101" spans="1:2">
      <c r="A1101">
        <v>1295</v>
      </c>
      <c r="B1101">
        <v>2293</v>
      </c>
    </row>
    <row r="1102" spans="1:2">
      <c r="A1102">
        <v>1296</v>
      </c>
      <c r="B1102">
        <v>2294</v>
      </c>
    </row>
    <row r="1103" spans="1:2">
      <c r="A1103">
        <v>1297</v>
      </c>
      <c r="B1103">
        <v>2295</v>
      </c>
    </row>
    <row r="1104" spans="1:2">
      <c r="A1104">
        <v>1298</v>
      </c>
      <c r="B1104">
        <v>2296</v>
      </c>
    </row>
    <row r="1105" spans="1:2">
      <c r="A1105">
        <v>1300</v>
      </c>
      <c r="B1105">
        <v>2297</v>
      </c>
    </row>
    <row r="1106" spans="1:2">
      <c r="A1106">
        <v>1301</v>
      </c>
      <c r="B1106">
        <v>2298</v>
      </c>
    </row>
    <row r="1107" spans="1:2">
      <c r="A1107">
        <v>1302</v>
      </c>
      <c r="B1107">
        <v>2299</v>
      </c>
    </row>
    <row r="1108" spans="1:2">
      <c r="A1108">
        <v>1304</v>
      </c>
      <c r="B1108">
        <v>2300</v>
      </c>
    </row>
    <row r="1109" spans="1:2">
      <c r="A1109">
        <v>1305</v>
      </c>
      <c r="B1109">
        <v>2301</v>
      </c>
    </row>
    <row r="1110" spans="1:2">
      <c r="A1110">
        <v>1306</v>
      </c>
      <c r="B1110">
        <v>2302</v>
      </c>
    </row>
    <row r="1111" spans="1:2">
      <c r="A1111">
        <v>1307</v>
      </c>
      <c r="B1111">
        <v>2303</v>
      </c>
    </row>
    <row r="1112" spans="1:2">
      <c r="A1112">
        <v>1308</v>
      </c>
      <c r="B1112">
        <v>2304</v>
      </c>
    </row>
    <row r="1113" spans="1:2">
      <c r="A1113">
        <v>1309</v>
      </c>
      <c r="B1113">
        <v>2305</v>
      </c>
    </row>
    <row r="1114" spans="1:2">
      <c r="A1114">
        <v>1310</v>
      </c>
      <c r="B1114">
        <v>2306</v>
      </c>
    </row>
    <row r="1115" spans="1:2">
      <c r="A1115">
        <v>1311</v>
      </c>
      <c r="B1115">
        <v>2307</v>
      </c>
    </row>
    <row r="1116" spans="1:2">
      <c r="A1116">
        <v>1312</v>
      </c>
      <c r="B1116">
        <v>2308</v>
      </c>
    </row>
    <row r="1117" spans="1:2">
      <c r="A1117">
        <v>1313</v>
      </c>
      <c r="B1117">
        <v>2309</v>
      </c>
    </row>
    <row r="1118" spans="1:2">
      <c r="A1118">
        <v>1314</v>
      </c>
      <c r="B1118">
        <v>2310</v>
      </c>
    </row>
    <row r="1119" spans="1:2">
      <c r="A1119">
        <v>1315</v>
      </c>
      <c r="B1119">
        <v>2311</v>
      </c>
    </row>
    <row r="1120" spans="1:2">
      <c r="A1120">
        <v>1316</v>
      </c>
      <c r="B1120">
        <v>2312</v>
      </c>
    </row>
    <row r="1121" spans="1:2">
      <c r="A1121">
        <v>1317</v>
      </c>
      <c r="B1121">
        <v>2313</v>
      </c>
    </row>
    <row r="1122" spans="1:2">
      <c r="A1122">
        <v>1318</v>
      </c>
      <c r="B1122">
        <v>2314</v>
      </c>
    </row>
    <row r="1123" spans="1:2">
      <c r="A1123">
        <v>1319</v>
      </c>
      <c r="B1123">
        <v>2315</v>
      </c>
    </row>
    <row r="1124" spans="1:2">
      <c r="A1124">
        <v>1320</v>
      </c>
      <c r="B1124">
        <v>2316</v>
      </c>
    </row>
    <row r="1125" spans="1:2">
      <c r="A1125">
        <v>1321</v>
      </c>
      <c r="B1125">
        <v>2317</v>
      </c>
    </row>
    <row r="1126" spans="1:2">
      <c r="A1126">
        <v>1322</v>
      </c>
      <c r="B1126">
        <v>2318</v>
      </c>
    </row>
    <row r="1127" spans="1:2">
      <c r="A1127">
        <v>1323</v>
      </c>
      <c r="B1127">
        <v>2319</v>
      </c>
    </row>
    <row r="1128" spans="1:2">
      <c r="A1128">
        <v>1324</v>
      </c>
      <c r="B1128">
        <v>2320</v>
      </c>
    </row>
    <row r="1129" spans="1:2">
      <c r="A1129">
        <v>1325</v>
      </c>
      <c r="B1129">
        <v>2321</v>
      </c>
    </row>
    <row r="1130" spans="1:2">
      <c r="A1130">
        <v>1326</v>
      </c>
      <c r="B1130">
        <v>2322</v>
      </c>
    </row>
    <row r="1131" spans="1:2">
      <c r="A1131">
        <v>1327</v>
      </c>
      <c r="B1131">
        <v>2323</v>
      </c>
    </row>
    <row r="1132" spans="1:2">
      <c r="A1132">
        <v>1328</v>
      </c>
      <c r="B1132">
        <v>2324</v>
      </c>
    </row>
    <row r="1133" spans="1:2">
      <c r="A1133">
        <v>1329</v>
      </c>
      <c r="B1133">
        <v>2325</v>
      </c>
    </row>
    <row r="1134" spans="1:2">
      <c r="A1134">
        <v>1331</v>
      </c>
      <c r="B1134">
        <v>2326</v>
      </c>
    </row>
    <row r="1135" spans="1:2">
      <c r="A1135">
        <v>1332</v>
      </c>
      <c r="B1135">
        <v>2327</v>
      </c>
    </row>
    <row r="1136" spans="1:2">
      <c r="A1136">
        <v>1333</v>
      </c>
      <c r="B1136">
        <v>2328</v>
      </c>
    </row>
    <row r="1137" spans="1:2">
      <c r="A1137">
        <v>1334</v>
      </c>
      <c r="B1137">
        <v>2329</v>
      </c>
    </row>
    <row r="1138" spans="1:2">
      <c r="A1138">
        <v>1335</v>
      </c>
      <c r="B1138">
        <v>2330</v>
      </c>
    </row>
    <row r="1139" spans="1:2">
      <c r="A1139">
        <v>1336</v>
      </c>
      <c r="B1139">
        <v>2331</v>
      </c>
    </row>
    <row r="1140" spans="1:2">
      <c r="A1140">
        <v>1337</v>
      </c>
      <c r="B1140">
        <v>2332</v>
      </c>
    </row>
    <row r="1141" spans="1:2">
      <c r="A1141">
        <v>1338</v>
      </c>
      <c r="B1141">
        <v>2333</v>
      </c>
    </row>
    <row r="1142" spans="1:2">
      <c r="A1142">
        <v>1339</v>
      </c>
      <c r="B1142">
        <v>2334</v>
      </c>
    </row>
    <row r="1143" spans="1:2">
      <c r="A1143">
        <v>1340</v>
      </c>
      <c r="B1143">
        <v>2335</v>
      </c>
    </row>
    <row r="1144" spans="1:2">
      <c r="A1144">
        <v>1341</v>
      </c>
      <c r="B1144">
        <v>2336</v>
      </c>
    </row>
    <row r="1145" spans="1:2">
      <c r="A1145">
        <v>1342</v>
      </c>
      <c r="B1145">
        <v>2337</v>
      </c>
    </row>
    <row r="1146" spans="1:2">
      <c r="A1146">
        <v>1343</v>
      </c>
      <c r="B1146">
        <v>2338</v>
      </c>
    </row>
    <row r="1147" spans="1:2">
      <c r="A1147">
        <v>1344</v>
      </c>
      <c r="B1147">
        <v>2339</v>
      </c>
    </row>
    <row r="1148" spans="1:2">
      <c r="A1148">
        <v>1345</v>
      </c>
      <c r="B1148">
        <v>2340</v>
      </c>
    </row>
    <row r="1149" spans="1:2">
      <c r="A1149">
        <v>1346</v>
      </c>
      <c r="B1149">
        <v>2341</v>
      </c>
    </row>
    <row r="1150" spans="1:2">
      <c r="A1150">
        <v>1347</v>
      </c>
      <c r="B1150">
        <v>2342</v>
      </c>
    </row>
    <row r="1151" spans="1:2">
      <c r="A1151">
        <v>1348</v>
      </c>
      <c r="B1151">
        <v>2343</v>
      </c>
    </row>
    <row r="1152" spans="1:2">
      <c r="A1152">
        <v>1349</v>
      </c>
      <c r="B1152">
        <v>2344</v>
      </c>
    </row>
    <row r="1153" spans="1:2">
      <c r="A1153">
        <v>1350</v>
      </c>
      <c r="B1153">
        <v>2345</v>
      </c>
    </row>
    <row r="1154" spans="1:2">
      <c r="A1154">
        <v>1351</v>
      </c>
      <c r="B1154">
        <v>2346</v>
      </c>
    </row>
    <row r="1155" spans="1:2">
      <c r="A1155">
        <v>1352</v>
      </c>
      <c r="B1155">
        <v>2347</v>
      </c>
    </row>
    <row r="1156" spans="1:2">
      <c r="A1156">
        <v>1353</v>
      </c>
      <c r="B1156">
        <v>2348</v>
      </c>
    </row>
    <row r="1157" spans="1:2">
      <c r="A1157">
        <v>1354</v>
      </c>
      <c r="B1157">
        <v>2349</v>
      </c>
    </row>
    <row r="1158" spans="1:2">
      <c r="A1158">
        <v>1355</v>
      </c>
      <c r="B1158">
        <v>2350</v>
      </c>
    </row>
    <row r="1159" spans="1:2">
      <c r="A1159">
        <v>1356</v>
      </c>
      <c r="B1159">
        <v>2351</v>
      </c>
    </row>
    <row r="1160" spans="1:2">
      <c r="A1160">
        <v>1357</v>
      </c>
      <c r="B1160">
        <v>2352</v>
      </c>
    </row>
    <row r="1161" spans="1:2">
      <c r="A1161">
        <v>1358</v>
      </c>
      <c r="B1161">
        <v>2353</v>
      </c>
    </row>
    <row r="1162" spans="1:2">
      <c r="A1162">
        <v>1359</v>
      </c>
      <c r="B1162">
        <v>2354</v>
      </c>
    </row>
    <row r="1163" spans="1:2">
      <c r="A1163">
        <v>1360</v>
      </c>
      <c r="B1163">
        <v>2355</v>
      </c>
    </row>
    <row r="1164" spans="1:2">
      <c r="A1164">
        <v>1361</v>
      </c>
      <c r="B1164">
        <v>2356</v>
      </c>
    </row>
    <row r="1165" spans="1:2">
      <c r="A1165">
        <v>1362</v>
      </c>
      <c r="B1165">
        <v>2357</v>
      </c>
    </row>
    <row r="1166" spans="1:2">
      <c r="A1166">
        <v>1363</v>
      </c>
      <c r="B1166">
        <v>2358</v>
      </c>
    </row>
    <row r="1167" spans="1:2">
      <c r="A1167">
        <v>1364</v>
      </c>
      <c r="B1167">
        <v>2359</v>
      </c>
    </row>
    <row r="1168" spans="1:2">
      <c r="A1168">
        <v>1365</v>
      </c>
      <c r="B1168">
        <v>2360</v>
      </c>
    </row>
    <row r="1169" spans="1:2">
      <c r="A1169">
        <v>1366</v>
      </c>
      <c r="B1169">
        <v>2361</v>
      </c>
    </row>
    <row r="1170" spans="1:2">
      <c r="A1170">
        <v>1367</v>
      </c>
      <c r="B1170">
        <v>2362</v>
      </c>
    </row>
    <row r="1171" spans="1:2">
      <c r="A1171">
        <v>1368</v>
      </c>
      <c r="B1171">
        <v>2363</v>
      </c>
    </row>
    <row r="1172" spans="1:2">
      <c r="A1172">
        <v>1369</v>
      </c>
      <c r="B1172">
        <v>2364</v>
      </c>
    </row>
    <row r="1173" spans="1:2">
      <c r="A1173">
        <v>1370</v>
      </c>
      <c r="B1173">
        <v>2365</v>
      </c>
    </row>
    <row r="1174" spans="1:2">
      <c r="A1174">
        <v>1371</v>
      </c>
      <c r="B1174">
        <v>2366</v>
      </c>
    </row>
    <row r="1175" spans="1:2">
      <c r="A1175">
        <v>1372</v>
      </c>
      <c r="B1175">
        <v>2367</v>
      </c>
    </row>
    <row r="1176" spans="1:2">
      <c r="A1176">
        <v>1373</v>
      </c>
      <c r="B1176">
        <v>2368</v>
      </c>
    </row>
    <row r="1177" spans="1:2">
      <c r="A1177">
        <v>1374</v>
      </c>
      <c r="B1177">
        <v>2369</v>
      </c>
    </row>
    <row r="1178" spans="1:2">
      <c r="A1178">
        <v>1375</v>
      </c>
      <c r="B1178">
        <v>2370</v>
      </c>
    </row>
    <row r="1179" spans="1:2">
      <c r="A1179">
        <v>1376</v>
      </c>
      <c r="B1179">
        <v>2371</v>
      </c>
    </row>
    <row r="1180" spans="1:2">
      <c r="A1180">
        <v>1377</v>
      </c>
      <c r="B1180">
        <v>2372</v>
      </c>
    </row>
    <row r="1181" spans="1:2">
      <c r="A1181">
        <v>1378</v>
      </c>
      <c r="B1181">
        <v>2373</v>
      </c>
    </row>
    <row r="1182" spans="1:2">
      <c r="A1182">
        <v>1379</v>
      </c>
      <c r="B1182">
        <v>2374</v>
      </c>
    </row>
    <row r="1183" spans="1:2">
      <c r="A1183">
        <v>1380</v>
      </c>
      <c r="B1183">
        <v>2375</v>
      </c>
    </row>
    <row r="1184" spans="1:2">
      <c r="A1184">
        <v>1381</v>
      </c>
      <c r="B1184">
        <v>2376</v>
      </c>
    </row>
    <row r="1185" spans="1:2">
      <c r="A1185">
        <v>1382</v>
      </c>
      <c r="B1185">
        <v>2377</v>
      </c>
    </row>
    <row r="1186" spans="1:2">
      <c r="A1186">
        <v>1383</v>
      </c>
      <c r="B1186">
        <v>2378</v>
      </c>
    </row>
    <row r="1187" spans="1:2">
      <c r="A1187">
        <v>1384</v>
      </c>
      <c r="B1187">
        <v>2379</v>
      </c>
    </row>
    <row r="1188" spans="1:2">
      <c r="A1188">
        <v>1385</v>
      </c>
      <c r="B1188">
        <v>2380</v>
      </c>
    </row>
    <row r="1189" spans="1:2">
      <c r="A1189">
        <v>1386</v>
      </c>
      <c r="B1189">
        <v>2381</v>
      </c>
    </row>
    <row r="1190" spans="1:2">
      <c r="A1190">
        <v>1387</v>
      </c>
      <c r="B1190">
        <v>2382</v>
      </c>
    </row>
    <row r="1191" spans="1:2">
      <c r="A1191">
        <v>1388</v>
      </c>
      <c r="B1191">
        <v>2383</v>
      </c>
    </row>
    <row r="1192" spans="1:2">
      <c r="A1192">
        <v>1389</v>
      </c>
      <c r="B1192">
        <v>2384</v>
      </c>
    </row>
    <row r="1193" spans="1:2">
      <c r="A1193">
        <v>1390</v>
      </c>
      <c r="B1193">
        <v>2385</v>
      </c>
    </row>
    <row r="1194" spans="1:2">
      <c r="A1194">
        <v>1391</v>
      </c>
      <c r="B1194">
        <v>2386</v>
      </c>
    </row>
    <row r="1195" spans="1:2">
      <c r="A1195">
        <v>1392</v>
      </c>
      <c r="B1195">
        <v>2387</v>
      </c>
    </row>
    <row r="1196" spans="1:2">
      <c r="A1196">
        <v>1393</v>
      </c>
      <c r="B1196">
        <v>2388</v>
      </c>
    </row>
    <row r="1197" spans="1:2">
      <c r="A1197">
        <v>1394</v>
      </c>
      <c r="B1197">
        <v>2389</v>
      </c>
    </row>
    <row r="1198" spans="1:2">
      <c r="A1198">
        <v>1395</v>
      </c>
      <c r="B1198">
        <v>2390</v>
      </c>
    </row>
    <row r="1199" spans="1:2">
      <c r="A1199">
        <v>1396</v>
      </c>
      <c r="B1199">
        <v>2391</v>
      </c>
    </row>
    <row r="1200" spans="1:2">
      <c r="A1200">
        <v>1397</v>
      </c>
      <c r="B1200">
        <v>2392</v>
      </c>
    </row>
    <row r="1201" spans="1:2">
      <c r="A1201">
        <v>1398</v>
      </c>
      <c r="B1201">
        <v>2393</v>
      </c>
    </row>
    <row r="1202" spans="1:2">
      <c r="A1202">
        <v>1399</v>
      </c>
      <c r="B1202">
        <v>2394</v>
      </c>
    </row>
    <row r="1203" spans="1:2">
      <c r="A1203">
        <v>1400</v>
      </c>
      <c r="B1203">
        <v>2395</v>
      </c>
    </row>
    <row r="1204" spans="1:2">
      <c r="A1204">
        <v>1401</v>
      </c>
      <c r="B1204">
        <v>2396</v>
      </c>
    </row>
    <row r="1205" spans="1:2">
      <c r="A1205">
        <v>1402</v>
      </c>
      <c r="B1205">
        <v>2397</v>
      </c>
    </row>
    <row r="1206" spans="1:2">
      <c r="A1206">
        <v>1403</v>
      </c>
      <c r="B1206">
        <v>2398</v>
      </c>
    </row>
    <row r="1207" spans="1:2">
      <c r="A1207">
        <v>1404</v>
      </c>
      <c r="B1207">
        <v>2399</v>
      </c>
    </row>
    <row r="1208" spans="1:2">
      <c r="A1208">
        <v>1405</v>
      </c>
      <c r="B1208">
        <v>2400</v>
      </c>
    </row>
    <row r="1209" spans="1:2">
      <c r="A1209">
        <v>1406</v>
      </c>
      <c r="B1209">
        <v>2401</v>
      </c>
    </row>
    <row r="1210" spans="1:2">
      <c r="A1210">
        <v>1407</v>
      </c>
      <c r="B1210">
        <v>2402</v>
      </c>
    </row>
    <row r="1211" spans="1:2">
      <c r="A1211">
        <v>1408</v>
      </c>
      <c r="B1211">
        <v>2403</v>
      </c>
    </row>
    <row r="1212" spans="1:2">
      <c r="A1212">
        <v>1409</v>
      </c>
      <c r="B1212">
        <v>2404</v>
      </c>
    </row>
    <row r="1213" spans="1:2">
      <c r="A1213">
        <v>1410</v>
      </c>
      <c r="B1213">
        <v>2405</v>
      </c>
    </row>
    <row r="1214" spans="1:2">
      <c r="A1214">
        <v>1411</v>
      </c>
      <c r="B1214">
        <v>2406</v>
      </c>
    </row>
    <row r="1215" spans="1:2">
      <c r="A1215">
        <v>1412</v>
      </c>
      <c r="B1215">
        <v>2407</v>
      </c>
    </row>
    <row r="1216" spans="1:2">
      <c r="A1216">
        <v>1413</v>
      </c>
      <c r="B1216">
        <v>2408</v>
      </c>
    </row>
    <row r="1217" spans="1:2">
      <c r="A1217">
        <v>1414</v>
      </c>
      <c r="B1217">
        <v>2409</v>
      </c>
    </row>
    <row r="1218" spans="1:2">
      <c r="A1218">
        <v>1415</v>
      </c>
      <c r="B1218">
        <v>2410</v>
      </c>
    </row>
    <row r="1219" spans="1:2">
      <c r="A1219">
        <v>1416</v>
      </c>
      <c r="B1219">
        <v>2411</v>
      </c>
    </row>
    <row r="1220" spans="1:2">
      <c r="A1220">
        <v>1417</v>
      </c>
      <c r="B1220">
        <v>2412</v>
      </c>
    </row>
    <row r="1221" spans="1:2">
      <c r="A1221">
        <v>1418</v>
      </c>
      <c r="B1221">
        <v>2413</v>
      </c>
    </row>
    <row r="1222" spans="1:2">
      <c r="A1222">
        <v>1419</v>
      </c>
      <c r="B1222">
        <v>2414</v>
      </c>
    </row>
    <row r="1223" spans="1:2">
      <c r="A1223">
        <v>1420</v>
      </c>
      <c r="B1223">
        <v>2415</v>
      </c>
    </row>
    <row r="1224" spans="1:2">
      <c r="A1224">
        <v>1421</v>
      </c>
      <c r="B1224">
        <v>2416</v>
      </c>
    </row>
    <row r="1225" spans="1:2">
      <c r="A1225">
        <v>1422</v>
      </c>
      <c r="B1225">
        <v>2417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1436"/>
  <sheetViews>
    <sheetView topLeftCell="A145" workbookViewId="0">
      <selection activeCell="C1237" sqref="C1237"/>
    </sheetView>
  </sheetViews>
  <sheetFormatPr defaultColWidth="8.85546875" defaultRowHeight="12.75"/>
  <cols>
    <col min="1" max="1" width="8.85546875" style="42"/>
    <col min="2" max="2" width="32.42578125" style="42" customWidth="1"/>
    <col min="3" max="3" width="32.140625" style="42" customWidth="1"/>
    <col min="4" max="4" width="18.42578125" style="42" customWidth="1"/>
    <col min="5" max="16384" width="8.85546875" style="42"/>
  </cols>
  <sheetData>
    <row r="1" spans="1:4">
      <c r="A1" s="53" t="s">
        <v>63</v>
      </c>
      <c r="B1" s="40" t="s">
        <v>86</v>
      </c>
      <c r="C1" s="40" t="s">
        <v>217</v>
      </c>
      <c r="D1" s="54"/>
    </row>
    <row r="2" spans="1:4" ht="15">
      <c r="A2" s="53">
        <v>0</v>
      </c>
      <c r="B2" s="55" t="s">
        <v>69</v>
      </c>
      <c r="C2" s="56" t="s">
        <v>69</v>
      </c>
      <c r="D2" s="57">
        <f t="shared" ref="D2:D65" si="0">$A2</f>
        <v>0</v>
      </c>
    </row>
    <row r="3" spans="1:4">
      <c r="A3" s="53">
        <v>1</v>
      </c>
      <c r="B3" s="40" t="s">
        <v>218</v>
      </c>
      <c r="C3" s="40" t="s">
        <v>219</v>
      </c>
      <c r="D3" s="57">
        <f t="shared" si="0"/>
        <v>1</v>
      </c>
    </row>
    <row r="4" spans="1:4">
      <c r="A4" s="53">
        <v>2</v>
      </c>
      <c r="B4" s="40" t="s">
        <v>220</v>
      </c>
      <c r="C4" s="40" t="s">
        <v>221</v>
      </c>
      <c r="D4" s="57">
        <f t="shared" si="0"/>
        <v>2</v>
      </c>
    </row>
    <row r="5" spans="1:4">
      <c r="A5" s="53">
        <v>3</v>
      </c>
      <c r="B5" s="40" t="s">
        <v>2487</v>
      </c>
      <c r="C5" s="40" t="s">
        <v>222</v>
      </c>
      <c r="D5" s="57">
        <f t="shared" si="0"/>
        <v>3</v>
      </c>
    </row>
    <row r="6" spans="1:4">
      <c r="A6" s="53">
        <v>4</v>
      </c>
      <c r="B6" s="40" t="s">
        <v>223</v>
      </c>
      <c r="C6" s="40" t="s">
        <v>224</v>
      </c>
      <c r="D6" s="57">
        <f t="shared" si="0"/>
        <v>4</v>
      </c>
    </row>
    <row r="7" spans="1:4">
      <c r="A7" s="53">
        <v>5</v>
      </c>
      <c r="B7" s="40" t="s">
        <v>2488</v>
      </c>
      <c r="C7" s="40" t="s">
        <v>225</v>
      </c>
      <c r="D7" s="57">
        <f t="shared" si="0"/>
        <v>5</v>
      </c>
    </row>
    <row r="8" spans="1:4">
      <c r="A8" s="53">
        <v>11</v>
      </c>
      <c r="B8" s="40" t="s">
        <v>231</v>
      </c>
      <c r="C8" s="40" t="s">
        <v>232</v>
      </c>
      <c r="D8" s="57">
        <f t="shared" si="0"/>
        <v>11</v>
      </c>
    </row>
    <row r="9" spans="1:4">
      <c r="A9" s="53">
        <v>12</v>
      </c>
      <c r="B9" s="40" t="s">
        <v>233</v>
      </c>
      <c r="C9" s="40" t="s">
        <v>234</v>
      </c>
      <c r="D9" s="57">
        <f t="shared" si="0"/>
        <v>12</v>
      </c>
    </row>
    <row r="10" spans="1:4">
      <c r="A10" s="53">
        <v>13</v>
      </c>
      <c r="B10" s="40" t="s">
        <v>235</v>
      </c>
      <c r="C10" s="40" t="s">
        <v>236</v>
      </c>
      <c r="D10" s="57">
        <f t="shared" si="0"/>
        <v>13</v>
      </c>
    </row>
    <row r="11" spans="1:4">
      <c r="A11" s="53">
        <v>14</v>
      </c>
      <c r="B11" s="40" t="s">
        <v>113</v>
      </c>
      <c r="C11" s="40" t="s">
        <v>2489</v>
      </c>
      <c r="D11" s="57">
        <f t="shared" si="0"/>
        <v>14</v>
      </c>
    </row>
    <row r="12" spans="1:4">
      <c r="A12" s="53">
        <v>15</v>
      </c>
      <c r="B12" s="40" t="s">
        <v>237</v>
      </c>
      <c r="C12" s="40" t="s">
        <v>238</v>
      </c>
      <c r="D12" s="57">
        <f t="shared" si="0"/>
        <v>15</v>
      </c>
    </row>
    <row r="13" spans="1:4">
      <c r="A13" s="53">
        <v>16</v>
      </c>
      <c r="B13" s="40" t="s">
        <v>239</v>
      </c>
      <c r="C13" s="40" t="s">
        <v>240</v>
      </c>
      <c r="D13" s="57">
        <f t="shared" si="0"/>
        <v>16</v>
      </c>
    </row>
    <row r="14" spans="1:4">
      <c r="A14" s="53">
        <v>17</v>
      </c>
      <c r="B14" s="40" t="s">
        <v>241</v>
      </c>
      <c r="C14" s="40" t="s">
        <v>3295</v>
      </c>
      <c r="D14" s="57">
        <f t="shared" si="0"/>
        <v>17</v>
      </c>
    </row>
    <row r="15" spans="1:4">
      <c r="A15" s="53">
        <v>19</v>
      </c>
      <c r="B15" s="40" t="s">
        <v>3296</v>
      </c>
      <c r="C15" s="40" t="s">
        <v>242</v>
      </c>
      <c r="D15" s="57">
        <f t="shared" si="0"/>
        <v>19</v>
      </c>
    </row>
    <row r="16" spans="1:4">
      <c r="A16" s="53">
        <v>20</v>
      </c>
      <c r="B16" s="40" t="s">
        <v>243</v>
      </c>
      <c r="C16" s="40" t="s">
        <v>3297</v>
      </c>
      <c r="D16" s="57">
        <f t="shared" si="0"/>
        <v>20</v>
      </c>
    </row>
    <row r="17" spans="1:4">
      <c r="A17" s="53">
        <v>21</v>
      </c>
      <c r="B17" s="40" t="s">
        <v>244</v>
      </c>
      <c r="C17" s="40" t="s">
        <v>245</v>
      </c>
      <c r="D17" s="57">
        <f t="shared" si="0"/>
        <v>21</v>
      </c>
    </row>
    <row r="18" spans="1:4">
      <c r="A18" s="53">
        <v>22</v>
      </c>
      <c r="B18" s="40" t="s">
        <v>246</v>
      </c>
      <c r="C18" s="40" t="s">
        <v>1950</v>
      </c>
      <c r="D18" s="57">
        <f t="shared" si="0"/>
        <v>22</v>
      </c>
    </row>
    <row r="19" spans="1:4">
      <c r="A19" s="53">
        <v>23</v>
      </c>
      <c r="B19" s="40" t="s">
        <v>3298</v>
      </c>
      <c r="C19" s="40" t="s">
        <v>1949</v>
      </c>
      <c r="D19" s="57">
        <f t="shared" si="0"/>
        <v>23</v>
      </c>
    </row>
    <row r="20" spans="1:4">
      <c r="A20" s="53">
        <v>24</v>
      </c>
      <c r="B20" s="40" t="s">
        <v>247</v>
      </c>
      <c r="C20" s="40" t="s">
        <v>248</v>
      </c>
      <c r="D20" s="57">
        <f t="shared" si="0"/>
        <v>24</v>
      </c>
    </row>
    <row r="21" spans="1:4">
      <c r="A21" s="53">
        <v>25</v>
      </c>
      <c r="B21" s="40" t="s">
        <v>128</v>
      </c>
      <c r="C21" s="40" t="s">
        <v>249</v>
      </c>
      <c r="D21" s="57">
        <f t="shared" si="0"/>
        <v>25</v>
      </c>
    </row>
    <row r="22" spans="1:4">
      <c r="A22" s="53">
        <v>26</v>
      </c>
      <c r="B22" s="40" t="s">
        <v>250</v>
      </c>
      <c r="C22" s="40" t="s">
        <v>251</v>
      </c>
      <c r="D22" s="57">
        <f t="shared" si="0"/>
        <v>26</v>
      </c>
    </row>
    <row r="23" spans="1:4">
      <c r="A23" s="53">
        <v>27</v>
      </c>
      <c r="B23" s="40" t="s">
        <v>252</v>
      </c>
      <c r="C23" s="40" t="s">
        <v>3299</v>
      </c>
      <c r="D23" s="57">
        <f t="shared" si="0"/>
        <v>27</v>
      </c>
    </row>
    <row r="24" spans="1:4">
      <c r="A24" s="53">
        <v>28</v>
      </c>
      <c r="B24" s="40" t="s">
        <v>253</v>
      </c>
      <c r="C24" s="40" t="s">
        <v>2490</v>
      </c>
      <c r="D24" s="57">
        <f t="shared" si="0"/>
        <v>28</v>
      </c>
    </row>
    <row r="25" spans="1:4">
      <c r="A25" s="53">
        <v>29</v>
      </c>
      <c r="B25" s="40" t="s">
        <v>254</v>
      </c>
      <c r="C25" s="40" t="s">
        <v>3300</v>
      </c>
      <c r="D25" s="57">
        <f t="shared" si="0"/>
        <v>29</v>
      </c>
    </row>
    <row r="26" spans="1:4">
      <c r="A26" s="53">
        <v>30</v>
      </c>
      <c r="B26" s="40" t="s">
        <v>255</v>
      </c>
      <c r="C26" s="40" t="s">
        <v>256</v>
      </c>
      <c r="D26" s="57">
        <f t="shared" si="0"/>
        <v>30</v>
      </c>
    </row>
    <row r="27" spans="1:4">
      <c r="A27" s="53">
        <v>31</v>
      </c>
      <c r="B27" s="40" t="s">
        <v>257</v>
      </c>
      <c r="C27" s="40" t="s">
        <v>2397</v>
      </c>
      <c r="D27" s="57">
        <f t="shared" si="0"/>
        <v>31</v>
      </c>
    </row>
    <row r="28" spans="1:4">
      <c r="A28" s="53">
        <v>32</v>
      </c>
      <c r="B28" s="40" t="s">
        <v>258</v>
      </c>
      <c r="C28" s="40" t="s">
        <v>259</v>
      </c>
      <c r="D28" s="57">
        <f t="shared" si="0"/>
        <v>32</v>
      </c>
    </row>
    <row r="29" spans="1:4">
      <c r="A29" s="53">
        <v>33</v>
      </c>
      <c r="B29" s="40" t="s">
        <v>260</v>
      </c>
      <c r="C29" s="40" t="s">
        <v>261</v>
      </c>
      <c r="D29" s="57">
        <f t="shared" si="0"/>
        <v>33</v>
      </c>
    </row>
    <row r="30" spans="1:4">
      <c r="A30" s="53">
        <v>34</v>
      </c>
      <c r="B30" s="40" t="s">
        <v>262</v>
      </c>
      <c r="C30" s="40" t="s">
        <v>263</v>
      </c>
      <c r="D30" s="57">
        <f t="shared" si="0"/>
        <v>34</v>
      </c>
    </row>
    <row r="31" spans="1:4">
      <c r="A31" s="53">
        <v>35</v>
      </c>
      <c r="B31" s="40" t="s">
        <v>264</v>
      </c>
      <c r="C31" s="40" t="s">
        <v>265</v>
      </c>
      <c r="D31" s="57">
        <f t="shared" si="0"/>
        <v>35</v>
      </c>
    </row>
    <row r="32" spans="1:4">
      <c r="A32" s="53">
        <v>36</v>
      </c>
      <c r="B32" s="40" t="s">
        <v>2491</v>
      </c>
      <c r="C32" s="40" t="s">
        <v>266</v>
      </c>
      <c r="D32" s="57">
        <f t="shared" si="0"/>
        <v>36</v>
      </c>
    </row>
    <row r="33" spans="1:4">
      <c r="A33" s="53">
        <v>38</v>
      </c>
      <c r="B33" s="40" t="s">
        <v>267</v>
      </c>
      <c r="C33" s="40" t="s">
        <v>755</v>
      </c>
      <c r="D33" s="57">
        <f t="shared" si="0"/>
        <v>38</v>
      </c>
    </row>
    <row r="34" spans="1:4">
      <c r="A34" s="53">
        <v>39</v>
      </c>
      <c r="B34" s="40" t="s">
        <v>162</v>
      </c>
      <c r="C34" s="40" t="s">
        <v>3301</v>
      </c>
      <c r="D34" s="57">
        <f t="shared" si="0"/>
        <v>39</v>
      </c>
    </row>
    <row r="35" spans="1:4">
      <c r="A35" s="53">
        <v>40</v>
      </c>
      <c r="B35" s="40" t="s">
        <v>268</v>
      </c>
      <c r="C35" s="40" t="s">
        <v>269</v>
      </c>
      <c r="D35" s="57">
        <f t="shared" si="0"/>
        <v>40</v>
      </c>
    </row>
    <row r="36" spans="1:4">
      <c r="A36" s="53">
        <v>41</v>
      </c>
      <c r="B36" s="40" t="s">
        <v>270</v>
      </c>
      <c r="C36" s="40" t="s">
        <v>1952</v>
      </c>
      <c r="D36" s="57">
        <f t="shared" si="0"/>
        <v>41</v>
      </c>
    </row>
    <row r="37" spans="1:4">
      <c r="A37" s="53">
        <v>43</v>
      </c>
      <c r="B37" s="40" t="s">
        <v>3302</v>
      </c>
      <c r="C37" s="40" t="s">
        <v>1953</v>
      </c>
      <c r="D37" s="57">
        <f t="shared" si="0"/>
        <v>43</v>
      </c>
    </row>
    <row r="38" spans="1:4">
      <c r="A38" s="53">
        <v>44</v>
      </c>
      <c r="B38" s="40" t="s">
        <v>271</v>
      </c>
      <c r="C38" s="40" t="s">
        <v>272</v>
      </c>
      <c r="D38" s="57">
        <f t="shared" si="0"/>
        <v>44</v>
      </c>
    </row>
    <row r="39" spans="1:4">
      <c r="A39" s="53">
        <v>45</v>
      </c>
      <c r="B39" s="40" t="s">
        <v>273</v>
      </c>
      <c r="C39" s="40" t="s">
        <v>274</v>
      </c>
      <c r="D39" s="57">
        <f t="shared" si="0"/>
        <v>45</v>
      </c>
    </row>
    <row r="40" spans="1:4">
      <c r="A40" s="53">
        <v>46</v>
      </c>
      <c r="B40" s="40" t="s">
        <v>275</v>
      </c>
      <c r="C40" s="40" t="s">
        <v>1954</v>
      </c>
      <c r="D40" s="57">
        <f t="shared" si="0"/>
        <v>46</v>
      </c>
    </row>
    <row r="41" spans="1:4">
      <c r="A41" s="53">
        <v>47</v>
      </c>
      <c r="B41" s="40" t="s">
        <v>276</v>
      </c>
      <c r="C41" s="40" t="s">
        <v>277</v>
      </c>
      <c r="D41" s="57">
        <f t="shared" si="0"/>
        <v>47</v>
      </c>
    </row>
    <row r="42" spans="1:4">
      <c r="A42" s="53">
        <v>48</v>
      </c>
      <c r="B42" s="40" t="s">
        <v>278</v>
      </c>
      <c r="C42" s="40" t="s">
        <v>279</v>
      </c>
      <c r="D42" s="57">
        <f t="shared" si="0"/>
        <v>48</v>
      </c>
    </row>
    <row r="43" spans="1:4">
      <c r="A43" s="53">
        <v>49</v>
      </c>
      <c r="B43" s="40" t="s">
        <v>280</v>
      </c>
      <c r="C43" s="40" t="s">
        <v>281</v>
      </c>
      <c r="D43" s="57">
        <f t="shared" si="0"/>
        <v>49</v>
      </c>
    </row>
    <row r="44" spans="1:4">
      <c r="A44" s="53">
        <v>50</v>
      </c>
      <c r="B44" s="40" t="s">
        <v>282</v>
      </c>
      <c r="C44" s="40" t="s">
        <v>283</v>
      </c>
      <c r="D44" s="57">
        <f t="shared" si="0"/>
        <v>50</v>
      </c>
    </row>
    <row r="45" spans="1:4">
      <c r="A45" s="53">
        <v>51</v>
      </c>
      <c r="B45" s="40" t="s">
        <v>284</v>
      </c>
      <c r="C45" s="40" t="s">
        <v>285</v>
      </c>
      <c r="D45" s="57">
        <f t="shared" si="0"/>
        <v>51</v>
      </c>
    </row>
    <row r="46" spans="1:4">
      <c r="A46" s="53">
        <v>52</v>
      </c>
      <c r="B46" s="40" t="s">
        <v>286</v>
      </c>
      <c r="C46" s="40" t="s">
        <v>228</v>
      </c>
      <c r="D46" s="57">
        <f t="shared" si="0"/>
        <v>52</v>
      </c>
    </row>
    <row r="47" spans="1:4">
      <c r="A47" s="53">
        <v>53</v>
      </c>
      <c r="B47" s="40" t="s">
        <v>287</v>
      </c>
      <c r="C47" s="40" t="s">
        <v>288</v>
      </c>
      <c r="D47" s="57">
        <f t="shared" si="0"/>
        <v>53</v>
      </c>
    </row>
    <row r="48" spans="1:4">
      <c r="A48" s="53">
        <v>54</v>
      </c>
      <c r="B48" s="40" t="s">
        <v>84</v>
      </c>
      <c r="C48" s="40" t="s">
        <v>1946</v>
      </c>
      <c r="D48" s="57">
        <f t="shared" si="0"/>
        <v>54</v>
      </c>
    </row>
    <row r="49" spans="1:4">
      <c r="A49" s="53">
        <v>55</v>
      </c>
      <c r="B49" s="40" t="s">
        <v>289</v>
      </c>
      <c r="C49" s="40" t="s">
        <v>290</v>
      </c>
      <c r="D49" s="57">
        <f t="shared" si="0"/>
        <v>55</v>
      </c>
    </row>
    <row r="50" spans="1:4">
      <c r="A50" s="53">
        <v>56</v>
      </c>
      <c r="B50" s="40" t="s">
        <v>291</v>
      </c>
      <c r="C50" s="40" t="s">
        <v>3303</v>
      </c>
      <c r="D50" s="57">
        <f t="shared" si="0"/>
        <v>56</v>
      </c>
    </row>
    <row r="51" spans="1:4">
      <c r="A51" s="53">
        <v>57</v>
      </c>
      <c r="B51" s="40" t="s">
        <v>292</v>
      </c>
      <c r="C51" s="40" t="s">
        <v>293</v>
      </c>
      <c r="D51" s="57">
        <f t="shared" si="0"/>
        <v>57</v>
      </c>
    </row>
    <row r="52" spans="1:4">
      <c r="A52" s="53">
        <v>58</v>
      </c>
      <c r="B52" s="40" t="s">
        <v>294</v>
      </c>
      <c r="C52" s="40" t="s">
        <v>295</v>
      </c>
      <c r="D52" s="57">
        <f t="shared" si="0"/>
        <v>58</v>
      </c>
    </row>
    <row r="53" spans="1:4">
      <c r="A53" s="53">
        <v>59</v>
      </c>
      <c r="B53" s="40" t="s">
        <v>296</v>
      </c>
      <c r="C53" s="40" t="s">
        <v>1955</v>
      </c>
      <c r="D53" s="57">
        <f t="shared" si="0"/>
        <v>59</v>
      </c>
    </row>
    <row r="54" spans="1:4">
      <c r="A54" s="53">
        <v>60</v>
      </c>
      <c r="B54" s="40" t="s">
        <v>297</v>
      </c>
      <c r="C54" s="40" t="s">
        <v>298</v>
      </c>
      <c r="D54" s="57">
        <f t="shared" si="0"/>
        <v>60</v>
      </c>
    </row>
    <row r="55" spans="1:4">
      <c r="A55" s="53">
        <v>61</v>
      </c>
      <c r="B55" s="40" t="s">
        <v>299</v>
      </c>
      <c r="C55" s="40" t="s">
        <v>300</v>
      </c>
      <c r="D55" s="57">
        <f t="shared" si="0"/>
        <v>61</v>
      </c>
    </row>
    <row r="56" spans="1:4">
      <c r="A56" s="53">
        <v>62</v>
      </c>
      <c r="B56" s="40" t="s">
        <v>301</v>
      </c>
      <c r="C56" s="40" t="s">
        <v>3304</v>
      </c>
      <c r="D56" s="57">
        <f t="shared" si="0"/>
        <v>62</v>
      </c>
    </row>
    <row r="57" spans="1:4">
      <c r="A57" s="53">
        <v>63</v>
      </c>
      <c r="B57" s="40" t="s">
        <v>302</v>
      </c>
      <c r="C57" s="40" t="s">
        <v>3305</v>
      </c>
      <c r="D57" s="57">
        <f t="shared" si="0"/>
        <v>63</v>
      </c>
    </row>
    <row r="58" spans="1:4">
      <c r="A58" s="53">
        <v>64</v>
      </c>
      <c r="B58" s="40" t="s">
        <v>303</v>
      </c>
      <c r="C58" s="40" t="s">
        <v>304</v>
      </c>
      <c r="D58" s="57">
        <f t="shared" si="0"/>
        <v>64</v>
      </c>
    </row>
    <row r="59" spans="1:4">
      <c r="A59" s="53">
        <v>65</v>
      </c>
      <c r="B59" s="40" t="s">
        <v>305</v>
      </c>
      <c r="C59" s="40" t="s">
        <v>306</v>
      </c>
      <c r="D59" s="57">
        <f t="shared" si="0"/>
        <v>65</v>
      </c>
    </row>
    <row r="60" spans="1:4">
      <c r="A60" s="53">
        <v>66</v>
      </c>
      <c r="B60" s="40" t="s">
        <v>307</v>
      </c>
      <c r="C60" s="40" t="s">
        <v>308</v>
      </c>
      <c r="D60" s="57">
        <f t="shared" si="0"/>
        <v>66</v>
      </c>
    </row>
    <row r="61" spans="1:4">
      <c r="A61" s="53">
        <v>67</v>
      </c>
      <c r="B61" s="40" t="s">
        <v>309</v>
      </c>
      <c r="C61" s="40" t="s">
        <v>310</v>
      </c>
      <c r="D61" s="57">
        <f t="shared" si="0"/>
        <v>67</v>
      </c>
    </row>
    <row r="62" spans="1:4">
      <c r="A62" s="53">
        <v>68</v>
      </c>
      <c r="B62" s="40" t="s">
        <v>311</v>
      </c>
      <c r="C62" s="40" t="s">
        <v>312</v>
      </c>
      <c r="D62" s="57">
        <f t="shared" si="0"/>
        <v>68</v>
      </c>
    </row>
    <row r="63" spans="1:4">
      <c r="A63" s="53">
        <v>69</v>
      </c>
      <c r="B63" s="40" t="s">
        <v>313</v>
      </c>
      <c r="C63" s="40" t="s">
        <v>314</v>
      </c>
      <c r="D63" s="57">
        <f t="shared" si="0"/>
        <v>69</v>
      </c>
    </row>
    <row r="64" spans="1:4">
      <c r="A64" s="53">
        <v>70</v>
      </c>
      <c r="B64" s="40" t="s">
        <v>315</v>
      </c>
      <c r="C64" s="40" t="s">
        <v>316</v>
      </c>
      <c r="D64" s="57">
        <f t="shared" si="0"/>
        <v>70</v>
      </c>
    </row>
    <row r="65" spans="1:4">
      <c r="A65" s="53">
        <v>71</v>
      </c>
      <c r="B65" s="40" t="s">
        <v>102</v>
      </c>
      <c r="C65" s="40" t="s">
        <v>317</v>
      </c>
      <c r="D65" s="57">
        <f t="shared" si="0"/>
        <v>71</v>
      </c>
    </row>
    <row r="66" spans="1:4">
      <c r="A66" s="53">
        <v>72</v>
      </c>
      <c r="B66" s="40" t="s">
        <v>318</v>
      </c>
      <c r="C66" s="40" t="s">
        <v>319</v>
      </c>
      <c r="D66" s="57">
        <f t="shared" ref="D66:D129" si="1">$A66</f>
        <v>72</v>
      </c>
    </row>
    <row r="67" spans="1:4">
      <c r="A67" s="53">
        <v>73</v>
      </c>
      <c r="B67" s="40" t="s">
        <v>320</v>
      </c>
      <c r="C67" s="40" t="s">
        <v>321</v>
      </c>
      <c r="D67" s="57">
        <f t="shared" si="1"/>
        <v>73</v>
      </c>
    </row>
    <row r="68" spans="1:4">
      <c r="A68" s="53">
        <v>74</v>
      </c>
      <c r="B68" s="40" t="s">
        <v>322</v>
      </c>
      <c r="C68" s="40" t="s">
        <v>323</v>
      </c>
      <c r="D68" s="57">
        <f t="shared" si="1"/>
        <v>74</v>
      </c>
    </row>
    <row r="69" spans="1:4">
      <c r="A69" s="53">
        <v>75</v>
      </c>
      <c r="B69" s="40" t="s">
        <v>324</v>
      </c>
      <c r="C69" s="40" t="s">
        <v>325</v>
      </c>
      <c r="D69" s="57">
        <f t="shared" si="1"/>
        <v>75</v>
      </c>
    </row>
    <row r="70" spans="1:4">
      <c r="A70" s="53">
        <v>77</v>
      </c>
      <c r="B70" s="40" t="s">
        <v>327</v>
      </c>
      <c r="C70" s="40" t="s">
        <v>328</v>
      </c>
      <c r="D70" s="57">
        <f t="shared" si="1"/>
        <v>77</v>
      </c>
    </row>
    <row r="71" spans="1:4">
      <c r="A71" s="53">
        <v>78</v>
      </c>
      <c r="B71" s="40" t="s">
        <v>329</v>
      </c>
      <c r="C71" s="40" t="s">
        <v>330</v>
      </c>
      <c r="D71" s="57">
        <f t="shared" si="1"/>
        <v>78</v>
      </c>
    </row>
    <row r="72" spans="1:4">
      <c r="A72" s="53">
        <v>79</v>
      </c>
      <c r="B72" s="40" t="s">
        <v>331</v>
      </c>
      <c r="C72" s="40" t="s">
        <v>332</v>
      </c>
      <c r="D72" s="57">
        <f t="shared" si="1"/>
        <v>79</v>
      </c>
    </row>
    <row r="73" spans="1:4">
      <c r="A73" s="53">
        <v>80</v>
      </c>
      <c r="B73" s="40" t="s">
        <v>333</v>
      </c>
      <c r="C73" s="40" t="s">
        <v>334</v>
      </c>
      <c r="D73" s="57">
        <f t="shared" si="1"/>
        <v>80</v>
      </c>
    </row>
    <row r="74" spans="1:4">
      <c r="A74" s="53">
        <v>81</v>
      </c>
      <c r="B74" s="40" t="s">
        <v>124</v>
      </c>
      <c r="C74" s="40" t="s">
        <v>335</v>
      </c>
      <c r="D74" s="57">
        <f t="shared" si="1"/>
        <v>81</v>
      </c>
    </row>
    <row r="75" spans="1:4">
      <c r="A75" s="53">
        <v>82</v>
      </c>
      <c r="B75" s="40" t="s">
        <v>336</v>
      </c>
      <c r="C75" s="40" t="s">
        <v>337</v>
      </c>
      <c r="D75" s="57">
        <f t="shared" si="1"/>
        <v>82</v>
      </c>
    </row>
    <row r="76" spans="1:4">
      <c r="A76" s="53">
        <v>83</v>
      </c>
      <c r="B76" s="40" t="s">
        <v>338</v>
      </c>
      <c r="C76" s="40" t="s">
        <v>339</v>
      </c>
      <c r="D76" s="57">
        <f t="shared" si="1"/>
        <v>83</v>
      </c>
    </row>
    <row r="77" spans="1:4">
      <c r="A77" s="53">
        <v>84</v>
      </c>
      <c r="B77" s="40" t="s">
        <v>340</v>
      </c>
      <c r="C77" s="40" t="s">
        <v>341</v>
      </c>
      <c r="D77" s="57">
        <f t="shared" si="1"/>
        <v>84</v>
      </c>
    </row>
    <row r="78" spans="1:4">
      <c r="A78" s="53">
        <v>85</v>
      </c>
      <c r="B78" s="40" t="s">
        <v>342</v>
      </c>
      <c r="C78" s="40" t="s">
        <v>343</v>
      </c>
      <c r="D78" s="57">
        <f t="shared" si="1"/>
        <v>85</v>
      </c>
    </row>
    <row r="79" spans="1:4">
      <c r="A79" s="53">
        <v>86</v>
      </c>
      <c r="B79" s="40" t="s">
        <v>344</v>
      </c>
      <c r="C79" s="40" t="s">
        <v>345</v>
      </c>
      <c r="D79" s="57">
        <f t="shared" si="1"/>
        <v>86</v>
      </c>
    </row>
    <row r="80" spans="1:4">
      <c r="A80" s="53">
        <v>87</v>
      </c>
      <c r="B80" s="40" t="s">
        <v>346</v>
      </c>
      <c r="C80" s="40" t="s">
        <v>1956</v>
      </c>
      <c r="D80" s="57">
        <f t="shared" si="1"/>
        <v>87</v>
      </c>
    </row>
    <row r="81" spans="1:4">
      <c r="A81" s="53">
        <v>88</v>
      </c>
      <c r="B81" s="40" t="s">
        <v>347</v>
      </c>
      <c r="C81" s="40" t="s">
        <v>348</v>
      </c>
      <c r="D81" s="57">
        <f t="shared" si="1"/>
        <v>88</v>
      </c>
    </row>
    <row r="82" spans="1:4">
      <c r="A82" s="53">
        <v>91</v>
      </c>
      <c r="B82" s="40" t="s">
        <v>351</v>
      </c>
      <c r="C82" s="40" t="s">
        <v>3306</v>
      </c>
      <c r="D82" s="57">
        <f t="shared" si="1"/>
        <v>91</v>
      </c>
    </row>
    <row r="83" spans="1:4">
      <c r="A83" s="53">
        <v>92</v>
      </c>
      <c r="B83" s="40" t="s">
        <v>352</v>
      </c>
      <c r="C83" s="40" t="s">
        <v>353</v>
      </c>
      <c r="D83" s="57">
        <f t="shared" si="1"/>
        <v>92</v>
      </c>
    </row>
    <row r="84" spans="1:4">
      <c r="A84" s="53">
        <v>93</v>
      </c>
      <c r="B84" s="40" t="s">
        <v>354</v>
      </c>
      <c r="C84" s="40" t="s">
        <v>355</v>
      </c>
      <c r="D84" s="57">
        <f t="shared" si="1"/>
        <v>93</v>
      </c>
    </row>
    <row r="85" spans="1:4">
      <c r="A85" s="53">
        <v>95</v>
      </c>
      <c r="B85" s="40" t="s">
        <v>356</v>
      </c>
      <c r="C85" s="40" t="s">
        <v>357</v>
      </c>
      <c r="D85" s="57">
        <f t="shared" si="1"/>
        <v>95</v>
      </c>
    </row>
    <row r="86" spans="1:4">
      <c r="A86" s="53">
        <v>96</v>
      </c>
      <c r="B86" s="40" t="s">
        <v>2492</v>
      </c>
      <c r="C86" s="40" t="s">
        <v>1957</v>
      </c>
      <c r="D86" s="57">
        <f t="shared" si="1"/>
        <v>96</v>
      </c>
    </row>
    <row r="87" spans="1:4">
      <c r="A87" s="53">
        <v>98</v>
      </c>
      <c r="B87" s="40" t="s">
        <v>73</v>
      </c>
      <c r="C87" s="40" t="s">
        <v>358</v>
      </c>
      <c r="D87" s="57">
        <f t="shared" si="1"/>
        <v>98</v>
      </c>
    </row>
    <row r="88" spans="1:4">
      <c r="A88" s="53">
        <v>99</v>
      </c>
      <c r="B88" s="40" t="s">
        <v>359</v>
      </c>
      <c r="C88" s="40" t="s">
        <v>360</v>
      </c>
      <c r="D88" s="57">
        <f t="shared" si="1"/>
        <v>99</v>
      </c>
    </row>
    <row r="89" spans="1:4">
      <c r="A89" s="53">
        <v>100</v>
      </c>
      <c r="B89" s="40" t="s">
        <v>361</v>
      </c>
      <c r="C89" s="40" t="s">
        <v>362</v>
      </c>
      <c r="D89" s="57">
        <f t="shared" si="1"/>
        <v>100</v>
      </c>
    </row>
    <row r="90" spans="1:4">
      <c r="A90" s="53">
        <v>101</v>
      </c>
      <c r="B90" s="40" t="s">
        <v>363</v>
      </c>
      <c r="C90" s="40" t="s">
        <v>364</v>
      </c>
      <c r="D90" s="57">
        <f t="shared" si="1"/>
        <v>101</v>
      </c>
    </row>
    <row r="91" spans="1:4">
      <c r="A91" s="53">
        <v>102</v>
      </c>
      <c r="B91" s="40" t="s">
        <v>365</v>
      </c>
      <c r="C91" s="40" t="s">
        <v>2824</v>
      </c>
      <c r="D91" s="57">
        <f t="shared" si="1"/>
        <v>102</v>
      </c>
    </row>
    <row r="92" spans="1:4">
      <c r="A92" s="53">
        <v>103</v>
      </c>
      <c r="B92" s="40" t="s">
        <v>366</v>
      </c>
      <c r="C92" s="40" t="s">
        <v>367</v>
      </c>
      <c r="D92" s="57">
        <f t="shared" si="1"/>
        <v>103</v>
      </c>
    </row>
    <row r="93" spans="1:4">
      <c r="A93" s="53">
        <v>104</v>
      </c>
      <c r="B93" s="40" t="s">
        <v>368</v>
      </c>
      <c r="C93" s="40" t="s">
        <v>1958</v>
      </c>
      <c r="D93" s="57">
        <f t="shared" si="1"/>
        <v>104</v>
      </c>
    </row>
    <row r="94" spans="1:4">
      <c r="A94" s="53">
        <v>105</v>
      </c>
      <c r="B94" s="40" t="s">
        <v>2493</v>
      </c>
      <c r="C94" s="40" t="s">
        <v>369</v>
      </c>
      <c r="D94" s="57">
        <f t="shared" si="1"/>
        <v>105</v>
      </c>
    </row>
    <row r="95" spans="1:4">
      <c r="A95" s="53">
        <v>106</v>
      </c>
      <c r="B95" s="40" t="s">
        <v>99</v>
      </c>
      <c r="C95" s="40" t="s">
        <v>370</v>
      </c>
      <c r="D95" s="57">
        <f t="shared" si="1"/>
        <v>106</v>
      </c>
    </row>
    <row r="96" spans="1:4">
      <c r="A96" s="53">
        <v>107</v>
      </c>
      <c r="B96" s="40" t="s">
        <v>371</v>
      </c>
      <c r="C96" s="40" t="s">
        <v>372</v>
      </c>
      <c r="D96" s="57">
        <f t="shared" si="1"/>
        <v>107</v>
      </c>
    </row>
    <row r="97" spans="1:4">
      <c r="A97" s="53">
        <v>108</v>
      </c>
      <c r="B97" s="40" t="s">
        <v>373</v>
      </c>
      <c r="C97" s="40" t="s">
        <v>3307</v>
      </c>
      <c r="D97" s="57">
        <f t="shared" si="1"/>
        <v>108</v>
      </c>
    </row>
    <row r="98" spans="1:4">
      <c r="A98" s="53">
        <v>109</v>
      </c>
      <c r="B98" s="40" t="s">
        <v>374</v>
      </c>
      <c r="C98" s="40" t="s">
        <v>3308</v>
      </c>
      <c r="D98" s="57">
        <f t="shared" si="1"/>
        <v>109</v>
      </c>
    </row>
    <row r="99" spans="1:4">
      <c r="A99" s="53">
        <v>110</v>
      </c>
      <c r="B99" s="40" t="s">
        <v>375</v>
      </c>
      <c r="C99" s="40" t="s">
        <v>376</v>
      </c>
      <c r="D99" s="57">
        <f t="shared" si="1"/>
        <v>110</v>
      </c>
    </row>
    <row r="100" spans="1:4">
      <c r="A100" s="53">
        <v>111</v>
      </c>
      <c r="B100" s="40" t="s">
        <v>377</v>
      </c>
      <c r="C100" s="40" t="s">
        <v>378</v>
      </c>
      <c r="D100" s="57">
        <f t="shared" si="1"/>
        <v>111</v>
      </c>
    </row>
    <row r="101" spans="1:4">
      <c r="A101" s="53">
        <v>112</v>
      </c>
      <c r="B101" s="40" t="s">
        <v>379</v>
      </c>
      <c r="C101" s="40" t="s">
        <v>1959</v>
      </c>
      <c r="D101" s="57">
        <f t="shared" si="1"/>
        <v>112</v>
      </c>
    </row>
    <row r="102" spans="1:4">
      <c r="A102" s="53">
        <v>113</v>
      </c>
      <c r="B102" s="40" t="s">
        <v>380</v>
      </c>
      <c r="C102" s="40" t="s">
        <v>381</v>
      </c>
      <c r="D102" s="57">
        <f t="shared" si="1"/>
        <v>113</v>
      </c>
    </row>
    <row r="103" spans="1:4">
      <c r="A103" s="53">
        <v>114</v>
      </c>
      <c r="B103" s="40" t="s">
        <v>382</v>
      </c>
      <c r="C103" s="40" t="s">
        <v>383</v>
      </c>
      <c r="D103" s="57">
        <f t="shared" si="1"/>
        <v>114</v>
      </c>
    </row>
    <row r="104" spans="1:4">
      <c r="A104" s="53">
        <v>115</v>
      </c>
      <c r="B104" s="40" t="s">
        <v>3309</v>
      </c>
      <c r="C104" s="40" t="s">
        <v>385</v>
      </c>
      <c r="D104" s="57">
        <f t="shared" si="1"/>
        <v>115</v>
      </c>
    </row>
    <row r="105" spans="1:4">
      <c r="A105" s="53">
        <v>116</v>
      </c>
      <c r="B105" s="40" t="s">
        <v>384</v>
      </c>
      <c r="C105" s="40" t="s">
        <v>386</v>
      </c>
      <c r="D105" s="57">
        <f t="shared" si="1"/>
        <v>116</v>
      </c>
    </row>
    <row r="106" spans="1:4">
      <c r="A106" s="53">
        <v>117</v>
      </c>
      <c r="B106" s="40" t="s">
        <v>387</v>
      </c>
      <c r="C106" s="40" t="s">
        <v>388</v>
      </c>
      <c r="D106" s="57">
        <f t="shared" si="1"/>
        <v>117</v>
      </c>
    </row>
    <row r="107" spans="1:4">
      <c r="A107" s="53">
        <v>119</v>
      </c>
      <c r="B107" s="58" t="s">
        <v>3310</v>
      </c>
      <c r="C107" s="40" t="s">
        <v>2494</v>
      </c>
      <c r="D107" s="57">
        <f t="shared" si="1"/>
        <v>119</v>
      </c>
    </row>
    <row r="108" spans="1:4">
      <c r="A108" s="53">
        <v>120</v>
      </c>
      <c r="B108" s="40" t="s">
        <v>390</v>
      </c>
      <c r="C108" s="40" t="s">
        <v>391</v>
      </c>
      <c r="D108" s="57">
        <f t="shared" si="1"/>
        <v>120</v>
      </c>
    </row>
    <row r="109" spans="1:4">
      <c r="A109" s="53">
        <v>121</v>
      </c>
      <c r="B109" s="40" t="s">
        <v>392</v>
      </c>
      <c r="C109" s="40" t="s">
        <v>393</v>
      </c>
      <c r="D109" s="57">
        <f t="shared" si="1"/>
        <v>121</v>
      </c>
    </row>
    <row r="110" spans="1:4">
      <c r="A110" s="53">
        <v>122</v>
      </c>
      <c r="B110" s="40" t="s">
        <v>394</v>
      </c>
      <c r="C110" s="40" t="s">
        <v>3311</v>
      </c>
      <c r="D110" s="57">
        <f t="shared" si="1"/>
        <v>122</v>
      </c>
    </row>
    <row r="111" spans="1:4">
      <c r="A111" s="53">
        <v>123</v>
      </c>
      <c r="B111" s="40" t="s">
        <v>395</v>
      </c>
      <c r="C111" s="40" t="s">
        <v>396</v>
      </c>
      <c r="D111" s="57">
        <f t="shared" si="1"/>
        <v>123</v>
      </c>
    </row>
    <row r="112" spans="1:4">
      <c r="A112" s="53">
        <v>124</v>
      </c>
      <c r="B112" s="40" t="s">
        <v>397</v>
      </c>
      <c r="C112" s="40" t="s">
        <v>1960</v>
      </c>
      <c r="D112" s="57">
        <f t="shared" si="1"/>
        <v>124</v>
      </c>
    </row>
    <row r="113" spans="1:4">
      <c r="A113" s="53">
        <v>125</v>
      </c>
      <c r="B113" s="40" t="s">
        <v>398</v>
      </c>
      <c r="C113" s="40" t="s">
        <v>399</v>
      </c>
      <c r="D113" s="57">
        <f t="shared" si="1"/>
        <v>125</v>
      </c>
    </row>
    <row r="114" spans="1:4">
      <c r="A114" s="53">
        <v>126</v>
      </c>
      <c r="B114" s="40" t="s">
        <v>400</v>
      </c>
      <c r="C114" s="40" t="s">
        <v>1961</v>
      </c>
      <c r="D114" s="57">
        <f t="shared" si="1"/>
        <v>126</v>
      </c>
    </row>
    <row r="115" spans="1:4">
      <c r="A115" s="53">
        <v>127</v>
      </c>
      <c r="B115" s="40" t="s">
        <v>401</v>
      </c>
      <c r="C115" s="40" t="s">
        <v>402</v>
      </c>
      <c r="D115" s="57">
        <f t="shared" si="1"/>
        <v>127</v>
      </c>
    </row>
    <row r="116" spans="1:4">
      <c r="A116" s="53">
        <v>130</v>
      </c>
      <c r="B116" s="40" t="s">
        <v>404</v>
      </c>
      <c r="C116" s="40" t="s">
        <v>405</v>
      </c>
      <c r="D116" s="57">
        <f t="shared" si="1"/>
        <v>130</v>
      </c>
    </row>
    <row r="117" spans="1:4">
      <c r="A117" s="53">
        <v>131</v>
      </c>
      <c r="B117" s="40" t="s">
        <v>406</v>
      </c>
      <c r="C117" s="40" t="s">
        <v>407</v>
      </c>
      <c r="D117" s="57">
        <f t="shared" si="1"/>
        <v>131</v>
      </c>
    </row>
    <row r="118" spans="1:4">
      <c r="A118" s="53">
        <v>132</v>
      </c>
      <c r="B118" s="40" t="s">
        <v>408</v>
      </c>
      <c r="C118" s="40" t="s">
        <v>409</v>
      </c>
      <c r="D118" s="57">
        <f t="shared" si="1"/>
        <v>132</v>
      </c>
    </row>
    <row r="119" spans="1:4">
      <c r="A119" s="53">
        <v>133</v>
      </c>
      <c r="B119" s="40" t="s">
        <v>410</v>
      </c>
      <c r="C119" s="40" t="s">
        <v>411</v>
      </c>
      <c r="D119" s="57">
        <f t="shared" si="1"/>
        <v>133</v>
      </c>
    </row>
    <row r="120" spans="1:4">
      <c r="A120" s="53">
        <v>134</v>
      </c>
      <c r="B120" s="40" t="s">
        <v>412</v>
      </c>
      <c r="C120" s="40" t="s">
        <v>413</v>
      </c>
      <c r="D120" s="57">
        <f t="shared" si="1"/>
        <v>134</v>
      </c>
    </row>
    <row r="121" spans="1:4">
      <c r="A121" s="53">
        <v>135</v>
      </c>
      <c r="B121" s="40" t="s">
        <v>414</v>
      </c>
      <c r="C121" s="40" t="s">
        <v>415</v>
      </c>
      <c r="D121" s="57">
        <f t="shared" si="1"/>
        <v>135</v>
      </c>
    </row>
    <row r="122" spans="1:4">
      <c r="A122" s="53">
        <v>136</v>
      </c>
      <c r="B122" s="40" t="s">
        <v>416</v>
      </c>
      <c r="C122" s="40" t="s">
        <v>417</v>
      </c>
      <c r="D122" s="57">
        <f t="shared" si="1"/>
        <v>136</v>
      </c>
    </row>
    <row r="123" spans="1:4">
      <c r="A123" s="53">
        <v>137</v>
      </c>
      <c r="B123" s="40" t="s">
        <v>418</v>
      </c>
      <c r="C123" s="40" t="s">
        <v>419</v>
      </c>
      <c r="D123" s="57">
        <f t="shared" si="1"/>
        <v>137</v>
      </c>
    </row>
    <row r="124" spans="1:4">
      <c r="A124" s="53">
        <v>138</v>
      </c>
      <c r="B124" s="40" t="s">
        <v>199</v>
      </c>
      <c r="C124" s="40" t="s">
        <v>420</v>
      </c>
      <c r="D124" s="57">
        <f t="shared" si="1"/>
        <v>138</v>
      </c>
    </row>
    <row r="125" spans="1:4">
      <c r="A125" s="53">
        <v>139</v>
      </c>
      <c r="B125" s="40" t="s">
        <v>421</v>
      </c>
      <c r="C125" s="40" t="s">
        <v>422</v>
      </c>
      <c r="D125" s="57">
        <f t="shared" si="1"/>
        <v>139</v>
      </c>
    </row>
    <row r="126" spans="1:4">
      <c r="A126" s="53">
        <v>140</v>
      </c>
      <c r="B126" s="40" t="s">
        <v>423</v>
      </c>
      <c r="C126" s="40" t="s">
        <v>424</v>
      </c>
      <c r="D126" s="57">
        <f t="shared" si="1"/>
        <v>140</v>
      </c>
    </row>
    <row r="127" spans="1:4">
      <c r="A127" s="53">
        <v>141</v>
      </c>
      <c r="B127" s="40" t="s">
        <v>425</v>
      </c>
      <c r="C127" s="40" t="s">
        <v>1962</v>
      </c>
      <c r="D127" s="57">
        <f t="shared" si="1"/>
        <v>141</v>
      </c>
    </row>
    <row r="128" spans="1:4">
      <c r="A128" s="53">
        <v>142</v>
      </c>
      <c r="B128" s="40" t="s">
        <v>426</v>
      </c>
      <c r="C128" s="40" t="s">
        <v>1963</v>
      </c>
      <c r="D128" s="57">
        <f t="shared" si="1"/>
        <v>142</v>
      </c>
    </row>
    <row r="129" spans="1:4">
      <c r="A129" s="53">
        <v>143</v>
      </c>
      <c r="B129" s="40" t="s">
        <v>427</v>
      </c>
      <c r="C129" s="40" t="s">
        <v>428</v>
      </c>
      <c r="D129" s="57">
        <f t="shared" si="1"/>
        <v>143</v>
      </c>
    </row>
    <row r="130" spans="1:4">
      <c r="A130" s="53">
        <v>144</v>
      </c>
      <c r="B130" s="40" t="s">
        <v>188</v>
      </c>
      <c r="C130" s="40" t="s">
        <v>429</v>
      </c>
      <c r="D130" s="57">
        <f t="shared" ref="D130:D193" si="2">$A130</f>
        <v>144</v>
      </c>
    </row>
    <row r="131" spans="1:4">
      <c r="A131" s="53">
        <v>145</v>
      </c>
      <c r="B131" s="40" t="s">
        <v>3312</v>
      </c>
      <c r="C131" s="40" t="s">
        <v>430</v>
      </c>
      <c r="D131" s="57">
        <f t="shared" si="2"/>
        <v>145</v>
      </c>
    </row>
    <row r="132" spans="1:4">
      <c r="A132" s="53">
        <v>146</v>
      </c>
      <c r="B132" s="40" t="s">
        <v>431</v>
      </c>
      <c r="C132" s="40" t="s">
        <v>432</v>
      </c>
      <c r="D132" s="57">
        <f t="shared" si="2"/>
        <v>146</v>
      </c>
    </row>
    <row r="133" spans="1:4">
      <c r="A133" s="53">
        <v>147</v>
      </c>
      <c r="B133" s="40" t="s">
        <v>180</v>
      </c>
      <c r="C133" s="40" t="s">
        <v>433</v>
      </c>
      <c r="D133" s="57">
        <f t="shared" si="2"/>
        <v>147</v>
      </c>
    </row>
    <row r="134" spans="1:4">
      <c r="A134" s="53">
        <v>148</v>
      </c>
      <c r="B134" s="40" t="s">
        <v>434</v>
      </c>
      <c r="C134" s="40" t="s">
        <v>1947</v>
      </c>
      <c r="D134" s="57">
        <f t="shared" si="2"/>
        <v>148</v>
      </c>
    </row>
    <row r="135" spans="1:4">
      <c r="A135" s="53">
        <v>149</v>
      </c>
      <c r="B135" s="40" t="s">
        <v>435</v>
      </c>
      <c r="C135" s="40" t="s">
        <v>436</v>
      </c>
      <c r="D135" s="57">
        <f t="shared" si="2"/>
        <v>149</v>
      </c>
    </row>
    <row r="136" spans="1:4">
      <c r="A136" s="53">
        <v>150</v>
      </c>
      <c r="B136" s="40" t="s">
        <v>1943</v>
      </c>
      <c r="C136" s="40" t="s">
        <v>437</v>
      </c>
      <c r="D136" s="57">
        <f t="shared" si="2"/>
        <v>150</v>
      </c>
    </row>
    <row r="137" spans="1:4">
      <c r="A137" s="53">
        <v>151</v>
      </c>
      <c r="B137" s="40" t="s">
        <v>438</v>
      </c>
      <c r="C137" s="40" t="s">
        <v>439</v>
      </c>
      <c r="D137" s="57">
        <f t="shared" si="2"/>
        <v>151</v>
      </c>
    </row>
    <row r="138" spans="1:4">
      <c r="A138" s="53">
        <v>152</v>
      </c>
      <c r="B138" s="40" t="s">
        <v>440</v>
      </c>
      <c r="C138" s="40" t="s">
        <v>441</v>
      </c>
      <c r="D138" s="57">
        <f t="shared" si="2"/>
        <v>152</v>
      </c>
    </row>
    <row r="139" spans="1:4">
      <c r="A139" s="53">
        <v>153</v>
      </c>
      <c r="B139" s="40" t="s">
        <v>2495</v>
      </c>
      <c r="C139" s="40" t="s">
        <v>442</v>
      </c>
      <c r="D139" s="57">
        <f t="shared" si="2"/>
        <v>153</v>
      </c>
    </row>
    <row r="140" spans="1:4">
      <c r="A140" s="53">
        <v>154</v>
      </c>
      <c r="B140" s="40" t="s">
        <v>443</v>
      </c>
      <c r="C140" s="40" t="s">
        <v>444</v>
      </c>
      <c r="D140" s="57">
        <f t="shared" si="2"/>
        <v>154</v>
      </c>
    </row>
    <row r="141" spans="1:4">
      <c r="A141" s="53">
        <v>155</v>
      </c>
      <c r="B141" s="40" t="s">
        <v>174</v>
      </c>
      <c r="C141" s="40" t="s">
        <v>445</v>
      </c>
      <c r="D141" s="57">
        <f t="shared" si="2"/>
        <v>155</v>
      </c>
    </row>
    <row r="142" spans="1:4">
      <c r="A142" s="53">
        <v>157</v>
      </c>
      <c r="B142" s="40" t="s">
        <v>446</v>
      </c>
      <c r="C142" s="40" t="s">
        <v>447</v>
      </c>
      <c r="D142" s="57">
        <f t="shared" si="2"/>
        <v>157</v>
      </c>
    </row>
    <row r="143" spans="1:4">
      <c r="A143" s="53">
        <v>159</v>
      </c>
      <c r="B143" s="40" t="s">
        <v>448</v>
      </c>
      <c r="C143" s="40" t="s">
        <v>1964</v>
      </c>
      <c r="D143" s="57">
        <f t="shared" si="2"/>
        <v>159</v>
      </c>
    </row>
    <row r="144" spans="1:4">
      <c r="A144" s="53">
        <v>160</v>
      </c>
      <c r="B144" s="40" t="s">
        <v>80</v>
      </c>
      <c r="C144" s="40" t="s">
        <v>449</v>
      </c>
      <c r="D144" s="57">
        <f t="shared" si="2"/>
        <v>160</v>
      </c>
    </row>
    <row r="145" spans="1:4">
      <c r="A145" s="53">
        <v>161</v>
      </c>
      <c r="B145" s="40" t="s">
        <v>450</v>
      </c>
      <c r="C145" s="40" t="s">
        <v>3313</v>
      </c>
      <c r="D145" s="57">
        <f t="shared" si="2"/>
        <v>161</v>
      </c>
    </row>
    <row r="146" spans="1:4">
      <c r="A146" s="53">
        <v>164</v>
      </c>
      <c r="B146" s="40" t="s">
        <v>452</v>
      </c>
      <c r="C146" s="40" t="s">
        <v>453</v>
      </c>
      <c r="D146" s="57">
        <f t="shared" si="2"/>
        <v>164</v>
      </c>
    </row>
    <row r="147" spans="1:4">
      <c r="A147" s="53">
        <v>165</v>
      </c>
      <c r="B147" s="40" t="s">
        <v>454</v>
      </c>
      <c r="C147" s="40" t="s">
        <v>455</v>
      </c>
      <c r="D147" s="57">
        <f t="shared" si="2"/>
        <v>165</v>
      </c>
    </row>
    <row r="148" spans="1:4">
      <c r="A148" s="53">
        <v>166</v>
      </c>
      <c r="B148" s="40" t="s">
        <v>456</v>
      </c>
      <c r="C148" s="40" t="s">
        <v>457</v>
      </c>
      <c r="D148" s="57">
        <f t="shared" si="2"/>
        <v>166</v>
      </c>
    </row>
    <row r="149" spans="1:4">
      <c r="A149" s="53">
        <v>167</v>
      </c>
      <c r="B149" s="40" t="s">
        <v>458</v>
      </c>
      <c r="C149" s="40" t="s">
        <v>459</v>
      </c>
      <c r="D149" s="57">
        <f t="shared" si="2"/>
        <v>167</v>
      </c>
    </row>
    <row r="150" spans="1:4">
      <c r="A150" s="53">
        <v>168</v>
      </c>
      <c r="B150" s="40" t="s">
        <v>460</v>
      </c>
      <c r="C150" s="40" t="s">
        <v>461</v>
      </c>
      <c r="D150" s="57">
        <f t="shared" si="2"/>
        <v>168</v>
      </c>
    </row>
    <row r="151" spans="1:4">
      <c r="A151" s="53">
        <v>169</v>
      </c>
      <c r="B151" s="40" t="s">
        <v>462</v>
      </c>
      <c r="C151" s="40" t="s">
        <v>3314</v>
      </c>
      <c r="D151" s="57">
        <f t="shared" si="2"/>
        <v>169</v>
      </c>
    </row>
    <row r="152" spans="1:4">
      <c r="A152" s="53">
        <v>170</v>
      </c>
      <c r="B152" s="40" t="s">
        <v>463</v>
      </c>
      <c r="C152" s="40" t="s">
        <v>464</v>
      </c>
      <c r="D152" s="57">
        <f t="shared" si="2"/>
        <v>170</v>
      </c>
    </row>
    <row r="153" spans="1:4">
      <c r="A153" s="53">
        <v>171</v>
      </c>
      <c r="B153" s="40" t="s">
        <v>185</v>
      </c>
      <c r="C153" s="40" t="s">
        <v>465</v>
      </c>
      <c r="D153" s="57">
        <f t="shared" si="2"/>
        <v>171</v>
      </c>
    </row>
    <row r="154" spans="1:4">
      <c r="A154" s="53">
        <v>172</v>
      </c>
      <c r="B154" s="40" t="s">
        <v>466</v>
      </c>
      <c r="C154" s="40" t="s">
        <v>1965</v>
      </c>
      <c r="D154" s="57">
        <f t="shared" si="2"/>
        <v>172</v>
      </c>
    </row>
    <row r="155" spans="1:4">
      <c r="A155" s="53">
        <v>173</v>
      </c>
      <c r="B155" s="40" t="s">
        <v>467</v>
      </c>
      <c r="C155" s="40" t="s">
        <v>1966</v>
      </c>
      <c r="D155" s="57">
        <f t="shared" si="2"/>
        <v>173</v>
      </c>
    </row>
    <row r="156" spans="1:4">
      <c r="A156" s="53">
        <v>174</v>
      </c>
      <c r="B156" s="40" t="s">
        <v>468</v>
      </c>
      <c r="C156" s="40" t="s">
        <v>469</v>
      </c>
      <c r="D156" s="57">
        <f t="shared" si="2"/>
        <v>174</v>
      </c>
    </row>
    <row r="157" spans="1:4">
      <c r="A157" s="53">
        <v>175</v>
      </c>
      <c r="B157" s="40" t="s">
        <v>470</v>
      </c>
      <c r="C157" s="40" t="s">
        <v>471</v>
      </c>
      <c r="D157" s="57">
        <f t="shared" si="2"/>
        <v>175</v>
      </c>
    </row>
    <row r="158" spans="1:4">
      <c r="A158" s="53">
        <v>176</v>
      </c>
      <c r="B158" s="40" t="s">
        <v>472</v>
      </c>
      <c r="C158" s="40" t="s">
        <v>473</v>
      </c>
      <c r="D158" s="57">
        <f t="shared" si="2"/>
        <v>176</v>
      </c>
    </row>
    <row r="159" spans="1:4">
      <c r="A159" s="53">
        <v>178</v>
      </c>
      <c r="B159" s="40" t="s">
        <v>474</v>
      </c>
      <c r="C159" s="40" t="s">
        <v>475</v>
      </c>
      <c r="D159" s="57">
        <f t="shared" si="2"/>
        <v>178</v>
      </c>
    </row>
    <row r="160" spans="1:4">
      <c r="A160" s="53">
        <v>179</v>
      </c>
      <c r="B160" s="40" t="s">
        <v>476</v>
      </c>
      <c r="C160" s="40" t="s">
        <v>477</v>
      </c>
      <c r="D160" s="57">
        <f t="shared" si="2"/>
        <v>179</v>
      </c>
    </row>
    <row r="161" spans="1:4">
      <c r="A161" s="53">
        <v>180</v>
      </c>
      <c r="B161" s="40" t="s">
        <v>478</v>
      </c>
      <c r="C161" s="40" t="s">
        <v>3315</v>
      </c>
      <c r="D161" s="57">
        <f t="shared" si="2"/>
        <v>180</v>
      </c>
    </row>
    <row r="162" spans="1:4">
      <c r="A162" s="53">
        <v>181</v>
      </c>
      <c r="B162" s="40" t="s">
        <v>479</v>
      </c>
      <c r="C162" s="40" t="s">
        <v>3316</v>
      </c>
      <c r="D162" s="57">
        <f t="shared" si="2"/>
        <v>181</v>
      </c>
    </row>
    <row r="163" spans="1:4">
      <c r="A163" s="53">
        <v>183</v>
      </c>
      <c r="B163" s="40" t="s">
        <v>482</v>
      </c>
      <c r="C163" s="40" t="s">
        <v>483</v>
      </c>
      <c r="D163" s="57">
        <f t="shared" si="2"/>
        <v>183</v>
      </c>
    </row>
    <row r="164" spans="1:4">
      <c r="A164" s="53">
        <v>184</v>
      </c>
      <c r="B164" s="40" t="s">
        <v>484</v>
      </c>
      <c r="C164" s="40" t="s">
        <v>1967</v>
      </c>
      <c r="D164" s="57">
        <f t="shared" si="2"/>
        <v>184</v>
      </c>
    </row>
    <row r="165" spans="1:4">
      <c r="A165" s="53">
        <v>185</v>
      </c>
      <c r="B165" s="40" t="s">
        <v>485</v>
      </c>
      <c r="C165" s="40" t="s">
        <v>486</v>
      </c>
      <c r="D165" s="57">
        <f t="shared" si="2"/>
        <v>185</v>
      </c>
    </row>
    <row r="166" spans="1:4">
      <c r="A166" s="53">
        <v>186</v>
      </c>
      <c r="B166" s="40" t="s">
        <v>487</v>
      </c>
      <c r="C166" s="40" t="s">
        <v>488</v>
      </c>
      <c r="D166" s="57">
        <f t="shared" si="2"/>
        <v>186</v>
      </c>
    </row>
    <row r="167" spans="1:4">
      <c r="A167" s="53">
        <v>187</v>
      </c>
      <c r="B167" s="40" t="s">
        <v>184</v>
      </c>
      <c r="C167" s="40" t="s">
        <v>489</v>
      </c>
      <c r="D167" s="57">
        <f t="shared" si="2"/>
        <v>187</v>
      </c>
    </row>
    <row r="168" spans="1:4">
      <c r="A168" s="53">
        <v>188</v>
      </c>
      <c r="B168" s="40" t="s">
        <v>2398</v>
      </c>
      <c r="C168" s="40" t="s">
        <v>2399</v>
      </c>
      <c r="D168" s="57">
        <f t="shared" si="2"/>
        <v>188</v>
      </c>
    </row>
    <row r="169" spans="1:4">
      <c r="A169" s="53">
        <v>189</v>
      </c>
      <c r="B169" s="40" t="s">
        <v>490</v>
      </c>
      <c r="C169" s="40" t="s">
        <v>1968</v>
      </c>
      <c r="D169" s="57">
        <f t="shared" si="2"/>
        <v>189</v>
      </c>
    </row>
    <row r="170" spans="1:4">
      <c r="A170" s="53">
        <v>190</v>
      </c>
      <c r="B170" s="40" t="s">
        <v>491</v>
      </c>
      <c r="C170" s="40" t="s">
        <v>492</v>
      </c>
      <c r="D170" s="57">
        <f t="shared" si="2"/>
        <v>190</v>
      </c>
    </row>
    <row r="171" spans="1:4">
      <c r="A171" s="53">
        <v>191</v>
      </c>
      <c r="B171" s="40" t="s">
        <v>491</v>
      </c>
      <c r="C171" s="40" t="s">
        <v>493</v>
      </c>
      <c r="D171" s="57">
        <f t="shared" si="2"/>
        <v>191</v>
      </c>
    </row>
    <row r="172" spans="1:4">
      <c r="A172" s="53">
        <v>192</v>
      </c>
      <c r="B172" s="40" t="s">
        <v>494</v>
      </c>
      <c r="C172" s="40" t="s">
        <v>495</v>
      </c>
      <c r="D172" s="57">
        <f t="shared" si="2"/>
        <v>192</v>
      </c>
    </row>
    <row r="173" spans="1:4">
      <c r="A173" s="53">
        <v>193</v>
      </c>
      <c r="B173" s="40" t="s">
        <v>496</v>
      </c>
      <c r="C173" s="40" t="s">
        <v>497</v>
      </c>
      <c r="D173" s="57">
        <f t="shared" si="2"/>
        <v>193</v>
      </c>
    </row>
    <row r="174" spans="1:4">
      <c r="A174" s="53">
        <v>194</v>
      </c>
      <c r="B174" s="40" t="s">
        <v>498</v>
      </c>
      <c r="C174" s="40" t="s">
        <v>499</v>
      </c>
      <c r="D174" s="57">
        <f t="shared" si="2"/>
        <v>194</v>
      </c>
    </row>
    <row r="175" spans="1:4">
      <c r="A175" s="53">
        <v>195</v>
      </c>
      <c r="B175" s="40" t="s">
        <v>500</v>
      </c>
      <c r="C175" s="40" t="s">
        <v>501</v>
      </c>
      <c r="D175" s="57">
        <f t="shared" si="2"/>
        <v>195</v>
      </c>
    </row>
    <row r="176" spans="1:4">
      <c r="A176" s="53">
        <v>196</v>
      </c>
      <c r="B176" s="40" t="s">
        <v>3317</v>
      </c>
      <c r="C176" s="40" t="s">
        <v>502</v>
      </c>
      <c r="D176" s="57">
        <f t="shared" si="2"/>
        <v>196</v>
      </c>
    </row>
    <row r="177" spans="1:4">
      <c r="A177" s="53">
        <v>197</v>
      </c>
      <c r="B177" s="40" t="s">
        <v>503</v>
      </c>
      <c r="C177" s="40" t="s">
        <v>504</v>
      </c>
      <c r="D177" s="57">
        <f t="shared" si="2"/>
        <v>197</v>
      </c>
    </row>
    <row r="178" spans="1:4">
      <c r="A178" s="53">
        <v>198</v>
      </c>
      <c r="B178" s="40" t="s">
        <v>505</v>
      </c>
      <c r="C178" s="40" t="s">
        <v>506</v>
      </c>
      <c r="D178" s="57">
        <f t="shared" si="2"/>
        <v>198</v>
      </c>
    </row>
    <row r="179" spans="1:4">
      <c r="A179" s="53">
        <v>199</v>
      </c>
      <c r="B179" s="40" t="s">
        <v>507</v>
      </c>
      <c r="C179" s="40" t="s">
        <v>508</v>
      </c>
      <c r="D179" s="57">
        <f t="shared" si="2"/>
        <v>199</v>
      </c>
    </row>
    <row r="180" spans="1:4">
      <c r="A180" s="53">
        <v>200</v>
      </c>
      <c r="B180" s="40" t="s">
        <v>108</v>
      </c>
      <c r="C180" s="40" t="s">
        <v>509</v>
      </c>
      <c r="D180" s="57">
        <f t="shared" si="2"/>
        <v>200</v>
      </c>
    </row>
    <row r="181" spans="1:4">
      <c r="A181" s="53">
        <v>201</v>
      </c>
      <c r="B181" s="40" t="s">
        <v>510</v>
      </c>
      <c r="C181" s="40" t="s">
        <v>511</v>
      </c>
      <c r="D181" s="57">
        <f t="shared" si="2"/>
        <v>201</v>
      </c>
    </row>
    <row r="182" spans="1:4">
      <c r="A182" s="53">
        <v>202</v>
      </c>
      <c r="B182" s="40" t="s">
        <v>512</v>
      </c>
      <c r="C182" s="40" t="s">
        <v>513</v>
      </c>
      <c r="D182" s="57">
        <f t="shared" si="2"/>
        <v>202</v>
      </c>
    </row>
    <row r="183" spans="1:4">
      <c r="A183" s="53">
        <v>203</v>
      </c>
      <c r="B183" s="40" t="s">
        <v>514</v>
      </c>
      <c r="C183" s="40" t="s">
        <v>515</v>
      </c>
      <c r="D183" s="57">
        <f t="shared" si="2"/>
        <v>203</v>
      </c>
    </row>
    <row r="184" spans="1:4">
      <c r="A184" s="53">
        <v>204</v>
      </c>
      <c r="B184" s="40" t="s">
        <v>516</v>
      </c>
      <c r="C184" s="40" t="s">
        <v>1969</v>
      </c>
      <c r="D184" s="57">
        <f t="shared" si="2"/>
        <v>204</v>
      </c>
    </row>
    <row r="185" spans="1:4">
      <c r="A185" s="53">
        <v>205</v>
      </c>
      <c r="B185" s="40" t="s">
        <v>517</v>
      </c>
      <c r="C185" s="40" t="s">
        <v>518</v>
      </c>
      <c r="D185" s="57">
        <f t="shared" si="2"/>
        <v>205</v>
      </c>
    </row>
    <row r="186" spans="1:4">
      <c r="A186" s="53">
        <v>206</v>
      </c>
      <c r="B186" s="40" t="s">
        <v>519</v>
      </c>
      <c r="C186" s="40" t="s">
        <v>520</v>
      </c>
      <c r="D186" s="57">
        <f t="shared" si="2"/>
        <v>206</v>
      </c>
    </row>
    <row r="187" spans="1:4">
      <c r="A187" s="53">
        <v>207</v>
      </c>
      <c r="B187" s="40" t="s">
        <v>519</v>
      </c>
      <c r="C187" s="40" t="s">
        <v>521</v>
      </c>
      <c r="D187" s="57">
        <f t="shared" si="2"/>
        <v>207</v>
      </c>
    </row>
    <row r="188" spans="1:4">
      <c r="A188" s="53">
        <v>208</v>
      </c>
      <c r="B188" s="40" t="s">
        <v>522</v>
      </c>
      <c r="C188" s="40" t="s">
        <v>523</v>
      </c>
      <c r="D188" s="57">
        <f t="shared" si="2"/>
        <v>208</v>
      </c>
    </row>
    <row r="189" spans="1:4">
      <c r="A189" s="53">
        <v>209</v>
      </c>
      <c r="B189" s="40" t="s">
        <v>524</v>
      </c>
      <c r="C189" s="40" t="s">
        <v>525</v>
      </c>
      <c r="D189" s="57">
        <f t="shared" si="2"/>
        <v>209</v>
      </c>
    </row>
    <row r="190" spans="1:4">
      <c r="A190" s="53">
        <v>210</v>
      </c>
      <c r="B190" s="40" t="s">
        <v>526</v>
      </c>
      <c r="C190" s="40" t="s">
        <v>527</v>
      </c>
      <c r="D190" s="57">
        <f t="shared" si="2"/>
        <v>210</v>
      </c>
    </row>
    <row r="191" spans="1:4">
      <c r="A191" s="53">
        <v>211</v>
      </c>
      <c r="B191" s="40" t="s">
        <v>528</v>
      </c>
      <c r="C191" s="40" t="s">
        <v>529</v>
      </c>
      <c r="D191" s="57">
        <f t="shared" si="2"/>
        <v>211</v>
      </c>
    </row>
    <row r="192" spans="1:4">
      <c r="A192" s="53">
        <v>212</v>
      </c>
      <c r="B192" s="40" t="s">
        <v>530</v>
      </c>
      <c r="C192" s="40" t="s">
        <v>531</v>
      </c>
      <c r="D192" s="57">
        <f t="shared" si="2"/>
        <v>212</v>
      </c>
    </row>
    <row r="193" spans="1:4">
      <c r="A193" s="53">
        <v>213</v>
      </c>
      <c r="B193" s="40" t="s">
        <v>532</v>
      </c>
      <c r="C193" s="40" t="s">
        <v>533</v>
      </c>
      <c r="D193" s="57">
        <f t="shared" si="2"/>
        <v>213</v>
      </c>
    </row>
    <row r="194" spans="1:4">
      <c r="A194" s="53">
        <v>214</v>
      </c>
      <c r="B194" s="40" t="s">
        <v>534</v>
      </c>
      <c r="C194" s="40" t="s">
        <v>535</v>
      </c>
      <c r="D194" s="57">
        <f t="shared" ref="D194:D257" si="3">$A194</f>
        <v>214</v>
      </c>
    </row>
    <row r="195" spans="1:4">
      <c r="A195" s="53">
        <v>215</v>
      </c>
      <c r="B195" s="40" t="s">
        <v>536</v>
      </c>
      <c r="C195" s="40" t="s">
        <v>537</v>
      </c>
      <c r="D195" s="57">
        <f t="shared" si="3"/>
        <v>215</v>
      </c>
    </row>
    <row r="196" spans="1:4">
      <c r="A196" s="53">
        <v>216</v>
      </c>
      <c r="B196" s="40" t="s">
        <v>538</v>
      </c>
      <c r="C196" s="40" t="s">
        <v>539</v>
      </c>
      <c r="D196" s="57">
        <f t="shared" si="3"/>
        <v>216</v>
      </c>
    </row>
    <row r="197" spans="1:4">
      <c r="A197" s="53">
        <v>217</v>
      </c>
      <c r="B197" s="40" t="s">
        <v>540</v>
      </c>
      <c r="C197" s="40" t="s">
        <v>541</v>
      </c>
      <c r="D197" s="57">
        <f t="shared" si="3"/>
        <v>217</v>
      </c>
    </row>
    <row r="198" spans="1:4">
      <c r="A198" s="53">
        <v>218</v>
      </c>
      <c r="B198" s="40" t="s">
        <v>542</v>
      </c>
      <c r="C198" s="40" t="s">
        <v>1970</v>
      </c>
      <c r="D198" s="57">
        <f t="shared" si="3"/>
        <v>218</v>
      </c>
    </row>
    <row r="199" spans="1:4">
      <c r="A199" s="53">
        <v>219</v>
      </c>
      <c r="B199" s="40" t="s">
        <v>543</v>
      </c>
      <c r="C199" s="40" t="s">
        <v>544</v>
      </c>
      <c r="D199" s="57">
        <f t="shared" si="3"/>
        <v>219</v>
      </c>
    </row>
    <row r="200" spans="1:4">
      <c r="A200" s="53">
        <v>221</v>
      </c>
      <c r="B200" s="40" t="s">
        <v>545</v>
      </c>
      <c r="C200" s="40" t="s">
        <v>546</v>
      </c>
      <c r="D200" s="57">
        <f t="shared" si="3"/>
        <v>221</v>
      </c>
    </row>
    <row r="201" spans="1:4">
      <c r="A201" s="53">
        <v>222</v>
      </c>
      <c r="B201" s="40" t="s">
        <v>547</v>
      </c>
      <c r="C201" s="40" t="s">
        <v>548</v>
      </c>
      <c r="D201" s="57">
        <f t="shared" si="3"/>
        <v>222</v>
      </c>
    </row>
    <row r="202" spans="1:4">
      <c r="A202" s="53">
        <v>223</v>
      </c>
      <c r="B202" s="40" t="s">
        <v>549</v>
      </c>
      <c r="C202" s="40" t="s">
        <v>550</v>
      </c>
      <c r="D202" s="57">
        <f t="shared" si="3"/>
        <v>223</v>
      </c>
    </row>
    <row r="203" spans="1:4">
      <c r="A203" s="53">
        <v>224</v>
      </c>
      <c r="B203" s="40" t="s">
        <v>551</v>
      </c>
      <c r="C203" s="40" t="s">
        <v>552</v>
      </c>
      <c r="D203" s="57">
        <f t="shared" si="3"/>
        <v>224</v>
      </c>
    </row>
    <row r="204" spans="1:4">
      <c r="A204" s="53">
        <v>226</v>
      </c>
      <c r="B204" s="40" t="s">
        <v>553</v>
      </c>
      <c r="C204" s="40" t="s">
        <v>1971</v>
      </c>
      <c r="D204" s="57">
        <f t="shared" si="3"/>
        <v>226</v>
      </c>
    </row>
    <row r="205" spans="1:4">
      <c r="A205" s="53">
        <v>228</v>
      </c>
      <c r="B205" s="40" t="s">
        <v>555</v>
      </c>
      <c r="C205" s="40" t="s">
        <v>556</v>
      </c>
      <c r="D205" s="57">
        <f t="shared" si="3"/>
        <v>228</v>
      </c>
    </row>
    <row r="206" spans="1:4">
      <c r="A206" s="53">
        <v>229</v>
      </c>
      <c r="B206" s="40" t="s">
        <v>2400</v>
      </c>
      <c r="C206" s="40" t="s">
        <v>2401</v>
      </c>
      <c r="D206" s="57">
        <f t="shared" si="3"/>
        <v>229</v>
      </c>
    </row>
    <row r="207" spans="1:4">
      <c r="A207" s="53">
        <v>230</v>
      </c>
      <c r="B207" s="40" t="s">
        <v>145</v>
      </c>
      <c r="C207" s="40" t="s">
        <v>557</v>
      </c>
      <c r="D207" s="57">
        <f t="shared" si="3"/>
        <v>230</v>
      </c>
    </row>
    <row r="208" spans="1:4">
      <c r="A208" s="53">
        <v>231</v>
      </c>
      <c r="B208" s="40" t="s">
        <v>558</v>
      </c>
      <c r="C208" s="40" t="s">
        <v>559</v>
      </c>
      <c r="D208" s="57">
        <f t="shared" si="3"/>
        <v>231</v>
      </c>
    </row>
    <row r="209" spans="1:4">
      <c r="A209" s="53">
        <v>232</v>
      </c>
      <c r="B209" s="40" t="s">
        <v>560</v>
      </c>
      <c r="C209" s="40" t="s">
        <v>561</v>
      </c>
      <c r="D209" s="57">
        <f t="shared" si="3"/>
        <v>232</v>
      </c>
    </row>
    <row r="210" spans="1:4">
      <c r="A210" s="53">
        <v>233</v>
      </c>
      <c r="B210" s="40" t="s">
        <v>168</v>
      </c>
      <c r="C210" s="40" t="s">
        <v>562</v>
      </c>
      <c r="D210" s="57">
        <f t="shared" si="3"/>
        <v>233</v>
      </c>
    </row>
    <row r="211" spans="1:4">
      <c r="A211" s="53">
        <v>234</v>
      </c>
      <c r="B211" s="40" t="s">
        <v>168</v>
      </c>
      <c r="C211" s="40" t="s">
        <v>563</v>
      </c>
      <c r="D211" s="57">
        <f t="shared" si="3"/>
        <v>234</v>
      </c>
    </row>
    <row r="212" spans="1:4">
      <c r="A212" s="53">
        <v>235</v>
      </c>
      <c r="B212" s="40" t="s">
        <v>141</v>
      </c>
      <c r="C212" s="40" t="s">
        <v>564</v>
      </c>
      <c r="D212" s="57">
        <f t="shared" si="3"/>
        <v>235</v>
      </c>
    </row>
    <row r="213" spans="1:4">
      <c r="A213" s="53">
        <v>236</v>
      </c>
      <c r="B213" s="40" t="s">
        <v>565</v>
      </c>
      <c r="C213" s="40" t="s">
        <v>566</v>
      </c>
      <c r="D213" s="57">
        <f t="shared" si="3"/>
        <v>236</v>
      </c>
    </row>
    <row r="214" spans="1:4">
      <c r="A214" s="53">
        <v>237</v>
      </c>
      <c r="B214" s="40" t="s">
        <v>567</v>
      </c>
      <c r="C214" s="40" t="s">
        <v>568</v>
      </c>
      <c r="D214" s="57">
        <f t="shared" si="3"/>
        <v>237</v>
      </c>
    </row>
    <row r="215" spans="1:4">
      <c r="A215" s="53">
        <v>238</v>
      </c>
      <c r="B215" s="40" t="s">
        <v>569</v>
      </c>
      <c r="C215" s="40" t="s">
        <v>570</v>
      </c>
      <c r="D215" s="57">
        <f t="shared" si="3"/>
        <v>238</v>
      </c>
    </row>
    <row r="216" spans="1:4">
      <c r="A216" s="53">
        <v>239</v>
      </c>
      <c r="B216" s="40" t="s">
        <v>571</v>
      </c>
      <c r="C216" s="40" t="s">
        <v>572</v>
      </c>
      <c r="D216" s="57">
        <f t="shared" si="3"/>
        <v>239</v>
      </c>
    </row>
    <row r="217" spans="1:4">
      <c r="A217" s="53">
        <v>240</v>
      </c>
      <c r="B217" s="40" t="s">
        <v>573</v>
      </c>
      <c r="C217" s="40" t="s">
        <v>574</v>
      </c>
      <c r="D217" s="57">
        <f t="shared" si="3"/>
        <v>240</v>
      </c>
    </row>
    <row r="218" spans="1:4">
      <c r="A218" s="53">
        <v>241</v>
      </c>
      <c r="B218" s="40" t="s">
        <v>575</v>
      </c>
      <c r="C218" s="40" t="s">
        <v>576</v>
      </c>
      <c r="D218" s="57">
        <f t="shared" si="3"/>
        <v>241</v>
      </c>
    </row>
    <row r="219" spans="1:4">
      <c r="A219" s="53">
        <v>242</v>
      </c>
      <c r="B219" s="40" t="s">
        <v>158</v>
      </c>
      <c r="C219" s="40" t="s">
        <v>577</v>
      </c>
      <c r="D219" s="57">
        <f t="shared" si="3"/>
        <v>242</v>
      </c>
    </row>
    <row r="220" spans="1:4">
      <c r="A220" s="53">
        <v>243</v>
      </c>
      <c r="B220" s="40" t="s">
        <v>578</v>
      </c>
      <c r="C220" s="40" t="s">
        <v>256</v>
      </c>
      <c r="D220" s="57">
        <f t="shared" si="3"/>
        <v>243</v>
      </c>
    </row>
    <row r="221" spans="1:4">
      <c r="A221" s="53">
        <v>244</v>
      </c>
      <c r="B221" s="40" t="s">
        <v>579</v>
      </c>
      <c r="C221" s="40" t="s">
        <v>580</v>
      </c>
      <c r="D221" s="57">
        <f t="shared" si="3"/>
        <v>244</v>
      </c>
    </row>
    <row r="222" spans="1:4">
      <c r="A222" s="53">
        <v>245</v>
      </c>
      <c r="B222" s="40" t="s">
        <v>2402</v>
      </c>
      <c r="C222" s="40" t="s">
        <v>2403</v>
      </c>
      <c r="D222" s="57">
        <f t="shared" si="3"/>
        <v>245</v>
      </c>
    </row>
    <row r="223" spans="1:4">
      <c r="A223" s="53">
        <v>246</v>
      </c>
      <c r="B223" s="40" t="s">
        <v>581</v>
      </c>
      <c r="C223" s="40" t="s">
        <v>3318</v>
      </c>
      <c r="D223" s="57">
        <f t="shared" si="3"/>
        <v>246</v>
      </c>
    </row>
    <row r="224" spans="1:4">
      <c r="A224" s="53">
        <v>247</v>
      </c>
      <c r="B224" s="40" t="s">
        <v>582</v>
      </c>
      <c r="C224" s="40" t="s">
        <v>1972</v>
      </c>
      <c r="D224" s="57">
        <f t="shared" si="3"/>
        <v>247</v>
      </c>
    </row>
    <row r="225" spans="1:4">
      <c r="A225" s="53">
        <v>248</v>
      </c>
      <c r="B225" s="40" t="s">
        <v>583</v>
      </c>
      <c r="C225" s="40" t="s">
        <v>584</v>
      </c>
      <c r="D225" s="57">
        <f t="shared" si="3"/>
        <v>248</v>
      </c>
    </row>
    <row r="226" spans="1:4">
      <c r="A226" s="53">
        <v>249</v>
      </c>
      <c r="B226" s="40" t="s">
        <v>585</v>
      </c>
      <c r="C226" s="40" t="s">
        <v>1973</v>
      </c>
      <c r="D226" s="57">
        <f t="shared" si="3"/>
        <v>249</v>
      </c>
    </row>
    <row r="227" spans="1:4">
      <c r="A227" s="53">
        <v>250</v>
      </c>
      <c r="B227" s="40" t="s">
        <v>586</v>
      </c>
      <c r="C227" s="40" t="s">
        <v>1974</v>
      </c>
      <c r="D227" s="57">
        <f t="shared" si="3"/>
        <v>250</v>
      </c>
    </row>
    <row r="228" spans="1:4">
      <c r="A228" s="53">
        <v>251</v>
      </c>
      <c r="B228" s="40" t="s">
        <v>78</v>
      </c>
      <c r="C228" s="40" t="s">
        <v>1975</v>
      </c>
      <c r="D228" s="57">
        <f t="shared" si="3"/>
        <v>251</v>
      </c>
    </row>
    <row r="229" spans="1:4">
      <c r="A229" s="53">
        <v>252</v>
      </c>
      <c r="B229" s="40" t="s">
        <v>587</v>
      </c>
      <c r="C229" s="40" t="s">
        <v>588</v>
      </c>
      <c r="D229" s="57">
        <f t="shared" si="3"/>
        <v>252</v>
      </c>
    </row>
    <row r="230" spans="1:4">
      <c r="A230" s="53">
        <v>253</v>
      </c>
      <c r="B230" s="40" t="s">
        <v>589</v>
      </c>
      <c r="C230" s="40" t="s">
        <v>1976</v>
      </c>
      <c r="D230" s="57">
        <f t="shared" si="3"/>
        <v>253</v>
      </c>
    </row>
    <row r="231" spans="1:4">
      <c r="A231" s="53">
        <v>254</v>
      </c>
      <c r="B231" s="40" t="s">
        <v>590</v>
      </c>
      <c r="C231" s="40" t="s">
        <v>591</v>
      </c>
      <c r="D231" s="57">
        <f t="shared" si="3"/>
        <v>254</v>
      </c>
    </row>
    <row r="232" spans="1:4">
      <c r="A232" s="53">
        <v>255</v>
      </c>
      <c r="B232" s="40" t="s">
        <v>592</v>
      </c>
      <c r="C232" s="40" t="s">
        <v>593</v>
      </c>
      <c r="D232" s="57">
        <f t="shared" si="3"/>
        <v>255</v>
      </c>
    </row>
    <row r="233" spans="1:4">
      <c r="A233" s="53">
        <v>256</v>
      </c>
      <c r="B233" s="40" t="s">
        <v>594</v>
      </c>
      <c r="C233" s="40" t="s">
        <v>595</v>
      </c>
      <c r="D233" s="57">
        <f t="shared" si="3"/>
        <v>256</v>
      </c>
    </row>
    <row r="234" spans="1:4">
      <c r="A234" s="53">
        <v>258</v>
      </c>
      <c r="B234" s="40" t="s">
        <v>596</v>
      </c>
      <c r="C234" s="40" t="s">
        <v>597</v>
      </c>
      <c r="D234" s="57">
        <f t="shared" si="3"/>
        <v>258</v>
      </c>
    </row>
    <row r="235" spans="1:4">
      <c r="A235" s="53">
        <v>259</v>
      </c>
      <c r="B235" s="40" t="s">
        <v>598</v>
      </c>
      <c r="C235" s="40" t="s">
        <v>1977</v>
      </c>
      <c r="D235" s="57">
        <f t="shared" si="3"/>
        <v>259</v>
      </c>
    </row>
    <row r="236" spans="1:4">
      <c r="A236" s="53">
        <v>260</v>
      </c>
      <c r="B236" s="40" t="s">
        <v>201</v>
      </c>
      <c r="C236" s="40" t="s">
        <v>599</v>
      </c>
      <c r="D236" s="57">
        <f t="shared" si="3"/>
        <v>260</v>
      </c>
    </row>
    <row r="237" spans="1:4">
      <c r="A237" s="53">
        <v>261</v>
      </c>
      <c r="B237" s="40" t="s">
        <v>600</v>
      </c>
      <c r="C237" s="40" t="s">
        <v>601</v>
      </c>
      <c r="D237" s="57">
        <f t="shared" si="3"/>
        <v>261</v>
      </c>
    </row>
    <row r="238" spans="1:4">
      <c r="A238" s="53">
        <v>262</v>
      </c>
      <c r="B238" s="40" t="s">
        <v>602</v>
      </c>
      <c r="C238" s="40" t="s">
        <v>603</v>
      </c>
      <c r="D238" s="57">
        <f t="shared" si="3"/>
        <v>262</v>
      </c>
    </row>
    <row r="239" spans="1:4">
      <c r="A239" s="53">
        <v>263</v>
      </c>
      <c r="B239" s="40" t="s">
        <v>604</v>
      </c>
      <c r="C239" s="40" t="s">
        <v>605</v>
      </c>
      <c r="D239" s="57">
        <f t="shared" si="3"/>
        <v>263</v>
      </c>
    </row>
    <row r="240" spans="1:4">
      <c r="A240" s="53">
        <v>264</v>
      </c>
      <c r="B240" s="40" t="s">
        <v>606</v>
      </c>
      <c r="C240" s="40" t="s">
        <v>607</v>
      </c>
      <c r="D240" s="57">
        <f t="shared" si="3"/>
        <v>264</v>
      </c>
    </row>
    <row r="241" spans="1:4">
      <c r="A241" s="53">
        <v>265</v>
      </c>
      <c r="B241" s="40" t="s">
        <v>608</v>
      </c>
      <c r="C241" s="40" t="s">
        <v>609</v>
      </c>
      <c r="D241" s="57">
        <f t="shared" si="3"/>
        <v>265</v>
      </c>
    </row>
    <row r="242" spans="1:4">
      <c r="A242" s="53">
        <v>266</v>
      </c>
      <c r="B242" s="40" t="s">
        <v>610</v>
      </c>
      <c r="C242" s="40" t="s">
        <v>611</v>
      </c>
      <c r="D242" s="57">
        <f t="shared" si="3"/>
        <v>266</v>
      </c>
    </row>
    <row r="243" spans="1:4">
      <c r="A243" s="53">
        <v>268</v>
      </c>
      <c r="B243" s="40" t="s">
        <v>612</v>
      </c>
      <c r="C243" s="40" t="s">
        <v>613</v>
      </c>
      <c r="D243" s="57">
        <f t="shared" si="3"/>
        <v>268</v>
      </c>
    </row>
    <row r="244" spans="1:4">
      <c r="A244" s="53">
        <v>269</v>
      </c>
      <c r="B244" s="40" t="s">
        <v>614</v>
      </c>
      <c r="C244" s="40" t="s">
        <v>1978</v>
      </c>
      <c r="D244" s="57">
        <f t="shared" si="3"/>
        <v>269</v>
      </c>
    </row>
    <row r="245" spans="1:4">
      <c r="A245" s="53">
        <v>270</v>
      </c>
      <c r="B245" s="40" t="s">
        <v>615</v>
      </c>
      <c r="C245" s="40" t="s">
        <v>616</v>
      </c>
      <c r="D245" s="57">
        <f t="shared" si="3"/>
        <v>270</v>
      </c>
    </row>
    <row r="246" spans="1:4">
      <c r="A246" s="53">
        <v>271</v>
      </c>
      <c r="B246" s="40" t="s">
        <v>617</v>
      </c>
      <c r="C246" s="40" t="s">
        <v>618</v>
      </c>
      <c r="D246" s="57">
        <f t="shared" si="3"/>
        <v>271</v>
      </c>
    </row>
    <row r="247" spans="1:4">
      <c r="A247" s="53">
        <v>272</v>
      </c>
      <c r="B247" s="40" t="s">
        <v>619</v>
      </c>
      <c r="C247" s="40" t="s">
        <v>620</v>
      </c>
      <c r="D247" s="57">
        <f t="shared" si="3"/>
        <v>272</v>
      </c>
    </row>
    <row r="248" spans="1:4">
      <c r="A248" s="53">
        <v>273</v>
      </c>
      <c r="B248" s="40" t="s">
        <v>621</v>
      </c>
      <c r="C248" s="40" t="s">
        <v>622</v>
      </c>
      <c r="D248" s="57">
        <f t="shared" si="3"/>
        <v>273</v>
      </c>
    </row>
    <row r="249" spans="1:4">
      <c r="A249" s="53">
        <v>274</v>
      </c>
      <c r="B249" s="40" t="s">
        <v>623</v>
      </c>
      <c r="C249" s="40" t="s">
        <v>624</v>
      </c>
      <c r="D249" s="57">
        <f t="shared" si="3"/>
        <v>274</v>
      </c>
    </row>
    <row r="250" spans="1:4">
      <c r="A250" s="53">
        <v>275</v>
      </c>
      <c r="B250" s="40" t="s">
        <v>625</v>
      </c>
      <c r="C250" s="40" t="s">
        <v>626</v>
      </c>
      <c r="D250" s="57">
        <f t="shared" si="3"/>
        <v>275</v>
      </c>
    </row>
    <row r="251" spans="1:4">
      <c r="A251" s="53">
        <v>276</v>
      </c>
      <c r="B251" s="40" t="s">
        <v>81</v>
      </c>
      <c r="C251" s="40" t="s">
        <v>1979</v>
      </c>
      <c r="D251" s="57">
        <f t="shared" si="3"/>
        <v>276</v>
      </c>
    </row>
    <row r="252" spans="1:4">
      <c r="A252" s="53">
        <v>277</v>
      </c>
      <c r="B252" s="40" t="s">
        <v>627</v>
      </c>
      <c r="C252" s="40" t="s">
        <v>628</v>
      </c>
      <c r="D252" s="57">
        <f t="shared" si="3"/>
        <v>277</v>
      </c>
    </row>
    <row r="253" spans="1:4">
      <c r="A253" s="53">
        <v>278</v>
      </c>
      <c r="B253" s="40" t="s">
        <v>629</v>
      </c>
      <c r="C253" s="40" t="s">
        <v>630</v>
      </c>
      <c r="D253" s="57">
        <f t="shared" si="3"/>
        <v>278</v>
      </c>
    </row>
    <row r="254" spans="1:4">
      <c r="A254" s="53">
        <v>279</v>
      </c>
      <c r="B254" s="40" t="s">
        <v>631</v>
      </c>
      <c r="C254" s="40" t="s">
        <v>632</v>
      </c>
      <c r="D254" s="57">
        <f t="shared" si="3"/>
        <v>279</v>
      </c>
    </row>
    <row r="255" spans="1:4">
      <c r="A255" s="53">
        <v>280</v>
      </c>
      <c r="B255" s="40" t="s">
        <v>633</v>
      </c>
      <c r="C255" s="40" t="s">
        <v>634</v>
      </c>
      <c r="D255" s="57">
        <f t="shared" si="3"/>
        <v>280</v>
      </c>
    </row>
    <row r="256" spans="1:4">
      <c r="A256" s="53">
        <v>281</v>
      </c>
      <c r="B256" s="40" t="s">
        <v>635</v>
      </c>
      <c r="C256" s="40" t="s">
        <v>636</v>
      </c>
      <c r="D256" s="57">
        <f t="shared" si="3"/>
        <v>281</v>
      </c>
    </row>
    <row r="257" spans="1:4">
      <c r="A257" s="53">
        <v>282</v>
      </c>
      <c r="B257" s="40" t="s">
        <v>637</v>
      </c>
      <c r="C257" s="40" t="s">
        <v>638</v>
      </c>
      <c r="D257" s="57">
        <f t="shared" si="3"/>
        <v>282</v>
      </c>
    </row>
    <row r="258" spans="1:4">
      <c r="A258" s="53">
        <v>283</v>
      </c>
      <c r="B258" s="40" t="s">
        <v>639</v>
      </c>
      <c r="C258" s="40" t="s">
        <v>640</v>
      </c>
      <c r="D258" s="57">
        <f t="shared" ref="D258:D321" si="4">$A258</f>
        <v>283</v>
      </c>
    </row>
    <row r="259" spans="1:4">
      <c r="A259" s="53">
        <v>284</v>
      </c>
      <c r="B259" s="40" t="s">
        <v>641</v>
      </c>
      <c r="C259" s="40" t="s">
        <v>642</v>
      </c>
      <c r="D259" s="57">
        <f t="shared" si="4"/>
        <v>284</v>
      </c>
    </row>
    <row r="260" spans="1:4">
      <c r="A260" s="53">
        <v>285</v>
      </c>
      <c r="B260" s="40" t="s">
        <v>643</v>
      </c>
      <c r="C260" s="40" t="s">
        <v>645</v>
      </c>
      <c r="D260" s="57">
        <f t="shared" si="4"/>
        <v>285</v>
      </c>
    </row>
    <row r="261" spans="1:4">
      <c r="A261" s="53">
        <v>286</v>
      </c>
      <c r="B261" s="40" t="s">
        <v>644</v>
      </c>
      <c r="C261" s="40" t="s">
        <v>3319</v>
      </c>
      <c r="D261" s="57">
        <f t="shared" si="4"/>
        <v>286</v>
      </c>
    </row>
    <row r="262" spans="1:4">
      <c r="A262" s="53">
        <v>287</v>
      </c>
      <c r="B262" s="40" t="s">
        <v>646</v>
      </c>
      <c r="C262" s="40" t="s">
        <v>647</v>
      </c>
      <c r="D262" s="57">
        <f t="shared" si="4"/>
        <v>287</v>
      </c>
    </row>
    <row r="263" spans="1:4">
      <c r="A263" s="53">
        <v>288</v>
      </c>
      <c r="B263" s="40" t="s">
        <v>152</v>
      </c>
      <c r="C263" s="40" t="s">
        <v>648</v>
      </c>
      <c r="D263" s="57">
        <f t="shared" si="4"/>
        <v>288</v>
      </c>
    </row>
    <row r="264" spans="1:4">
      <c r="A264" s="53">
        <v>289</v>
      </c>
      <c r="B264" s="40" t="s">
        <v>649</v>
      </c>
      <c r="C264" s="40" t="s">
        <v>650</v>
      </c>
      <c r="D264" s="57">
        <f t="shared" si="4"/>
        <v>289</v>
      </c>
    </row>
    <row r="265" spans="1:4">
      <c r="A265" s="53">
        <v>290</v>
      </c>
      <c r="B265" s="40" t="s">
        <v>651</v>
      </c>
      <c r="C265" s="40" t="s">
        <v>3320</v>
      </c>
      <c r="D265" s="57">
        <f t="shared" si="4"/>
        <v>290</v>
      </c>
    </row>
    <row r="266" spans="1:4">
      <c r="A266" s="53">
        <v>291</v>
      </c>
      <c r="B266" s="40" t="s">
        <v>652</v>
      </c>
      <c r="C266" s="40" t="s">
        <v>653</v>
      </c>
      <c r="D266" s="57">
        <f t="shared" si="4"/>
        <v>291</v>
      </c>
    </row>
    <row r="267" spans="1:4">
      <c r="A267" s="53">
        <v>292</v>
      </c>
      <c r="B267" s="40" t="s">
        <v>654</v>
      </c>
      <c r="C267" s="40" t="s">
        <v>655</v>
      </c>
      <c r="D267" s="57">
        <f t="shared" si="4"/>
        <v>292</v>
      </c>
    </row>
    <row r="268" spans="1:4">
      <c r="A268" s="53">
        <v>293</v>
      </c>
      <c r="B268" s="40" t="s">
        <v>656</v>
      </c>
      <c r="C268" s="40" t="s">
        <v>465</v>
      </c>
      <c r="D268" s="57">
        <f t="shared" si="4"/>
        <v>293</v>
      </c>
    </row>
    <row r="269" spans="1:4">
      <c r="A269" s="53">
        <v>294</v>
      </c>
      <c r="B269" s="40" t="s">
        <v>657</v>
      </c>
      <c r="C269" s="40" t="s">
        <v>1980</v>
      </c>
      <c r="D269" s="57">
        <f t="shared" si="4"/>
        <v>294</v>
      </c>
    </row>
    <row r="270" spans="1:4">
      <c r="A270" s="53">
        <v>295</v>
      </c>
      <c r="B270" s="40" t="s">
        <v>658</v>
      </c>
      <c r="C270" s="40" t="s">
        <v>659</v>
      </c>
      <c r="D270" s="57">
        <f t="shared" si="4"/>
        <v>295</v>
      </c>
    </row>
    <row r="271" spans="1:4">
      <c r="A271" s="53">
        <v>296</v>
      </c>
      <c r="B271" s="40" t="s">
        <v>660</v>
      </c>
      <c r="C271" s="40" t="s">
        <v>1981</v>
      </c>
      <c r="D271" s="57">
        <f t="shared" si="4"/>
        <v>296</v>
      </c>
    </row>
    <row r="272" spans="1:4">
      <c r="A272" s="53">
        <v>297</v>
      </c>
      <c r="B272" s="40" t="s">
        <v>661</v>
      </c>
      <c r="C272" s="40" t="s">
        <v>662</v>
      </c>
      <c r="D272" s="57">
        <f t="shared" si="4"/>
        <v>297</v>
      </c>
    </row>
    <row r="273" spans="1:4">
      <c r="A273" s="53">
        <v>298</v>
      </c>
      <c r="B273" s="40" t="s">
        <v>663</v>
      </c>
      <c r="C273" s="40" t="s">
        <v>664</v>
      </c>
      <c r="D273" s="57">
        <f t="shared" si="4"/>
        <v>298</v>
      </c>
    </row>
    <row r="274" spans="1:4">
      <c r="A274" s="53">
        <v>299</v>
      </c>
      <c r="B274" s="40" t="s">
        <v>665</v>
      </c>
      <c r="C274" s="40" t="s">
        <v>666</v>
      </c>
      <c r="D274" s="57">
        <f t="shared" si="4"/>
        <v>299</v>
      </c>
    </row>
    <row r="275" spans="1:4">
      <c r="A275" s="53">
        <v>300</v>
      </c>
      <c r="B275" s="40" t="s">
        <v>667</v>
      </c>
      <c r="C275" s="40" t="s">
        <v>668</v>
      </c>
      <c r="D275" s="57">
        <f t="shared" si="4"/>
        <v>300</v>
      </c>
    </row>
    <row r="276" spans="1:4">
      <c r="A276" s="53">
        <v>301</v>
      </c>
      <c r="B276" s="40" t="s">
        <v>669</v>
      </c>
      <c r="C276" s="40" t="s">
        <v>1982</v>
      </c>
      <c r="D276" s="57">
        <f t="shared" si="4"/>
        <v>301</v>
      </c>
    </row>
    <row r="277" spans="1:4">
      <c r="A277" s="53">
        <v>302</v>
      </c>
      <c r="B277" s="40" t="s">
        <v>670</v>
      </c>
      <c r="C277" s="40" t="s">
        <v>671</v>
      </c>
      <c r="D277" s="57">
        <f t="shared" si="4"/>
        <v>302</v>
      </c>
    </row>
    <row r="278" spans="1:4">
      <c r="A278" s="53">
        <v>303</v>
      </c>
      <c r="B278" s="40" t="s">
        <v>672</v>
      </c>
      <c r="C278" s="40" t="s">
        <v>673</v>
      </c>
      <c r="D278" s="57">
        <f t="shared" si="4"/>
        <v>303</v>
      </c>
    </row>
    <row r="279" spans="1:4">
      <c r="A279" s="53">
        <v>304</v>
      </c>
      <c r="B279" s="40" t="s">
        <v>674</v>
      </c>
      <c r="C279" s="40" t="s">
        <v>1983</v>
      </c>
      <c r="D279" s="57">
        <f t="shared" si="4"/>
        <v>304</v>
      </c>
    </row>
    <row r="280" spans="1:4">
      <c r="A280" s="53">
        <v>305</v>
      </c>
      <c r="B280" s="40" t="s">
        <v>114</v>
      </c>
      <c r="C280" s="40" t="s">
        <v>675</v>
      </c>
      <c r="D280" s="57">
        <f t="shared" si="4"/>
        <v>305</v>
      </c>
    </row>
    <row r="281" spans="1:4">
      <c r="A281" s="53">
        <v>306</v>
      </c>
      <c r="B281" s="40" t="s">
        <v>676</v>
      </c>
      <c r="C281" s="40" t="s">
        <v>677</v>
      </c>
      <c r="D281" s="57">
        <f t="shared" si="4"/>
        <v>306</v>
      </c>
    </row>
    <row r="282" spans="1:4">
      <c r="A282" s="53">
        <v>307</v>
      </c>
      <c r="B282" s="40" t="s">
        <v>678</v>
      </c>
      <c r="C282" s="40" t="s">
        <v>679</v>
      </c>
      <c r="D282" s="57">
        <f t="shared" si="4"/>
        <v>307</v>
      </c>
    </row>
    <row r="283" spans="1:4">
      <c r="A283" s="53">
        <v>308</v>
      </c>
      <c r="B283" s="40" t="s">
        <v>680</v>
      </c>
      <c r="C283" s="40" t="s">
        <v>681</v>
      </c>
      <c r="D283" s="57">
        <f t="shared" si="4"/>
        <v>308</v>
      </c>
    </row>
    <row r="284" spans="1:4">
      <c r="A284" s="53">
        <v>309</v>
      </c>
      <c r="B284" s="40" t="s">
        <v>682</v>
      </c>
      <c r="C284" s="40" t="s">
        <v>1984</v>
      </c>
      <c r="D284" s="57">
        <f t="shared" si="4"/>
        <v>309</v>
      </c>
    </row>
    <row r="285" spans="1:4">
      <c r="A285" s="53">
        <v>310</v>
      </c>
      <c r="B285" s="40" t="s">
        <v>683</v>
      </c>
      <c r="C285" s="40" t="s">
        <v>1985</v>
      </c>
      <c r="D285" s="57">
        <f t="shared" si="4"/>
        <v>310</v>
      </c>
    </row>
    <row r="286" spans="1:4">
      <c r="A286" s="53">
        <v>311</v>
      </c>
      <c r="B286" s="40" t="s">
        <v>684</v>
      </c>
      <c r="C286" s="40" t="s">
        <v>1986</v>
      </c>
      <c r="D286" s="57">
        <f t="shared" si="4"/>
        <v>311</v>
      </c>
    </row>
    <row r="287" spans="1:4">
      <c r="A287" s="53">
        <v>312</v>
      </c>
      <c r="B287" s="40" t="s">
        <v>685</v>
      </c>
      <c r="C287" s="40" t="s">
        <v>686</v>
      </c>
      <c r="D287" s="57">
        <f t="shared" si="4"/>
        <v>312</v>
      </c>
    </row>
    <row r="288" spans="1:4">
      <c r="A288" s="53">
        <v>314</v>
      </c>
      <c r="B288" s="40" t="s">
        <v>687</v>
      </c>
      <c r="C288" s="40" t="s">
        <v>688</v>
      </c>
      <c r="D288" s="57">
        <f t="shared" si="4"/>
        <v>314</v>
      </c>
    </row>
    <row r="289" spans="1:4">
      <c r="A289" s="53">
        <v>315</v>
      </c>
      <c r="B289" s="40" t="s">
        <v>689</v>
      </c>
      <c r="C289" s="40" t="s">
        <v>690</v>
      </c>
      <c r="D289" s="57">
        <f t="shared" si="4"/>
        <v>315</v>
      </c>
    </row>
    <row r="290" spans="1:4">
      <c r="A290" s="53">
        <v>316</v>
      </c>
      <c r="B290" s="40" t="s">
        <v>151</v>
      </c>
      <c r="C290" s="40" t="s">
        <v>691</v>
      </c>
      <c r="D290" s="57">
        <f t="shared" si="4"/>
        <v>316</v>
      </c>
    </row>
    <row r="291" spans="1:4">
      <c r="A291" s="53">
        <v>317</v>
      </c>
      <c r="B291" s="40" t="s">
        <v>692</v>
      </c>
      <c r="C291" s="40" t="s">
        <v>693</v>
      </c>
      <c r="D291" s="57">
        <f t="shared" si="4"/>
        <v>317</v>
      </c>
    </row>
    <row r="292" spans="1:4">
      <c r="A292" s="53">
        <v>318</v>
      </c>
      <c r="B292" s="40" t="s">
        <v>2496</v>
      </c>
      <c r="C292" s="40" t="s">
        <v>2497</v>
      </c>
      <c r="D292" s="57">
        <f t="shared" si="4"/>
        <v>318</v>
      </c>
    </row>
    <row r="293" spans="1:4">
      <c r="A293" s="53">
        <v>319</v>
      </c>
      <c r="B293" s="40" t="s">
        <v>205</v>
      </c>
      <c r="C293" s="40" t="s">
        <v>226</v>
      </c>
      <c r="D293" s="57">
        <f t="shared" si="4"/>
        <v>319</v>
      </c>
    </row>
    <row r="294" spans="1:4">
      <c r="A294" s="53">
        <v>321</v>
      </c>
      <c r="B294" s="40" t="s">
        <v>694</v>
      </c>
      <c r="C294" s="40" t="s">
        <v>695</v>
      </c>
      <c r="D294" s="57">
        <f t="shared" si="4"/>
        <v>321</v>
      </c>
    </row>
    <row r="295" spans="1:4">
      <c r="A295" s="53">
        <v>322</v>
      </c>
      <c r="B295" s="40" t="s">
        <v>696</v>
      </c>
      <c r="C295" s="40" t="s">
        <v>697</v>
      </c>
      <c r="D295" s="57">
        <f t="shared" si="4"/>
        <v>322</v>
      </c>
    </row>
    <row r="296" spans="1:4">
      <c r="A296" s="53">
        <v>323</v>
      </c>
      <c r="B296" s="40" t="s">
        <v>698</v>
      </c>
      <c r="C296" s="40" t="s">
        <v>1987</v>
      </c>
      <c r="D296" s="57">
        <f t="shared" si="4"/>
        <v>323</v>
      </c>
    </row>
    <row r="297" spans="1:4">
      <c r="A297" s="53">
        <v>324</v>
      </c>
      <c r="B297" s="40" t="s">
        <v>699</v>
      </c>
      <c r="C297" s="40" t="s">
        <v>3321</v>
      </c>
      <c r="D297" s="57">
        <f t="shared" si="4"/>
        <v>324</v>
      </c>
    </row>
    <row r="298" spans="1:4">
      <c r="A298" s="53">
        <v>326</v>
      </c>
      <c r="B298" s="40" t="s">
        <v>107</v>
      </c>
      <c r="C298" s="40" t="s">
        <v>700</v>
      </c>
      <c r="D298" s="57">
        <f t="shared" si="4"/>
        <v>326</v>
      </c>
    </row>
    <row r="299" spans="1:4">
      <c r="A299" s="53">
        <v>327</v>
      </c>
      <c r="B299" s="40" t="s">
        <v>701</v>
      </c>
      <c r="C299" s="40" t="s">
        <v>702</v>
      </c>
      <c r="D299" s="57">
        <f t="shared" si="4"/>
        <v>327</v>
      </c>
    </row>
    <row r="300" spans="1:4">
      <c r="A300" s="53">
        <v>329</v>
      </c>
      <c r="B300" s="40" t="s">
        <v>704</v>
      </c>
      <c r="C300" s="40" t="s">
        <v>705</v>
      </c>
      <c r="D300" s="57">
        <f t="shared" si="4"/>
        <v>329</v>
      </c>
    </row>
    <row r="301" spans="1:4">
      <c r="A301" s="53">
        <v>330</v>
      </c>
      <c r="B301" s="40" t="s">
        <v>706</v>
      </c>
      <c r="C301" s="40" t="s">
        <v>707</v>
      </c>
      <c r="D301" s="57">
        <f t="shared" si="4"/>
        <v>330</v>
      </c>
    </row>
    <row r="302" spans="1:4">
      <c r="A302" s="53">
        <v>331</v>
      </c>
      <c r="B302" s="40" t="s">
        <v>708</v>
      </c>
      <c r="C302" s="40" t="s">
        <v>3322</v>
      </c>
      <c r="D302" s="57">
        <f t="shared" si="4"/>
        <v>331</v>
      </c>
    </row>
    <row r="303" spans="1:4">
      <c r="A303" s="53">
        <v>332</v>
      </c>
      <c r="B303" s="40" t="s">
        <v>709</v>
      </c>
      <c r="C303" s="40" t="s">
        <v>3323</v>
      </c>
      <c r="D303" s="57">
        <f t="shared" si="4"/>
        <v>332</v>
      </c>
    </row>
    <row r="304" spans="1:4">
      <c r="A304" s="53">
        <v>333</v>
      </c>
      <c r="B304" s="40" t="s">
        <v>710</v>
      </c>
      <c r="C304" s="40" t="s">
        <v>3324</v>
      </c>
      <c r="D304" s="57">
        <f t="shared" si="4"/>
        <v>333</v>
      </c>
    </row>
    <row r="305" spans="1:4">
      <c r="A305" s="53">
        <v>334</v>
      </c>
      <c r="B305" s="40" t="s">
        <v>711</v>
      </c>
      <c r="C305" s="40" t="s">
        <v>3325</v>
      </c>
      <c r="D305" s="57">
        <f t="shared" si="4"/>
        <v>334</v>
      </c>
    </row>
    <row r="306" spans="1:4">
      <c r="A306" s="53">
        <v>335</v>
      </c>
      <c r="B306" s="40" t="s">
        <v>712</v>
      </c>
      <c r="C306" s="40" t="s">
        <v>3326</v>
      </c>
      <c r="D306" s="57">
        <f t="shared" si="4"/>
        <v>335</v>
      </c>
    </row>
    <row r="307" spans="1:4">
      <c r="A307" s="53">
        <v>336</v>
      </c>
      <c r="B307" s="40" t="s">
        <v>713</v>
      </c>
      <c r="C307" s="40" t="s">
        <v>703</v>
      </c>
      <c r="D307" s="57">
        <f t="shared" si="4"/>
        <v>336</v>
      </c>
    </row>
    <row r="308" spans="1:4">
      <c r="A308" s="53">
        <v>338</v>
      </c>
      <c r="B308" s="40" t="s">
        <v>2498</v>
      </c>
      <c r="C308" s="40" t="s">
        <v>715</v>
      </c>
      <c r="D308" s="57">
        <f t="shared" si="4"/>
        <v>338</v>
      </c>
    </row>
    <row r="309" spans="1:4">
      <c r="A309" s="53">
        <v>339</v>
      </c>
      <c r="B309" s="40" t="s">
        <v>716</v>
      </c>
      <c r="C309" s="40" t="s">
        <v>3327</v>
      </c>
      <c r="D309" s="57">
        <f t="shared" si="4"/>
        <v>339</v>
      </c>
    </row>
    <row r="310" spans="1:4">
      <c r="A310" s="53">
        <v>340</v>
      </c>
      <c r="B310" s="40" t="s">
        <v>717</v>
      </c>
      <c r="C310" s="40" t="s">
        <v>718</v>
      </c>
      <c r="D310" s="57">
        <f t="shared" si="4"/>
        <v>340</v>
      </c>
    </row>
    <row r="311" spans="1:4">
      <c r="A311" s="53">
        <v>341</v>
      </c>
      <c r="B311" s="40" t="s">
        <v>719</v>
      </c>
      <c r="C311" s="40" t="s">
        <v>720</v>
      </c>
      <c r="D311" s="57">
        <f t="shared" si="4"/>
        <v>341</v>
      </c>
    </row>
    <row r="312" spans="1:4">
      <c r="A312" s="53">
        <v>342</v>
      </c>
      <c r="B312" s="40" t="s">
        <v>721</v>
      </c>
      <c r="C312" s="40" t="s">
        <v>1988</v>
      </c>
      <c r="D312" s="57">
        <f t="shared" si="4"/>
        <v>342</v>
      </c>
    </row>
    <row r="313" spans="1:4">
      <c r="A313" s="53">
        <v>343</v>
      </c>
      <c r="B313" s="40" t="s">
        <v>722</v>
      </c>
      <c r="C313" s="40" t="s">
        <v>723</v>
      </c>
      <c r="D313" s="57">
        <f t="shared" si="4"/>
        <v>343</v>
      </c>
    </row>
    <row r="314" spans="1:4">
      <c r="A314" s="53">
        <v>344</v>
      </c>
      <c r="B314" s="40" t="s">
        <v>724</v>
      </c>
      <c r="C314" s="40" t="s">
        <v>1989</v>
      </c>
      <c r="D314" s="57">
        <f t="shared" si="4"/>
        <v>344</v>
      </c>
    </row>
    <row r="315" spans="1:4">
      <c r="A315" s="53">
        <v>345</v>
      </c>
      <c r="B315" s="40" t="s">
        <v>725</v>
      </c>
      <c r="C315" s="40" t="s">
        <v>726</v>
      </c>
      <c r="D315" s="57">
        <f t="shared" si="4"/>
        <v>345</v>
      </c>
    </row>
    <row r="316" spans="1:4">
      <c r="A316" s="53">
        <v>346</v>
      </c>
      <c r="B316" s="40" t="s">
        <v>727</v>
      </c>
      <c r="C316" s="40" t="s">
        <v>728</v>
      </c>
      <c r="D316" s="57">
        <f t="shared" si="4"/>
        <v>346</v>
      </c>
    </row>
    <row r="317" spans="1:4">
      <c r="A317" s="53">
        <v>347</v>
      </c>
      <c r="B317" s="40" t="s">
        <v>729</v>
      </c>
      <c r="C317" s="40" t="s">
        <v>730</v>
      </c>
      <c r="D317" s="57">
        <f t="shared" si="4"/>
        <v>347</v>
      </c>
    </row>
    <row r="318" spans="1:4">
      <c r="A318" s="53">
        <v>348</v>
      </c>
      <c r="B318" s="40" t="s">
        <v>731</v>
      </c>
      <c r="C318" s="40" t="s">
        <v>732</v>
      </c>
      <c r="D318" s="57">
        <f t="shared" si="4"/>
        <v>348</v>
      </c>
    </row>
    <row r="319" spans="1:4">
      <c r="A319" s="53">
        <v>349</v>
      </c>
      <c r="B319" s="40" t="s">
        <v>733</v>
      </c>
      <c r="C319" s="40" t="s">
        <v>734</v>
      </c>
      <c r="D319" s="57">
        <f t="shared" si="4"/>
        <v>349</v>
      </c>
    </row>
    <row r="320" spans="1:4">
      <c r="A320" s="53">
        <v>350</v>
      </c>
      <c r="B320" s="40" t="s">
        <v>735</v>
      </c>
      <c r="C320" s="40" t="s">
        <v>736</v>
      </c>
      <c r="D320" s="57">
        <f t="shared" si="4"/>
        <v>350</v>
      </c>
    </row>
    <row r="321" spans="1:4">
      <c r="A321" s="53">
        <v>351</v>
      </c>
      <c r="B321" s="40" t="s">
        <v>737</v>
      </c>
      <c r="C321" s="40" t="s">
        <v>738</v>
      </c>
      <c r="D321" s="57">
        <f t="shared" si="4"/>
        <v>351</v>
      </c>
    </row>
    <row r="322" spans="1:4">
      <c r="A322" s="53">
        <v>352</v>
      </c>
      <c r="B322" s="40" t="s">
        <v>739</v>
      </c>
      <c r="C322" s="40" t="s">
        <v>740</v>
      </c>
      <c r="D322" s="57">
        <f t="shared" ref="D322:D385" si="5">$A322</f>
        <v>352</v>
      </c>
    </row>
    <row r="323" spans="1:4">
      <c r="A323" s="53">
        <v>353</v>
      </c>
      <c r="B323" s="40" t="s">
        <v>741</v>
      </c>
      <c r="C323" s="40" t="s">
        <v>742</v>
      </c>
      <c r="D323" s="57">
        <f t="shared" si="5"/>
        <v>353</v>
      </c>
    </row>
    <row r="324" spans="1:4">
      <c r="A324" s="53">
        <v>354</v>
      </c>
      <c r="B324" s="40" t="s">
        <v>743</v>
      </c>
      <c r="C324" s="40" t="s">
        <v>744</v>
      </c>
      <c r="D324" s="57">
        <f t="shared" si="5"/>
        <v>354</v>
      </c>
    </row>
    <row r="325" spans="1:4">
      <c r="A325" s="53">
        <v>355</v>
      </c>
      <c r="B325" s="40" t="s">
        <v>745</v>
      </c>
      <c r="C325" s="40" t="s">
        <v>746</v>
      </c>
      <c r="D325" s="57">
        <f t="shared" si="5"/>
        <v>355</v>
      </c>
    </row>
    <row r="326" spans="1:4">
      <c r="A326" s="53">
        <v>357</v>
      </c>
      <c r="B326" s="40" t="s">
        <v>748</v>
      </c>
      <c r="C326" s="40" t="s">
        <v>749</v>
      </c>
      <c r="D326" s="57">
        <f t="shared" si="5"/>
        <v>357</v>
      </c>
    </row>
    <row r="327" spans="1:4">
      <c r="A327" s="53">
        <v>358</v>
      </c>
      <c r="B327" s="40" t="s">
        <v>750</v>
      </c>
      <c r="C327" s="40" t="s">
        <v>751</v>
      </c>
      <c r="D327" s="57">
        <f t="shared" si="5"/>
        <v>358</v>
      </c>
    </row>
    <row r="328" spans="1:4">
      <c r="A328" s="53">
        <v>359</v>
      </c>
      <c r="B328" s="40" t="s">
        <v>752</v>
      </c>
      <c r="C328" s="40" t="s">
        <v>753</v>
      </c>
      <c r="D328" s="57">
        <f t="shared" si="5"/>
        <v>359</v>
      </c>
    </row>
    <row r="329" spans="1:4">
      <c r="A329" s="53">
        <v>360</v>
      </c>
      <c r="B329" s="40" t="s">
        <v>754</v>
      </c>
      <c r="C329" s="40" t="s">
        <v>755</v>
      </c>
      <c r="D329" s="57">
        <f t="shared" si="5"/>
        <v>360</v>
      </c>
    </row>
    <row r="330" spans="1:4">
      <c r="A330" s="53">
        <v>361</v>
      </c>
      <c r="B330" s="40" t="s">
        <v>756</v>
      </c>
      <c r="C330" s="40" t="s">
        <v>757</v>
      </c>
      <c r="D330" s="57">
        <f t="shared" si="5"/>
        <v>361</v>
      </c>
    </row>
    <row r="331" spans="1:4">
      <c r="A331" s="53">
        <v>362</v>
      </c>
      <c r="B331" s="40" t="s">
        <v>758</v>
      </c>
      <c r="C331" s="40" t="s">
        <v>759</v>
      </c>
      <c r="D331" s="57">
        <f t="shared" si="5"/>
        <v>362</v>
      </c>
    </row>
    <row r="332" spans="1:4">
      <c r="A332" s="53">
        <v>363</v>
      </c>
      <c r="B332" s="40" t="s">
        <v>760</v>
      </c>
      <c r="C332" s="40" t="s">
        <v>761</v>
      </c>
      <c r="D332" s="57">
        <f t="shared" si="5"/>
        <v>363</v>
      </c>
    </row>
    <row r="333" spans="1:4">
      <c r="A333" s="53">
        <v>364</v>
      </c>
      <c r="B333" s="40" t="s">
        <v>762</v>
      </c>
      <c r="C333" s="40" t="s">
        <v>763</v>
      </c>
      <c r="D333" s="57">
        <f t="shared" si="5"/>
        <v>364</v>
      </c>
    </row>
    <row r="334" spans="1:4">
      <c r="A334" s="53">
        <v>365</v>
      </c>
      <c r="B334" s="40" t="s">
        <v>764</v>
      </c>
      <c r="C334" s="40" t="s">
        <v>765</v>
      </c>
      <c r="D334" s="57">
        <f t="shared" si="5"/>
        <v>365</v>
      </c>
    </row>
    <row r="335" spans="1:4">
      <c r="A335" s="53">
        <v>366</v>
      </c>
      <c r="B335" s="40" t="s">
        <v>766</v>
      </c>
      <c r="C335" s="40" t="s">
        <v>767</v>
      </c>
      <c r="D335" s="57">
        <f t="shared" si="5"/>
        <v>366</v>
      </c>
    </row>
    <row r="336" spans="1:4">
      <c r="A336" s="53">
        <v>367</v>
      </c>
      <c r="B336" s="40" t="s">
        <v>65</v>
      </c>
      <c r="C336" s="40" t="s">
        <v>768</v>
      </c>
      <c r="D336" s="57">
        <f t="shared" si="5"/>
        <v>367</v>
      </c>
    </row>
    <row r="337" spans="1:4">
      <c r="A337" s="53">
        <v>369</v>
      </c>
      <c r="B337" s="40" t="s">
        <v>769</v>
      </c>
      <c r="C337" s="40" t="s">
        <v>770</v>
      </c>
      <c r="D337" s="57">
        <f t="shared" si="5"/>
        <v>369</v>
      </c>
    </row>
    <row r="338" spans="1:4">
      <c r="A338" s="53">
        <v>370</v>
      </c>
      <c r="B338" s="40" t="s">
        <v>771</v>
      </c>
      <c r="C338" s="40" t="s">
        <v>3328</v>
      </c>
      <c r="D338" s="57">
        <f t="shared" si="5"/>
        <v>370</v>
      </c>
    </row>
    <row r="339" spans="1:4">
      <c r="A339" s="53">
        <v>371</v>
      </c>
      <c r="B339" s="40" t="s">
        <v>2499</v>
      </c>
      <c r="C339" s="40" t="s">
        <v>2500</v>
      </c>
      <c r="D339" s="57">
        <f t="shared" si="5"/>
        <v>371</v>
      </c>
    </row>
    <row r="340" spans="1:4">
      <c r="A340" s="53">
        <v>373</v>
      </c>
      <c r="B340" s="40" t="s">
        <v>3329</v>
      </c>
      <c r="C340" s="40" t="s">
        <v>772</v>
      </c>
      <c r="D340" s="57">
        <f t="shared" si="5"/>
        <v>373</v>
      </c>
    </row>
    <row r="341" spans="1:4">
      <c r="A341" s="53">
        <v>374</v>
      </c>
      <c r="B341" s="40" t="s">
        <v>773</v>
      </c>
      <c r="C341" s="40" t="s">
        <v>774</v>
      </c>
      <c r="D341" s="57">
        <f t="shared" si="5"/>
        <v>374</v>
      </c>
    </row>
    <row r="342" spans="1:4">
      <c r="A342" s="53">
        <v>375</v>
      </c>
      <c r="B342" s="40" t="s">
        <v>775</v>
      </c>
      <c r="C342" s="40" t="s">
        <v>1990</v>
      </c>
      <c r="D342" s="57">
        <f t="shared" si="5"/>
        <v>375</v>
      </c>
    </row>
    <row r="343" spans="1:4">
      <c r="A343" s="53">
        <v>376</v>
      </c>
      <c r="B343" s="40" t="s">
        <v>776</v>
      </c>
      <c r="C343" s="40" t="s">
        <v>777</v>
      </c>
      <c r="D343" s="57">
        <f t="shared" si="5"/>
        <v>376</v>
      </c>
    </row>
    <row r="344" spans="1:4">
      <c r="A344" s="53">
        <v>377</v>
      </c>
      <c r="B344" s="40" t="s">
        <v>778</v>
      </c>
      <c r="C344" s="40" t="s">
        <v>779</v>
      </c>
      <c r="D344" s="57">
        <f t="shared" si="5"/>
        <v>377</v>
      </c>
    </row>
    <row r="345" spans="1:4">
      <c r="A345" s="53">
        <v>378</v>
      </c>
      <c r="B345" s="40" t="s">
        <v>207</v>
      </c>
      <c r="C345" s="40" t="s">
        <v>780</v>
      </c>
      <c r="D345" s="57">
        <f t="shared" si="5"/>
        <v>378</v>
      </c>
    </row>
    <row r="346" spans="1:4">
      <c r="A346" s="53">
        <v>380</v>
      </c>
      <c r="B346" s="40" t="s">
        <v>781</v>
      </c>
      <c r="C346" s="40" t="s">
        <v>782</v>
      </c>
      <c r="D346" s="57">
        <f t="shared" si="5"/>
        <v>380</v>
      </c>
    </row>
    <row r="347" spans="1:4">
      <c r="A347" s="53">
        <v>381</v>
      </c>
      <c r="B347" s="40" t="s">
        <v>783</v>
      </c>
      <c r="C347" s="40" t="s">
        <v>784</v>
      </c>
      <c r="D347" s="57">
        <f t="shared" si="5"/>
        <v>381</v>
      </c>
    </row>
    <row r="348" spans="1:4">
      <c r="A348" s="53">
        <v>382</v>
      </c>
      <c r="B348" s="40" t="s">
        <v>785</v>
      </c>
      <c r="C348" s="40" t="s">
        <v>1991</v>
      </c>
      <c r="D348" s="57">
        <f t="shared" si="5"/>
        <v>382</v>
      </c>
    </row>
    <row r="349" spans="1:4">
      <c r="A349" s="53">
        <v>383</v>
      </c>
      <c r="B349" s="40" t="s">
        <v>786</v>
      </c>
      <c r="C349" s="40" t="s">
        <v>787</v>
      </c>
      <c r="D349" s="57">
        <f t="shared" si="5"/>
        <v>383</v>
      </c>
    </row>
    <row r="350" spans="1:4">
      <c r="A350" s="53">
        <v>384</v>
      </c>
      <c r="B350" s="40" t="s">
        <v>788</v>
      </c>
      <c r="C350" s="40" t="s">
        <v>789</v>
      </c>
      <c r="D350" s="57">
        <f t="shared" si="5"/>
        <v>384</v>
      </c>
    </row>
    <row r="351" spans="1:4">
      <c r="A351" s="53">
        <v>385</v>
      </c>
      <c r="B351" s="40" t="s">
        <v>790</v>
      </c>
      <c r="C351" s="40" t="s">
        <v>791</v>
      </c>
      <c r="D351" s="57">
        <f t="shared" si="5"/>
        <v>385</v>
      </c>
    </row>
    <row r="352" spans="1:4">
      <c r="A352" s="53">
        <v>386</v>
      </c>
      <c r="B352" s="40" t="s">
        <v>792</v>
      </c>
      <c r="C352" s="40" t="s">
        <v>793</v>
      </c>
      <c r="D352" s="57">
        <f t="shared" si="5"/>
        <v>386</v>
      </c>
    </row>
    <row r="353" spans="1:4">
      <c r="A353" s="53">
        <v>387</v>
      </c>
      <c r="B353" s="40" t="s">
        <v>794</v>
      </c>
      <c r="C353" s="40" t="s">
        <v>795</v>
      </c>
      <c r="D353" s="57">
        <f t="shared" si="5"/>
        <v>387</v>
      </c>
    </row>
    <row r="354" spans="1:4">
      <c r="A354" s="53">
        <v>389</v>
      </c>
      <c r="B354" s="40" t="s">
        <v>796</v>
      </c>
      <c r="C354" s="40" t="s">
        <v>797</v>
      </c>
      <c r="D354" s="57">
        <f t="shared" si="5"/>
        <v>389</v>
      </c>
    </row>
    <row r="355" spans="1:4">
      <c r="A355" s="53">
        <v>390</v>
      </c>
      <c r="B355" s="40" t="s">
        <v>798</v>
      </c>
      <c r="C355" s="40" t="s">
        <v>799</v>
      </c>
      <c r="D355" s="57">
        <f t="shared" si="5"/>
        <v>390</v>
      </c>
    </row>
    <row r="356" spans="1:4">
      <c r="A356" s="53">
        <v>391</v>
      </c>
      <c r="B356" s="40" t="s">
        <v>800</v>
      </c>
      <c r="C356" s="40" t="s">
        <v>801</v>
      </c>
      <c r="D356" s="57">
        <f t="shared" si="5"/>
        <v>391</v>
      </c>
    </row>
    <row r="357" spans="1:4">
      <c r="A357" s="53">
        <v>392</v>
      </c>
      <c r="B357" s="40" t="s">
        <v>802</v>
      </c>
      <c r="C357" s="40" t="s">
        <v>1992</v>
      </c>
      <c r="D357" s="57">
        <f t="shared" si="5"/>
        <v>392</v>
      </c>
    </row>
    <row r="358" spans="1:4">
      <c r="A358" s="53">
        <v>393</v>
      </c>
      <c r="B358" s="40" t="s">
        <v>803</v>
      </c>
      <c r="C358" s="40" t="s">
        <v>804</v>
      </c>
      <c r="D358" s="57">
        <f t="shared" si="5"/>
        <v>393</v>
      </c>
    </row>
    <row r="359" spans="1:4">
      <c r="A359" s="53">
        <v>394</v>
      </c>
      <c r="B359" s="40" t="s">
        <v>805</v>
      </c>
      <c r="C359" s="40" t="s">
        <v>806</v>
      </c>
      <c r="D359" s="57">
        <f t="shared" si="5"/>
        <v>394</v>
      </c>
    </row>
    <row r="360" spans="1:4">
      <c r="A360" s="53">
        <v>395</v>
      </c>
      <c r="B360" s="40" t="s">
        <v>807</v>
      </c>
      <c r="C360" s="40" t="s">
        <v>808</v>
      </c>
      <c r="D360" s="57">
        <f t="shared" si="5"/>
        <v>395</v>
      </c>
    </row>
    <row r="361" spans="1:4">
      <c r="A361" s="53">
        <v>396</v>
      </c>
      <c r="B361" s="40" t="s">
        <v>809</v>
      </c>
      <c r="C361" s="40" t="s">
        <v>810</v>
      </c>
      <c r="D361" s="57">
        <f t="shared" si="5"/>
        <v>396</v>
      </c>
    </row>
    <row r="362" spans="1:4">
      <c r="A362" s="53">
        <v>397</v>
      </c>
      <c r="B362" s="40" t="s">
        <v>811</v>
      </c>
      <c r="C362" s="40" t="s">
        <v>812</v>
      </c>
      <c r="D362" s="57">
        <f t="shared" si="5"/>
        <v>397</v>
      </c>
    </row>
    <row r="363" spans="1:4">
      <c r="A363" s="53">
        <v>398</v>
      </c>
      <c r="B363" s="40" t="s">
        <v>813</v>
      </c>
      <c r="C363" s="40" t="s">
        <v>814</v>
      </c>
      <c r="D363" s="57">
        <f t="shared" si="5"/>
        <v>398</v>
      </c>
    </row>
    <row r="364" spans="1:4">
      <c r="A364" s="53">
        <v>400</v>
      </c>
      <c r="B364" s="40" t="s">
        <v>815</v>
      </c>
      <c r="C364" s="40" t="s">
        <v>816</v>
      </c>
      <c r="D364" s="57">
        <f t="shared" si="5"/>
        <v>400</v>
      </c>
    </row>
    <row r="365" spans="1:4">
      <c r="A365" s="53">
        <v>401</v>
      </c>
      <c r="B365" s="40" t="s">
        <v>169</v>
      </c>
      <c r="C365" s="40" t="s">
        <v>817</v>
      </c>
      <c r="D365" s="57">
        <f t="shared" si="5"/>
        <v>401</v>
      </c>
    </row>
    <row r="366" spans="1:4">
      <c r="A366" s="53">
        <v>402</v>
      </c>
      <c r="B366" s="40" t="s">
        <v>132</v>
      </c>
      <c r="C366" s="40" t="s">
        <v>818</v>
      </c>
      <c r="D366" s="57">
        <f t="shared" si="5"/>
        <v>402</v>
      </c>
    </row>
    <row r="367" spans="1:4">
      <c r="A367" s="53">
        <v>403</v>
      </c>
      <c r="B367" s="40" t="s">
        <v>819</v>
      </c>
      <c r="C367" s="40" t="s">
        <v>820</v>
      </c>
      <c r="D367" s="57">
        <f t="shared" si="5"/>
        <v>403</v>
      </c>
    </row>
    <row r="368" spans="1:4">
      <c r="A368" s="53">
        <v>404</v>
      </c>
      <c r="B368" s="40" t="s">
        <v>821</v>
      </c>
      <c r="C368" s="40" t="s">
        <v>2469</v>
      </c>
      <c r="D368" s="57">
        <f t="shared" si="5"/>
        <v>404</v>
      </c>
    </row>
    <row r="369" spans="1:4">
      <c r="A369" s="53">
        <v>405</v>
      </c>
      <c r="B369" s="40" t="s">
        <v>822</v>
      </c>
      <c r="C369" s="40" t="s">
        <v>3330</v>
      </c>
      <c r="D369" s="57">
        <f t="shared" si="5"/>
        <v>405</v>
      </c>
    </row>
    <row r="370" spans="1:4">
      <c r="A370" s="53">
        <v>406</v>
      </c>
      <c r="B370" s="40" t="s">
        <v>823</v>
      </c>
      <c r="C370" s="40" t="s">
        <v>824</v>
      </c>
      <c r="D370" s="57">
        <f t="shared" si="5"/>
        <v>406</v>
      </c>
    </row>
    <row r="371" spans="1:4">
      <c r="A371" s="53">
        <v>407</v>
      </c>
      <c r="B371" s="40" t="s">
        <v>825</v>
      </c>
      <c r="C371" s="40" t="s">
        <v>826</v>
      </c>
      <c r="D371" s="57">
        <f t="shared" si="5"/>
        <v>407</v>
      </c>
    </row>
    <row r="372" spans="1:4">
      <c r="A372" s="53">
        <v>408</v>
      </c>
      <c r="B372" s="40" t="s">
        <v>827</v>
      </c>
      <c r="C372" s="40" t="s">
        <v>828</v>
      </c>
      <c r="D372" s="57">
        <f t="shared" si="5"/>
        <v>408</v>
      </c>
    </row>
    <row r="373" spans="1:4">
      <c r="A373" s="53">
        <v>409</v>
      </c>
      <c r="B373" s="40" t="s">
        <v>829</v>
      </c>
      <c r="C373" s="40" t="s">
        <v>830</v>
      </c>
      <c r="D373" s="57">
        <f t="shared" si="5"/>
        <v>409</v>
      </c>
    </row>
    <row r="374" spans="1:4">
      <c r="A374" s="53">
        <v>410</v>
      </c>
      <c r="B374" s="40" t="s">
        <v>831</v>
      </c>
      <c r="C374" s="40" t="s">
        <v>832</v>
      </c>
      <c r="D374" s="57">
        <f t="shared" si="5"/>
        <v>410</v>
      </c>
    </row>
    <row r="375" spans="1:4">
      <c r="A375" s="53">
        <v>411</v>
      </c>
      <c r="B375" s="40" t="s">
        <v>833</v>
      </c>
      <c r="C375" s="40" t="s">
        <v>1993</v>
      </c>
      <c r="D375" s="57">
        <f t="shared" si="5"/>
        <v>411</v>
      </c>
    </row>
    <row r="376" spans="1:4">
      <c r="A376" s="53">
        <v>413</v>
      </c>
      <c r="B376" s="40" t="s">
        <v>3331</v>
      </c>
      <c r="C376" s="40" t="s">
        <v>1994</v>
      </c>
      <c r="D376" s="57">
        <f t="shared" si="5"/>
        <v>413</v>
      </c>
    </row>
    <row r="377" spans="1:4">
      <c r="A377" s="53">
        <v>414</v>
      </c>
      <c r="B377" s="40" t="s">
        <v>834</v>
      </c>
      <c r="C377" s="40" t="s">
        <v>2501</v>
      </c>
      <c r="D377" s="57">
        <f t="shared" si="5"/>
        <v>414</v>
      </c>
    </row>
    <row r="378" spans="1:4">
      <c r="A378" s="53">
        <v>415</v>
      </c>
      <c r="B378" s="40" t="s">
        <v>835</v>
      </c>
      <c r="C378" s="40" t="s">
        <v>227</v>
      </c>
      <c r="D378" s="57">
        <f t="shared" si="5"/>
        <v>415</v>
      </c>
    </row>
    <row r="379" spans="1:4">
      <c r="A379" s="53">
        <v>416</v>
      </c>
      <c r="B379" s="40" t="s">
        <v>836</v>
      </c>
      <c r="C379" s="40" t="s">
        <v>837</v>
      </c>
      <c r="D379" s="57">
        <f t="shared" si="5"/>
        <v>416</v>
      </c>
    </row>
    <row r="380" spans="1:4">
      <c r="A380" s="53">
        <v>417</v>
      </c>
      <c r="B380" s="40" t="s">
        <v>838</v>
      </c>
      <c r="C380" s="40" t="s">
        <v>839</v>
      </c>
      <c r="D380" s="57">
        <f t="shared" si="5"/>
        <v>417</v>
      </c>
    </row>
    <row r="381" spans="1:4">
      <c r="A381" s="53">
        <v>418</v>
      </c>
      <c r="B381" s="40" t="s">
        <v>840</v>
      </c>
      <c r="C381" s="40" t="s">
        <v>2502</v>
      </c>
      <c r="D381" s="57">
        <f t="shared" si="5"/>
        <v>418</v>
      </c>
    </row>
    <row r="382" spans="1:4">
      <c r="A382" s="53">
        <v>419</v>
      </c>
      <c r="B382" s="40" t="s">
        <v>841</v>
      </c>
      <c r="C382" s="40" t="s">
        <v>842</v>
      </c>
      <c r="D382" s="57">
        <f t="shared" si="5"/>
        <v>419</v>
      </c>
    </row>
    <row r="383" spans="1:4">
      <c r="A383" s="53">
        <v>420</v>
      </c>
      <c r="B383" s="40" t="s">
        <v>843</v>
      </c>
      <c r="C383" s="40" t="s">
        <v>844</v>
      </c>
      <c r="D383" s="57">
        <f t="shared" si="5"/>
        <v>420</v>
      </c>
    </row>
    <row r="384" spans="1:4">
      <c r="A384" s="53">
        <v>421</v>
      </c>
      <c r="B384" s="40" t="s">
        <v>845</v>
      </c>
      <c r="C384" s="40" t="s">
        <v>846</v>
      </c>
      <c r="D384" s="57">
        <f t="shared" si="5"/>
        <v>421</v>
      </c>
    </row>
    <row r="385" spans="1:4">
      <c r="A385" s="53">
        <v>422</v>
      </c>
      <c r="B385" s="40" t="s">
        <v>847</v>
      </c>
      <c r="C385" s="40" t="s">
        <v>1996</v>
      </c>
      <c r="D385" s="57">
        <f t="shared" si="5"/>
        <v>422</v>
      </c>
    </row>
    <row r="386" spans="1:4">
      <c r="A386" s="53">
        <v>423</v>
      </c>
      <c r="B386" s="40" t="s">
        <v>848</v>
      </c>
      <c r="C386" s="40" t="s">
        <v>849</v>
      </c>
      <c r="D386" s="57">
        <f t="shared" ref="D386:D449" si="6">$A386</f>
        <v>423</v>
      </c>
    </row>
    <row r="387" spans="1:4">
      <c r="A387" s="53">
        <v>424</v>
      </c>
      <c r="B387" s="40" t="s">
        <v>850</v>
      </c>
      <c r="C387" s="40" t="s">
        <v>851</v>
      </c>
      <c r="D387" s="57">
        <f t="shared" si="6"/>
        <v>424</v>
      </c>
    </row>
    <row r="388" spans="1:4">
      <c r="A388" s="53">
        <v>425</v>
      </c>
      <c r="B388" s="40" t="s">
        <v>852</v>
      </c>
      <c r="C388" s="40" t="s">
        <v>1995</v>
      </c>
      <c r="D388" s="57">
        <f t="shared" si="6"/>
        <v>425</v>
      </c>
    </row>
    <row r="389" spans="1:4">
      <c r="A389" s="53">
        <v>426</v>
      </c>
      <c r="B389" s="40" t="s">
        <v>853</v>
      </c>
      <c r="C389" s="40" t="s">
        <v>854</v>
      </c>
      <c r="D389" s="57">
        <f t="shared" si="6"/>
        <v>426</v>
      </c>
    </row>
    <row r="390" spans="1:4">
      <c r="A390" s="53">
        <v>427</v>
      </c>
      <c r="B390" s="40" t="s">
        <v>203</v>
      </c>
      <c r="C390" s="40" t="s">
        <v>855</v>
      </c>
      <c r="D390" s="57">
        <f t="shared" si="6"/>
        <v>427</v>
      </c>
    </row>
    <row r="391" spans="1:4">
      <c r="A391" s="53">
        <v>428</v>
      </c>
      <c r="B391" s="40" t="s">
        <v>856</v>
      </c>
      <c r="C391" s="40" t="s">
        <v>857</v>
      </c>
      <c r="D391" s="57">
        <f t="shared" si="6"/>
        <v>428</v>
      </c>
    </row>
    <row r="392" spans="1:4">
      <c r="A392" s="53">
        <v>429</v>
      </c>
      <c r="B392" s="40" t="s">
        <v>858</v>
      </c>
      <c r="C392" s="40" t="s">
        <v>859</v>
      </c>
      <c r="D392" s="57">
        <f t="shared" si="6"/>
        <v>429</v>
      </c>
    </row>
    <row r="393" spans="1:4">
      <c r="A393" s="53">
        <v>430</v>
      </c>
      <c r="B393" s="40" t="s">
        <v>860</v>
      </c>
      <c r="C393" s="40" t="s">
        <v>861</v>
      </c>
      <c r="D393" s="57">
        <f t="shared" si="6"/>
        <v>430</v>
      </c>
    </row>
    <row r="394" spans="1:4">
      <c r="A394" s="53">
        <v>431</v>
      </c>
      <c r="B394" s="40" t="s">
        <v>862</v>
      </c>
      <c r="C394" s="40" t="s">
        <v>863</v>
      </c>
      <c r="D394" s="57">
        <f t="shared" si="6"/>
        <v>431</v>
      </c>
    </row>
    <row r="395" spans="1:4">
      <c r="A395" s="53">
        <v>432</v>
      </c>
      <c r="B395" s="40" t="s">
        <v>2503</v>
      </c>
      <c r="C395" s="40" t="s">
        <v>2504</v>
      </c>
      <c r="D395" s="57">
        <f t="shared" si="6"/>
        <v>432</v>
      </c>
    </row>
    <row r="396" spans="1:4">
      <c r="A396" s="53">
        <v>433</v>
      </c>
      <c r="B396" s="40" t="s">
        <v>864</v>
      </c>
      <c r="C396" s="40" t="s">
        <v>1997</v>
      </c>
      <c r="D396" s="57">
        <f t="shared" si="6"/>
        <v>433</v>
      </c>
    </row>
    <row r="397" spans="1:4">
      <c r="A397" s="53">
        <v>434</v>
      </c>
      <c r="B397" s="40" t="s">
        <v>865</v>
      </c>
      <c r="C397" s="40" t="s">
        <v>866</v>
      </c>
      <c r="D397" s="57">
        <f t="shared" si="6"/>
        <v>434</v>
      </c>
    </row>
    <row r="398" spans="1:4">
      <c r="A398" s="53">
        <v>435</v>
      </c>
      <c r="B398" s="40" t="s">
        <v>867</v>
      </c>
      <c r="C398" s="40" t="s">
        <v>868</v>
      </c>
      <c r="D398" s="57">
        <f t="shared" si="6"/>
        <v>435</v>
      </c>
    </row>
    <row r="399" spans="1:4">
      <c r="A399" s="53">
        <v>436</v>
      </c>
      <c r="B399" s="40" t="s">
        <v>869</v>
      </c>
      <c r="C399" s="40" t="s">
        <v>870</v>
      </c>
      <c r="D399" s="57">
        <f t="shared" si="6"/>
        <v>436</v>
      </c>
    </row>
    <row r="400" spans="1:4">
      <c r="A400" s="53">
        <v>437</v>
      </c>
      <c r="B400" s="40" t="s">
        <v>871</v>
      </c>
      <c r="C400" s="40" t="s">
        <v>1998</v>
      </c>
      <c r="D400" s="57">
        <f t="shared" si="6"/>
        <v>437</v>
      </c>
    </row>
    <row r="401" spans="1:4">
      <c r="A401" s="53">
        <v>438</v>
      </c>
      <c r="B401" s="40" t="s">
        <v>872</v>
      </c>
      <c r="C401" s="40" t="s">
        <v>873</v>
      </c>
      <c r="D401" s="57">
        <f t="shared" si="6"/>
        <v>438</v>
      </c>
    </row>
    <row r="402" spans="1:4">
      <c r="A402" s="53">
        <v>439</v>
      </c>
      <c r="B402" s="40" t="s">
        <v>874</v>
      </c>
      <c r="C402" s="40" t="s">
        <v>875</v>
      </c>
      <c r="D402" s="57">
        <f t="shared" si="6"/>
        <v>439</v>
      </c>
    </row>
    <row r="403" spans="1:4">
      <c r="A403" s="53">
        <v>440</v>
      </c>
      <c r="B403" s="40" t="s">
        <v>876</v>
      </c>
      <c r="C403" s="40" t="s">
        <v>877</v>
      </c>
      <c r="D403" s="57">
        <f t="shared" si="6"/>
        <v>440</v>
      </c>
    </row>
    <row r="404" spans="1:4">
      <c r="A404" s="53">
        <v>441</v>
      </c>
      <c r="B404" s="40" t="s">
        <v>878</v>
      </c>
      <c r="C404" s="40" t="s">
        <v>879</v>
      </c>
      <c r="D404" s="57">
        <f t="shared" si="6"/>
        <v>441</v>
      </c>
    </row>
    <row r="405" spans="1:4">
      <c r="A405" s="53">
        <v>442</v>
      </c>
      <c r="B405" s="40" t="s">
        <v>880</v>
      </c>
      <c r="C405" s="40" t="s">
        <v>881</v>
      </c>
      <c r="D405" s="57">
        <f t="shared" si="6"/>
        <v>442</v>
      </c>
    </row>
    <row r="406" spans="1:4">
      <c r="A406" s="53">
        <v>443</v>
      </c>
      <c r="B406" s="40" t="s">
        <v>882</v>
      </c>
      <c r="C406" s="59" t="s">
        <v>2505</v>
      </c>
      <c r="D406" s="57">
        <f t="shared" si="6"/>
        <v>443</v>
      </c>
    </row>
    <row r="407" spans="1:4">
      <c r="A407" s="53">
        <v>445</v>
      </c>
      <c r="B407" s="40" t="s">
        <v>883</v>
      </c>
      <c r="C407" s="40" t="s">
        <v>227</v>
      </c>
      <c r="D407" s="57">
        <f t="shared" si="6"/>
        <v>445</v>
      </c>
    </row>
    <row r="408" spans="1:4">
      <c r="A408" s="53">
        <v>446</v>
      </c>
      <c r="B408" s="40" t="s">
        <v>884</v>
      </c>
      <c r="C408" s="40" t="s">
        <v>885</v>
      </c>
      <c r="D408" s="57">
        <f t="shared" si="6"/>
        <v>446</v>
      </c>
    </row>
    <row r="409" spans="1:4">
      <c r="A409" s="53">
        <v>447</v>
      </c>
      <c r="B409" s="40" t="s">
        <v>886</v>
      </c>
      <c r="C409" s="40" t="s">
        <v>887</v>
      </c>
      <c r="D409" s="57">
        <f t="shared" si="6"/>
        <v>447</v>
      </c>
    </row>
    <row r="410" spans="1:4">
      <c r="A410" s="53">
        <v>448</v>
      </c>
      <c r="B410" s="40" t="s">
        <v>888</v>
      </c>
      <c r="C410" s="40" t="s">
        <v>1999</v>
      </c>
      <c r="D410" s="57">
        <f t="shared" si="6"/>
        <v>448</v>
      </c>
    </row>
    <row r="411" spans="1:4">
      <c r="A411" s="53">
        <v>449</v>
      </c>
      <c r="B411" s="40" t="s">
        <v>889</v>
      </c>
      <c r="C411" s="40" t="s">
        <v>3332</v>
      </c>
      <c r="D411" s="57">
        <f t="shared" si="6"/>
        <v>449</v>
      </c>
    </row>
    <row r="412" spans="1:4">
      <c r="A412" s="53">
        <v>450</v>
      </c>
      <c r="B412" s="40" t="s">
        <v>890</v>
      </c>
      <c r="C412" s="40" t="s">
        <v>2000</v>
      </c>
      <c r="D412" s="57">
        <f t="shared" si="6"/>
        <v>450</v>
      </c>
    </row>
    <row r="413" spans="1:4">
      <c r="A413" s="53">
        <v>451</v>
      </c>
      <c r="B413" s="40" t="s">
        <v>891</v>
      </c>
      <c r="C413" s="40" t="s">
        <v>892</v>
      </c>
      <c r="D413" s="57">
        <f t="shared" si="6"/>
        <v>451</v>
      </c>
    </row>
    <row r="414" spans="1:4">
      <c r="A414" s="53">
        <v>452</v>
      </c>
      <c r="B414" s="40" t="s">
        <v>893</v>
      </c>
      <c r="C414" s="40" t="s">
        <v>894</v>
      </c>
      <c r="D414" s="57">
        <f t="shared" si="6"/>
        <v>452</v>
      </c>
    </row>
    <row r="415" spans="1:4">
      <c r="A415" s="53">
        <v>453</v>
      </c>
      <c r="B415" s="40" t="s">
        <v>895</v>
      </c>
      <c r="C415" s="40" t="s">
        <v>896</v>
      </c>
      <c r="D415" s="57">
        <f t="shared" si="6"/>
        <v>453</v>
      </c>
    </row>
    <row r="416" spans="1:4">
      <c r="A416" s="53">
        <v>454</v>
      </c>
      <c r="B416" s="40" t="s">
        <v>897</v>
      </c>
      <c r="C416" s="40" t="s">
        <v>898</v>
      </c>
      <c r="D416" s="57">
        <f t="shared" si="6"/>
        <v>454</v>
      </c>
    </row>
    <row r="417" spans="1:4">
      <c r="A417" s="53">
        <v>455</v>
      </c>
      <c r="B417" s="40" t="s">
        <v>899</v>
      </c>
      <c r="C417" s="40" t="s">
        <v>900</v>
      </c>
      <c r="D417" s="57">
        <f t="shared" si="6"/>
        <v>455</v>
      </c>
    </row>
    <row r="418" spans="1:4">
      <c r="A418" s="53">
        <v>456</v>
      </c>
      <c r="B418" s="40" t="s">
        <v>901</v>
      </c>
      <c r="C418" s="40" t="s">
        <v>902</v>
      </c>
      <c r="D418" s="57">
        <f t="shared" si="6"/>
        <v>456</v>
      </c>
    </row>
    <row r="419" spans="1:4">
      <c r="A419" s="53">
        <v>457</v>
      </c>
      <c r="B419" s="40" t="s">
        <v>164</v>
      </c>
      <c r="C419" s="40" t="s">
        <v>903</v>
      </c>
      <c r="D419" s="57">
        <f t="shared" si="6"/>
        <v>457</v>
      </c>
    </row>
    <row r="420" spans="1:4">
      <c r="A420" s="53">
        <v>458</v>
      </c>
      <c r="B420" s="40" t="s">
        <v>904</v>
      </c>
      <c r="C420" s="40" t="s">
        <v>2001</v>
      </c>
      <c r="D420" s="57">
        <f t="shared" si="6"/>
        <v>458</v>
      </c>
    </row>
    <row r="421" spans="1:4">
      <c r="A421" s="53">
        <v>459</v>
      </c>
      <c r="B421" s="40" t="s">
        <v>905</v>
      </c>
      <c r="C421" s="40" t="s">
        <v>906</v>
      </c>
      <c r="D421" s="57">
        <f t="shared" si="6"/>
        <v>459</v>
      </c>
    </row>
    <row r="422" spans="1:4">
      <c r="A422" s="53">
        <v>460</v>
      </c>
      <c r="B422" s="40" t="s">
        <v>907</v>
      </c>
      <c r="C422" s="40" t="s">
        <v>908</v>
      </c>
      <c r="D422" s="57">
        <f t="shared" si="6"/>
        <v>460</v>
      </c>
    </row>
    <row r="423" spans="1:4">
      <c r="A423" s="53">
        <v>461</v>
      </c>
      <c r="B423" s="40" t="s">
        <v>111</v>
      </c>
      <c r="C423" s="40" t="s">
        <v>909</v>
      </c>
      <c r="D423" s="57">
        <f t="shared" si="6"/>
        <v>461</v>
      </c>
    </row>
    <row r="424" spans="1:4">
      <c r="A424" s="53">
        <v>462</v>
      </c>
      <c r="B424" s="40" t="s">
        <v>910</v>
      </c>
      <c r="C424" s="40" t="s">
        <v>911</v>
      </c>
      <c r="D424" s="57">
        <f t="shared" si="6"/>
        <v>462</v>
      </c>
    </row>
    <row r="425" spans="1:4">
      <c r="A425" s="53">
        <v>463</v>
      </c>
      <c r="B425" s="40" t="s">
        <v>912</v>
      </c>
      <c r="C425" s="40" t="s">
        <v>913</v>
      </c>
      <c r="D425" s="57">
        <f t="shared" si="6"/>
        <v>463</v>
      </c>
    </row>
    <row r="426" spans="1:4">
      <c r="A426" s="53">
        <v>464</v>
      </c>
      <c r="B426" s="40" t="s">
        <v>914</v>
      </c>
      <c r="C426" s="40" t="s">
        <v>2002</v>
      </c>
      <c r="D426" s="57">
        <f t="shared" si="6"/>
        <v>464</v>
      </c>
    </row>
    <row r="427" spans="1:4">
      <c r="A427" s="53">
        <v>465</v>
      </c>
      <c r="B427" s="40" t="s">
        <v>915</v>
      </c>
      <c r="C427" s="40" t="s">
        <v>916</v>
      </c>
      <c r="D427" s="57">
        <f t="shared" si="6"/>
        <v>465</v>
      </c>
    </row>
    <row r="428" spans="1:4">
      <c r="A428" s="53">
        <v>466</v>
      </c>
      <c r="B428" s="40" t="s">
        <v>76</v>
      </c>
      <c r="C428" s="40" t="s">
        <v>3333</v>
      </c>
      <c r="D428" s="57">
        <f t="shared" si="6"/>
        <v>466</v>
      </c>
    </row>
    <row r="429" spans="1:4">
      <c r="A429" s="53">
        <v>467</v>
      </c>
      <c r="B429" s="40" t="s">
        <v>917</v>
      </c>
      <c r="C429" s="40" t="s">
        <v>918</v>
      </c>
      <c r="D429" s="57">
        <f t="shared" si="6"/>
        <v>467</v>
      </c>
    </row>
    <row r="430" spans="1:4">
      <c r="A430" s="53">
        <v>469</v>
      </c>
      <c r="B430" s="40" t="s">
        <v>920</v>
      </c>
      <c r="C430" s="40" t="s">
        <v>3334</v>
      </c>
      <c r="D430" s="57">
        <f t="shared" si="6"/>
        <v>469</v>
      </c>
    </row>
    <row r="431" spans="1:4">
      <c r="A431" s="53">
        <v>470</v>
      </c>
      <c r="B431" s="40" t="s">
        <v>103</v>
      </c>
      <c r="C431" s="40" t="s">
        <v>921</v>
      </c>
      <c r="D431" s="57">
        <f t="shared" si="6"/>
        <v>470</v>
      </c>
    </row>
    <row r="432" spans="1:4">
      <c r="A432" s="53">
        <v>471</v>
      </c>
      <c r="B432" s="40" t="s">
        <v>922</v>
      </c>
      <c r="C432" s="40" t="s">
        <v>923</v>
      </c>
      <c r="D432" s="57">
        <f t="shared" si="6"/>
        <v>471</v>
      </c>
    </row>
    <row r="433" spans="1:4">
      <c r="A433" s="53">
        <v>472</v>
      </c>
      <c r="B433" s="40" t="s">
        <v>924</v>
      </c>
      <c r="C433" s="40" t="s">
        <v>925</v>
      </c>
      <c r="D433" s="57">
        <f t="shared" si="6"/>
        <v>472</v>
      </c>
    </row>
    <row r="434" spans="1:4">
      <c r="A434" s="53">
        <v>473</v>
      </c>
      <c r="B434" s="40" t="s">
        <v>926</v>
      </c>
      <c r="C434" s="40" t="s">
        <v>927</v>
      </c>
      <c r="D434" s="57">
        <f t="shared" si="6"/>
        <v>473</v>
      </c>
    </row>
    <row r="435" spans="1:4">
      <c r="A435" s="53">
        <v>474</v>
      </c>
      <c r="B435" s="40" t="s">
        <v>148</v>
      </c>
      <c r="C435" s="40" t="s">
        <v>928</v>
      </c>
      <c r="D435" s="57">
        <f t="shared" si="6"/>
        <v>474</v>
      </c>
    </row>
    <row r="436" spans="1:4">
      <c r="A436" s="53">
        <v>476</v>
      </c>
      <c r="B436" s="40" t="s">
        <v>929</v>
      </c>
      <c r="C436" s="40" t="s">
        <v>930</v>
      </c>
      <c r="D436" s="57">
        <f t="shared" si="6"/>
        <v>476</v>
      </c>
    </row>
    <row r="437" spans="1:4">
      <c r="A437" s="53">
        <v>478</v>
      </c>
      <c r="B437" s="40" t="s">
        <v>931</v>
      </c>
      <c r="C437" s="40" t="s">
        <v>932</v>
      </c>
      <c r="D437" s="57">
        <f t="shared" si="6"/>
        <v>478</v>
      </c>
    </row>
    <row r="438" spans="1:4">
      <c r="A438" s="53">
        <v>480</v>
      </c>
      <c r="B438" s="40" t="s">
        <v>933</v>
      </c>
      <c r="C438" s="40" t="s">
        <v>934</v>
      </c>
      <c r="D438" s="57">
        <f t="shared" si="6"/>
        <v>480</v>
      </c>
    </row>
    <row r="439" spans="1:4">
      <c r="A439" s="53">
        <v>482</v>
      </c>
      <c r="B439" s="40" t="s">
        <v>165</v>
      </c>
      <c r="C439" s="40" t="s">
        <v>935</v>
      </c>
      <c r="D439" s="57">
        <f t="shared" si="6"/>
        <v>482</v>
      </c>
    </row>
    <row r="440" spans="1:4">
      <c r="A440" s="53">
        <v>483</v>
      </c>
      <c r="B440" s="40" t="s">
        <v>936</v>
      </c>
      <c r="C440" s="40" t="s">
        <v>937</v>
      </c>
      <c r="D440" s="57">
        <f t="shared" si="6"/>
        <v>483</v>
      </c>
    </row>
    <row r="441" spans="1:4">
      <c r="A441" s="53">
        <v>484</v>
      </c>
      <c r="B441" s="40" t="s">
        <v>938</v>
      </c>
      <c r="C441" s="40" t="s">
        <v>939</v>
      </c>
      <c r="D441" s="57">
        <f t="shared" si="6"/>
        <v>484</v>
      </c>
    </row>
    <row r="442" spans="1:4">
      <c r="A442" s="53">
        <v>485</v>
      </c>
      <c r="B442" s="40" t="s">
        <v>144</v>
      </c>
      <c r="C442" s="40" t="s">
        <v>940</v>
      </c>
      <c r="D442" s="57">
        <f t="shared" si="6"/>
        <v>485</v>
      </c>
    </row>
    <row r="443" spans="1:4">
      <c r="A443" s="53">
        <v>486</v>
      </c>
      <c r="B443" s="40" t="s">
        <v>139</v>
      </c>
      <c r="C443" s="40" t="s">
        <v>941</v>
      </c>
      <c r="D443" s="57">
        <f t="shared" si="6"/>
        <v>486</v>
      </c>
    </row>
    <row r="444" spans="1:4">
      <c r="A444" s="53">
        <v>488</v>
      </c>
      <c r="B444" s="40" t="s">
        <v>942</v>
      </c>
      <c r="C444" s="40" t="s">
        <v>943</v>
      </c>
      <c r="D444" s="57">
        <f t="shared" si="6"/>
        <v>488</v>
      </c>
    </row>
    <row r="445" spans="1:4">
      <c r="A445" s="53">
        <v>489</v>
      </c>
      <c r="B445" s="40" t="s">
        <v>944</v>
      </c>
      <c r="C445" s="40" t="s">
        <v>945</v>
      </c>
      <c r="D445" s="57">
        <f t="shared" si="6"/>
        <v>489</v>
      </c>
    </row>
    <row r="446" spans="1:4">
      <c r="A446" s="53">
        <v>490</v>
      </c>
      <c r="B446" s="40" t="s">
        <v>946</v>
      </c>
      <c r="C446" s="40" t="s">
        <v>2003</v>
      </c>
      <c r="D446" s="57">
        <f t="shared" si="6"/>
        <v>490</v>
      </c>
    </row>
    <row r="447" spans="1:4">
      <c r="A447" s="53">
        <v>491</v>
      </c>
      <c r="B447" s="40" t="s">
        <v>171</v>
      </c>
      <c r="C447" s="40" t="s">
        <v>947</v>
      </c>
      <c r="D447" s="57">
        <f t="shared" si="6"/>
        <v>491</v>
      </c>
    </row>
    <row r="448" spans="1:4">
      <c r="A448" s="53">
        <v>492</v>
      </c>
      <c r="B448" s="40" t="s">
        <v>948</v>
      </c>
      <c r="C448" s="40" t="s">
        <v>949</v>
      </c>
      <c r="D448" s="57">
        <f t="shared" si="6"/>
        <v>492</v>
      </c>
    </row>
    <row r="449" spans="1:4">
      <c r="A449" s="53">
        <v>493</v>
      </c>
      <c r="B449" s="40" t="s">
        <v>950</v>
      </c>
      <c r="C449" s="40" t="s">
        <v>951</v>
      </c>
      <c r="D449" s="57">
        <f t="shared" si="6"/>
        <v>493</v>
      </c>
    </row>
    <row r="450" spans="1:4">
      <c r="A450" s="53">
        <v>494</v>
      </c>
      <c r="B450" s="40" t="s">
        <v>952</v>
      </c>
      <c r="C450" s="40" t="s">
        <v>953</v>
      </c>
      <c r="D450" s="57">
        <f t="shared" ref="D450:D513" si="7">$A450</f>
        <v>494</v>
      </c>
    </row>
    <row r="451" spans="1:4">
      <c r="A451" s="53">
        <v>495</v>
      </c>
      <c r="B451" s="40" t="s">
        <v>954</v>
      </c>
      <c r="C451" s="40" t="s">
        <v>955</v>
      </c>
      <c r="D451" s="57">
        <f t="shared" si="7"/>
        <v>495</v>
      </c>
    </row>
    <row r="452" spans="1:4">
      <c r="A452" s="53">
        <v>496</v>
      </c>
      <c r="B452" s="40" t="s">
        <v>956</v>
      </c>
      <c r="C452" s="40" t="s">
        <v>957</v>
      </c>
      <c r="D452" s="57">
        <f t="shared" si="7"/>
        <v>496</v>
      </c>
    </row>
    <row r="453" spans="1:4">
      <c r="A453" s="53">
        <v>497</v>
      </c>
      <c r="B453" s="40" t="s">
        <v>958</v>
      </c>
      <c r="C453" s="40" t="s">
        <v>959</v>
      </c>
      <c r="D453" s="57">
        <f t="shared" si="7"/>
        <v>497</v>
      </c>
    </row>
    <row r="454" spans="1:4">
      <c r="A454" s="53">
        <v>498</v>
      </c>
      <c r="B454" s="40" t="s">
        <v>960</v>
      </c>
      <c r="C454" s="40" t="s">
        <v>961</v>
      </c>
      <c r="D454" s="57">
        <f t="shared" si="7"/>
        <v>498</v>
      </c>
    </row>
    <row r="455" spans="1:4">
      <c r="A455" s="53">
        <v>499</v>
      </c>
      <c r="B455" s="40" t="s">
        <v>962</v>
      </c>
      <c r="C455" s="40" t="s">
        <v>963</v>
      </c>
      <c r="D455" s="57">
        <f t="shared" si="7"/>
        <v>499</v>
      </c>
    </row>
    <row r="456" spans="1:4">
      <c r="A456" s="53">
        <v>500</v>
      </c>
      <c r="B456" s="40" t="s">
        <v>964</v>
      </c>
      <c r="C456" s="40" t="s">
        <v>2004</v>
      </c>
      <c r="D456" s="57">
        <f t="shared" si="7"/>
        <v>500</v>
      </c>
    </row>
    <row r="457" spans="1:4">
      <c r="A457" s="53">
        <v>501</v>
      </c>
      <c r="B457" s="40" t="s">
        <v>150</v>
      </c>
      <c r="C457" s="40" t="s">
        <v>965</v>
      </c>
      <c r="D457" s="57">
        <f t="shared" si="7"/>
        <v>501</v>
      </c>
    </row>
    <row r="458" spans="1:4">
      <c r="A458" s="53">
        <v>502</v>
      </c>
      <c r="B458" s="40" t="s">
        <v>966</v>
      </c>
      <c r="C458" s="40" t="s">
        <v>3335</v>
      </c>
      <c r="D458" s="57">
        <f t="shared" si="7"/>
        <v>502</v>
      </c>
    </row>
    <row r="459" spans="1:4">
      <c r="A459" s="53">
        <v>503</v>
      </c>
      <c r="B459" s="40" t="s">
        <v>967</v>
      </c>
      <c r="C459" s="40" t="s">
        <v>968</v>
      </c>
      <c r="D459" s="57">
        <f t="shared" si="7"/>
        <v>503</v>
      </c>
    </row>
    <row r="460" spans="1:4">
      <c r="A460" s="53">
        <v>504</v>
      </c>
      <c r="B460" s="40" t="s">
        <v>969</v>
      </c>
      <c r="C460" s="40" t="s">
        <v>970</v>
      </c>
      <c r="D460" s="57">
        <f t="shared" si="7"/>
        <v>504</v>
      </c>
    </row>
    <row r="461" spans="1:4">
      <c r="A461" s="53">
        <v>505</v>
      </c>
      <c r="B461" s="40" t="s">
        <v>971</v>
      </c>
      <c r="C461" s="40" t="s">
        <v>972</v>
      </c>
      <c r="D461" s="57">
        <f t="shared" si="7"/>
        <v>505</v>
      </c>
    </row>
    <row r="462" spans="1:4">
      <c r="A462" s="53">
        <v>506</v>
      </c>
      <c r="B462" s="40" t="s">
        <v>973</v>
      </c>
      <c r="C462" s="40" t="s">
        <v>974</v>
      </c>
      <c r="D462" s="57">
        <f t="shared" si="7"/>
        <v>506</v>
      </c>
    </row>
    <row r="463" spans="1:4">
      <c r="A463" s="53">
        <v>507</v>
      </c>
      <c r="B463" s="40" t="s">
        <v>975</v>
      </c>
      <c r="C463" s="40" t="s">
        <v>2005</v>
      </c>
      <c r="D463" s="57">
        <f t="shared" si="7"/>
        <v>507</v>
      </c>
    </row>
    <row r="464" spans="1:4">
      <c r="A464" s="53">
        <v>508</v>
      </c>
      <c r="B464" s="40" t="s">
        <v>976</v>
      </c>
      <c r="C464" s="40" t="s">
        <v>977</v>
      </c>
      <c r="D464" s="57">
        <f t="shared" si="7"/>
        <v>508</v>
      </c>
    </row>
    <row r="465" spans="1:4">
      <c r="A465" s="53">
        <v>509</v>
      </c>
      <c r="B465" s="40" t="s">
        <v>1945</v>
      </c>
      <c r="C465" s="40" t="s">
        <v>1944</v>
      </c>
      <c r="D465" s="57">
        <f t="shared" si="7"/>
        <v>509</v>
      </c>
    </row>
    <row r="466" spans="1:4">
      <c r="A466" s="53">
        <v>510</v>
      </c>
      <c r="B466" s="40" t="s">
        <v>978</v>
      </c>
      <c r="C466" s="40" t="s">
        <v>979</v>
      </c>
      <c r="D466" s="57">
        <f t="shared" si="7"/>
        <v>510</v>
      </c>
    </row>
    <row r="467" spans="1:4">
      <c r="A467" s="53">
        <v>511</v>
      </c>
      <c r="B467" s="40" t="s">
        <v>980</v>
      </c>
      <c r="C467" s="40" t="s">
        <v>981</v>
      </c>
      <c r="D467" s="57">
        <f t="shared" si="7"/>
        <v>511</v>
      </c>
    </row>
    <row r="468" spans="1:4">
      <c r="A468" s="53">
        <v>512</v>
      </c>
      <c r="B468" s="40" t="s">
        <v>982</v>
      </c>
      <c r="C468" s="40" t="s">
        <v>983</v>
      </c>
      <c r="D468" s="57">
        <f t="shared" si="7"/>
        <v>512</v>
      </c>
    </row>
    <row r="469" spans="1:4">
      <c r="A469" s="53">
        <v>513</v>
      </c>
      <c r="B469" s="40" t="s">
        <v>984</v>
      </c>
      <c r="C469" s="40" t="s">
        <v>985</v>
      </c>
      <c r="D469" s="57">
        <f t="shared" si="7"/>
        <v>513</v>
      </c>
    </row>
    <row r="470" spans="1:4">
      <c r="A470" s="53">
        <v>514</v>
      </c>
      <c r="B470" s="40" t="s">
        <v>986</v>
      </c>
      <c r="C470" s="40" t="s">
        <v>3336</v>
      </c>
      <c r="D470" s="57">
        <f t="shared" si="7"/>
        <v>514</v>
      </c>
    </row>
    <row r="471" spans="1:4">
      <c r="A471" s="53">
        <v>515</v>
      </c>
      <c r="B471" s="40" t="s">
        <v>2506</v>
      </c>
      <c r="C471" s="40" t="s">
        <v>2006</v>
      </c>
      <c r="D471" s="57">
        <f t="shared" si="7"/>
        <v>515</v>
      </c>
    </row>
    <row r="472" spans="1:4">
      <c r="A472" s="53">
        <v>516</v>
      </c>
      <c r="B472" s="40" t="s">
        <v>987</v>
      </c>
      <c r="C472" s="40" t="s">
        <v>988</v>
      </c>
      <c r="D472" s="57">
        <f t="shared" si="7"/>
        <v>516</v>
      </c>
    </row>
    <row r="473" spans="1:4">
      <c r="A473" s="53">
        <v>517</v>
      </c>
      <c r="B473" s="40" t="s">
        <v>989</v>
      </c>
      <c r="C473" s="40" t="s">
        <v>990</v>
      </c>
      <c r="D473" s="57">
        <f t="shared" si="7"/>
        <v>517</v>
      </c>
    </row>
    <row r="474" spans="1:4">
      <c r="A474" s="53">
        <v>518</v>
      </c>
      <c r="B474" s="40" t="s">
        <v>991</v>
      </c>
      <c r="C474" s="40" t="s">
        <v>992</v>
      </c>
      <c r="D474" s="57">
        <f t="shared" si="7"/>
        <v>518</v>
      </c>
    </row>
    <row r="475" spans="1:4">
      <c r="A475" s="53">
        <v>519</v>
      </c>
      <c r="B475" s="40" t="s">
        <v>161</v>
      </c>
      <c r="C475" s="40" t="s">
        <v>993</v>
      </c>
      <c r="D475" s="57">
        <f t="shared" si="7"/>
        <v>519</v>
      </c>
    </row>
    <row r="476" spans="1:4">
      <c r="A476" s="53">
        <v>520</v>
      </c>
      <c r="B476" s="40" t="s">
        <v>994</v>
      </c>
      <c r="C476" s="40" t="s">
        <v>995</v>
      </c>
      <c r="D476" s="57">
        <f t="shared" si="7"/>
        <v>520</v>
      </c>
    </row>
    <row r="477" spans="1:4">
      <c r="A477" s="53">
        <v>521</v>
      </c>
      <c r="B477" s="40" t="s">
        <v>996</v>
      </c>
      <c r="C477" s="40" t="s">
        <v>997</v>
      </c>
      <c r="D477" s="57">
        <f t="shared" si="7"/>
        <v>521</v>
      </c>
    </row>
    <row r="478" spans="1:4">
      <c r="A478" s="53">
        <v>522</v>
      </c>
      <c r="B478" s="40" t="s">
        <v>998</v>
      </c>
      <c r="C478" s="40" t="s">
        <v>2007</v>
      </c>
      <c r="D478" s="57">
        <f t="shared" si="7"/>
        <v>522</v>
      </c>
    </row>
    <row r="479" spans="1:4">
      <c r="A479" s="53">
        <v>524</v>
      </c>
      <c r="B479" s="40" t="s">
        <v>999</v>
      </c>
      <c r="C479" s="40" t="s">
        <v>1000</v>
      </c>
      <c r="D479" s="57">
        <f t="shared" si="7"/>
        <v>524</v>
      </c>
    </row>
    <row r="480" spans="1:4">
      <c r="A480" s="53">
        <v>525</v>
      </c>
      <c r="B480" s="40" t="s">
        <v>1001</v>
      </c>
      <c r="C480" s="40" t="s">
        <v>1002</v>
      </c>
      <c r="D480" s="57">
        <f t="shared" si="7"/>
        <v>525</v>
      </c>
    </row>
    <row r="481" spans="1:4">
      <c r="A481" s="53">
        <v>526</v>
      </c>
      <c r="B481" s="40" t="s">
        <v>143</v>
      </c>
      <c r="C481" s="40" t="s">
        <v>1003</v>
      </c>
      <c r="D481" s="57">
        <f t="shared" si="7"/>
        <v>526</v>
      </c>
    </row>
    <row r="482" spans="1:4">
      <c r="A482" s="53">
        <v>527</v>
      </c>
      <c r="B482" s="40" t="s">
        <v>1004</v>
      </c>
      <c r="C482" s="40" t="s">
        <v>2008</v>
      </c>
      <c r="D482" s="57">
        <f t="shared" si="7"/>
        <v>527</v>
      </c>
    </row>
    <row r="483" spans="1:4">
      <c r="A483" s="53">
        <v>528</v>
      </c>
      <c r="B483" s="40" t="s">
        <v>2507</v>
      </c>
      <c r="C483" s="40" t="s">
        <v>1006</v>
      </c>
      <c r="D483" s="57">
        <f t="shared" si="7"/>
        <v>528</v>
      </c>
    </row>
    <row r="484" spans="1:4">
      <c r="A484" s="53">
        <v>529</v>
      </c>
      <c r="B484" s="40" t="s">
        <v>1005</v>
      </c>
      <c r="C484" s="40" t="s">
        <v>1007</v>
      </c>
      <c r="D484" s="57">
        <f t="shared" si="7"/>
        <v>529</v>
      </c>
    </row>
    <row r="485" spans="1:4">
      <c r="A485" s="53">
        <v>530</v>
      </c>
      <c r="B485" s="40" t="s">
        <v>1008</v>
      </c>
      <c r="C485" s="40" t="s">
        <v>2508</v>
      </c>
      <c r="D485" s="57">
        <f t="shared" si="7"/>
        <v>530</v>
      </c>
    </row>
    <row r="486" spans="1:4">
      <c r="A486" s="53">
        <v>531</v>
      </c>
      <c r="B486" s="40" t="s">
        <v>1009</v>
      </c>
      <c r="C486" s="40" t="s">
        <v>1010</v>
      </c>
      <c r="D486" s="57">
        <f t="shared" si="7"/>
        <v>531</v>
      </c>
    </row>
    <row r="487" spans="1:4">
      <c r="A487" s="53">
        <v>532</v>
      </c>
      <c r="B487" s="40" t="s">
        <v>1011</v>
      </c>
      <c r="C487" s="40" t="s">
        <v>1012</v>
      </c>
      <c r="D487" s="57">
        <f t="shared" si="7"/>
        <v>532</v>
      </c>
    </row>
    <row r="488" spans="1:4">
      <c r="A488" s="53">
        <v>533</v>
      </c>
      <c r="B488" s="40" t="s">
        <v>1013</v>
      </c>
      <c r="C488" s="40" t="s">
        <v>1014</v>
      </c>
      <c r="D488" s="57">
        <f t="shared" si="7"/>
        <v>533</v>
      </c>
    </row>
    <row r="489" spans="1:4">
      <c r="A489" s="53">
        <v>534</v>
      </c>
      <c r="B489" s="40" t="s">
        <v>89</v>
      </c>
      <c r="C489" s="40" t="s">
        <v>1015</v>
      </c>
      <c r="D489" s="57">
        <f t="shared" si="7"/>
        <v>534</v>
      </c>
    </row>
    <row r="490" spans="1:4">
      <c r="A490" s="53">
        <v>535</v>
      </c>
      <c r="B490" s="40" t="s">
        <v>1016</v>
      </c>
      <c r="C490" s="40" t="s">
        <v>2009</v>
      </c>
      <c r="D490" s="57">
        <f t="shared" si="7"/>
        <v>535</v>
      </c>
    </row>
    <row r="491" spans="1:4">
      <c r="A491" s="53">
        <v>536</v>
      </c>
      <c r="B491" s="40" t="s">
        <v>1017</v>
      </c>
      <c r="C491" s="40" t="s">
        <v>1018</v>
      </c>
      <c r="D491" s="57">
        <f t="shared" si="7"/>
        <v>536</v>
      </c>
    </row>
    <row r="492" spans="1:4">
      <c r="A492" s="53">
        <v>537</v>
      </c>
      <c r="B492" s="40" t="s">
        <v>1019</v>
      </c>
      <c r="C492" s="40" t="s">
        <v>2010</v>
      </c>
      <c r="D492" s="57">
        <f t="shared" si="7"/>
        <v>537</v>
      </c>
    </row>
    <row r="493" spans="1:4">
      <c r="A493" s="53">
        <v>538</v>
      </c>
      <c r="B493" s="40" t="s">
        <v>1020</v>
      </c>
      <c r="C493" s="40" t="s">
        <v>1021</v>
      </c>
      <c r="D493" s="57">
        <f t="shared" si="7"/>
        <v>538</v>
      </c>
    </row>
    <row r="494" spans="1:4">
      <c r="A494" s="53">
        <v>539</v>
      </c>
      <c r="B494" s="40" t="s">
        <v>1022</v>
      </c>
      <c r="C494" s="40" t="s">
        <v>2011</v>
      </c>
      <c r="D494" s="57">
        <f t="shared" si="7"/>
        <v>539</v>
      </c>
    </row>
    <row r="495" spans="1:4">
      <c r="A495" s="53">
        <v>540</v>
      </c>
      <c r="B495" s="40" t="s">
        <v>1023</v>
      </c>
      <c r="C495" s="40" t="s">
        <v>1024</v>
      </c>
      <c r="D495" s="57">
        <f t="shared" si="7"/>
        <v>540</v>
      </c>
    </row>
    <row r="496" spans="1:4">
      <c r="A496" s="53">
        <v>541</v>
      </c>
      <c r="B496" s="40" t="s">
        <v>1025</v>
      </c>
      <c r="C496" s="40" t="s">
        <v>1026</v>
      </c>
      <c r="D496" s="57">
        <f t="shared" si="7"/>
        <v>541</v>
      </c>
    </row>
    <row r="497" spans="1:4">
      <c r="A497" s="53">
        <v>542</v>
      </c>
      <c r="B497" s="40" t="s">
        <v>1027</v>
      </c>
      <c r="C497" s="40" t="s">
        <v>1028</v>
      </c>
      <c r="D497" s="57">
        <f t="shared" si="7"/>
        <v>542</v>
      </c>
    </row>
    <row r="498" spans="1:4">
      <c r="A498" s="53">
        <v>543</v>
      </c>
      <c r="B498" s="40" t="s">
        <v>1029</v>
      </c>
      <c r="C498" s="40" t="s">
        <v>1030</v>
      </c>
      <c r="D498" s="57">
        <f t="shared" si="7"/>
        <v>543</v>
      </c>
    </row>
    <row r="499" spans="1:4">
      <c r="A499" s="53">
        <v>544</v>
      </c>
      <c r="B499" s="40" t="s">
        <v>1031</v>
      </c>
      <c r="C499" s="40" t="s">
        <v>2012</v>
      </c>
      <c r="D499" s="57">
        <f t="shared" si="7"/>
        <v>544</v>
      </c>
    </row>
    <row r="500" spans="1:4">
      <c r="A500" s="53">
        <v>545</v>
      </c>
      <c r="B500" s="40" t="s">
        <v>1032</v>
      </c>
      <c r="C500" s="40" t="s">
        <v>230</v>
      </c>
      <c r="D500" s="57">
        <f t="shared" si="7"/>
        <v>545</v>
      </c>
    </row>
    <row r="501" spans="1:4">
      <c r="A501" s="53">
        <v>547</v>
      </c>
      <c r="B501" s="40" t="s">
        <v>98</v>
      </c>
      <c r="C501" s="40" t="s">
        <v>1033</v>
      </c>
      <c r="D501" s="57">
        <f t="shared" si="7"/>
        <v>547</v>
      </c>
    </row>
    <row r="502" spans="1:4">
      <c r="A502" s="53">
        <v>548</v>
      </c>
      <c r="B502" s="40" t="s">
        <v>1034</v>
      </c>
      <c r="C502" s="40" t="s">
        <v>1035</v>
      </c>
      <c r="D502" s="57">
        <f t="shared" si="7"/>
        <v>548</v>
      </c>
    </row>
    <row r="503" spans="1:4">
      <c r="A503" s="53">
        <v>549</v>
      </c>
      <c r="B503" s="40" t="s">
        <v>1036</v>
      </c>
      <c r="C503" s="40" t="s">
        <v>2013</v>
      </c>
      <c r="D503" s="57">
        <f t="shared" si="7"/>
        <v>549</v>
      </c>
    </row>
    <row r="504" spans="1:4">
      <c r="A504" s="53">
        <v>550</v>
      </c>
      <c r="B504" s="40" t="s">
        <v>1037</v>
      </c>
      <c r="C504" s="40" t="s">
        <v>2014</v>
      </c>
      <c r="D504" s="57">
        <f t="shared" si="7"/>
        <v>550</v>
      </c>
    </row>
    <row r="505" spans="1:4">
      <c r="A505" s="53">
        <v>551</v>
      </c>
      <c r="B505" s="40" t="s">
        <v>1038</v>
      </c>
      <c r="C505" s="40" t="s">
        <v>1039</v>
      </c>
      <c r="D505" s="57">
        <f t="shared" si="7"/>
        <v>551</v>
      </c>
    </row>
    <row r="506" spans="1:4">
      <c r="A506" s="53">
        <v>552</v>
      </c>
      <c r="B506" s="40" t="s">
        <v>1040</v>
      </c>
      <c r="C506" s="40" t="s">
        <v>2509</v>
      </c>
      <c r="D506" s="57">
        <f t="shared" si="7"/>
        <v>552</v>
      </c>
    </row>
    <row r="507" spans="1:4">
      <c r="A507" s="53">
        <v>553</v>
      </c>
      <c r="B507" s="40" t="s">
        <v>1041</v>
      </c>
      <c r="C507" s="40" t="s">
        <v>2015</v>
      </c>
      <c r="D507" s="57">
        <f t="shared" si="7"/>
        <v>553</v>
      </c>
    </row>
    <row r="508" spans="1:4">
      <c r="A508" s="53">
        <v>554</v>
      </c>
      <c r="B508" s="40" t="s">
        <v>1042</v>
      </c>
      <c r="C508" s="40" t="s">
        <v>2016</v>
      </c>
      <c r="D508" s="57">
        <f t="shared" si="7"/>
        <v>554</v>
      </c>
    </row>
    <row r="509" spans="1:4">
      <c r="A509" s="53">
        <v>555</v>
      </c>
      <c r="B509" s="40" t="s">
        <v>1043</v>
      </c>
      <c r="C509" s="40" t="s">
        <v>1044</v>
      </c>
      <c r="D509" s="57">
        <f t="shared" si="7"/>
        <v>555</v>
      </c>
    </row>
    <row r="510" spans="1:4">
      <c r="A510" s="53">
        <v>556</v>
      </c>
      <c r="B510" s="40" t="s">
        <v>1045</v>
      </c>
      <c r="C510" s="40" t="s">
        <v>1046</v>
      </c>
      <c r="D510" s="57">
        <f t="shared" si="7"/>
        <v>556</v>
      </c>
    </row>
    <row r="511" spans="1:4">
      <c r="A511" s="53">
        <v>557</v>
      </c>
      <c r="B511" s="40" t="s">
        <v>1047</v>
      </c>
      <c r="C511" s="40" t="s">
        <v>3337</v>
      </c>
      <c r="D511" s="57">
        <f t="shared" si="7"/>
        <v>557</v>
      </c>
    </row>
    <row r="512" spans="1:4">
      <c r="A512" s="53">
        <v>558</v>
      </c>
      <c r="B512" s="40" t="s">
        <v>1048</v>
      </c>
      <c r="C512" s="40" t="s">
        <v>1049</v>
      </c>
      <c r="D512" s="57">
        <f t="shared" si="7"/>
        <v>558</v>
      </c>
    </row>
    <row r="513" spans="1:4">
      <c r="A513" s="53">
        <v>559</v>
      </c>
      <c r="B513" s="40" t="s">
        <v>1050</v>
      </c>
      <c r="C513" s="40" t="s">
        <v>1051</v>
      </c>
      <c r="D513" s="57">
        <f t="shared" si="7"/>
        <v>559</v>
      </c>
    </row>
    <row r="514" spans="1:4">
      <c r="A514" s="53">
        <v>560</v>
      </c>
      <c r="B514" s="40" t="s">
        <v>1052</v>
      </c>
      <c r="C514" s="40" t="s">
        <v>1053</v>
      </c>
      <c r="D514" s="57">
        <f t="shared" ref="D514:D577" si="8">$A514</f>
        <v>560</v>
      </c>
    </row>
    <row r="515" spans="1:4">
      <c r="A515" s="53">
        <v>562</v>
      </c>
      <c r="B515" s="40" t="s">
        <v>1054</v>
      </c>
      <c r="C515" s="40" t="s">
        <v>1055</v>
      </c>
      <c r="D515" s="57">
        <f t="shared" si="8"/>
        <v>562</v>
      </c>
    </row>
    <row r="516" spans="1:4">
      <c r="A516" s="53">
        <v>564</v>
      </c>
      <c r="B516" s="40" t="s">
        <v>3338</v>
      </c>
      <c r="C516" s="40" t="s">
        <v>1056</v>
      </c>
      <c r="D516" s="57">
        <f t="shared" si="8"/>
        <v>564</v>
      </c>
    </row>
    <row r="517" spans="1:4">
      <c r="A517" s="53">
        <v>565</v>
      </c>
      <c r="B517" s="40" t="s">
        <v>1057</v>
      </c>
      <c r="C517" s="40" t="s">
        <v>1058</v>
      </c>
      <c r="D517" s="57">
        <f t="shared" si="8"/>
        <v>565</v>
      </c>
    </row>
    <row r="518" spans="1:4">
      <c r="A518" s="53">
        <v>566</v>
      </c>
      <c r="B518" s="40" t="s">
        <v>1059</v>
      </c>
      <c r="C518" s="40" t="s">
        <v>1060</v>
      </c>
      <c r="D518" s="57">
        <f t="shared" si="8"/>
        <v>566</v>
      </c>
    </row>
    <row r="519" spans="1:4">
      <c r="A519" s="53">
        <v>568</v>
      </c>
      <c r="B519" s="40" t="s">
        <v>1061</v>
      </c>
      <c r="C519" s="40" t="s">
        <v>1062</v>
      </c>
      <c r="D519" s="57">
        <f t="shared" si="8"/>
        <v>568</v>
      </c>
    </row>
    <row r="520" spans="1:4">
      <c r="A520" s="53">
        <v>569</v>
      </c>
      <c r="B520" s="40" t="s">
        <v>1063</v>
      </c>
      <c r="C520" s="40" t="s">
        <v>1064</v>
      </c>
      <c r="D520" s="57">
        <f t="shared" si="8"/>
        <v>569</v>
      </c>
    </row>
    <row r="521" spans="1:4">
      <c r="A521" s="53">
        <v>570</v>
      </c>
      <c r="B521" s="40" t="s">
        <v>1065</v>
      </c>
      <c r="C521" s="40" t="s">
        <v>1066</v>
      </c>
      <c r="D521" s="57">
        <f t="shared" si="8"/>
        <v>570</v>
      </c>
    </row>
    <row r="522" spans="1:4">
      <c r="A522" s="53">
        <v>571</v>
      </c>
      <c r="B522" s="42" t="s">
        <v>2510</v>
      </c>
      <c r="C522" s="40" t="s">
        <v>1067</v>
      </c>
      <c r="D522" s="57">
        <f t="shared" si="8"/>
        <v>571</v>
      </c>
    </row>
    <row r="523" spans="1:4">
      <c r="A523" s="53">
        <v>572</v>
      </c>
      <c r="B523" s="40" t="s">
        <v>1068</v>
      </c>
      <c r="C523" s="40" t="s">
        <v>1069</v>
      </c>
      <c r="D523" s="57">
        <f t="shared" si="8"/>
        <v>572</v>
      </c>
    </row>
    <row r="524" spans="1:4">
      <c r="A524" s="53">
        <v>573</v>
      </c>
      <c r="B524" s="40" t="s">
        <v>1070</v>
      </c>
      <c r="C524" s="40" t="s">
        <v>1071</v>
      </c>
      <c r="D524" s="57">
        <f t="shared" si="8"/>
        <v>573</v>
      </c>
    </row>
    <row r="525" spans="1:4">
      <c r="A525" s="53">
        <v>574</v>
      </c>
      <c r="B525" s="40" t="s">
        <v>1072</v>
      </c>
      <c r="C525" s="40" t="s">
        <v>2017</v>
      </c>
      <c r="D525" s="57">
        <f t="shared" si="8"/>
        <v>574</v>
      </c>
    </row>
    <row r="526" spans="1:4">
      <c r="A526" s="53">
        <v>575</v>
      </c>
      <c r="B526" s="40" t="s">
        <v>2511</v>
      </c>
      <c r="C526" s="40" t="s">
        <v>1073</v>
      </c>
      <c r="D526" s="57">
        <f t="shared" si="8"/>
        <v>575</v>
      </c>
    </row>
    <row r="527" spans="1:4">
      <c r="A527" s="53">
        <v>576</v>
      </c>
      <c r="B527" s="40" t="s">
        <v>1074</v>
      </c>
      <c r="C527" s="40" t="s">
        <v>2018</v>
      </c>
      <c r="D527" s="57">
        <f t="shared" si="8"/>
        <v>576</v>
      </c>
    </row>
    <row r="528" spans="1:4">
      <c r="A528" s="53">
        <v>577</v>
      </c>
      <c r="B528" s="40" t="s">
        <v>2512</v>
      </c>
      <c r="C528" s="40" t="s">
        <v>2513</v>
      </c>
      <c r="D528" s="57">
        <f t="shared" si="8"/>
        <v>577</v>
      </c>
    </row>
    <row r="529" spans="1:4">
      <c r="A529" s="53">
        <v>578</v>
      </c>
      <c r="B529" s="40" t="s">
        <v>1075</v>
      </c>
      <c r="C529" s="40" t="s">
        <v>1076</v>
      </c>
      <c r="D529" s="57">
        <f t="shared" si="8"/>
        <v>578</v>
      </c>
    </row>
    <row r="530" spans="1:4">
      <c r="A530" s="53">
        <v>579</v>
      </c>
      <c r="B530" s="40" t="s">
        <v>1077</v>
      </c>
      <c r="C530" s="40" t="s">
        <v>1078</v>
      </c>
      <c r="D530" s="57">
        <f t="shared" si="8"/>
        <v>579</v>
      </c>
    </row>
    <row r="531" spans="1:4">
      <c r="A531" s="53">
        <v>580</v>
      </c>
      <c r="B531" s="40" t="s">
        <v>130</v>
      </c>
      <c r="C531" s="40" t="s">
        <v>1079</v>
      </c>
      <c r="D531" s="57">
        <f t="shared" si="8"/>
        <v>580</v>
      </c>
    </row>
    <row r="532" spans="1:4">
      <c r="A532" s="53">
        <v>581</v>
      </c>
      <c r="B532" s="40" t="s">
        <v>126</v>
      </c>
      <c r="C532" s="40" t="s">
        <v>1080</v>
      </c>
      <c r="D532" s="57">
        <f t="shared" si="8"/>
        <v>581</v>
      </c>
    </row>
    <row r="533" spans="1:4">
      <c r="A533" s="53">
        <v>582</v>
      </c>
      <c r="B533" s="40" t="s">
        <v>1081</v>
      </c>
      <c r="C533" s="40" t="s">
        <v>1080</v>
      </c>
      <c r="D533" s="57">
        <f t="shared" si="8"/>
        <v>582</v>
      </c>
    </row>
    <row r="534" spans="1:4">
      <c r="A534" s="53">
        <v>583</v>
      </c>
      <c r="B534" s="40" t="s">
        <v>181</v>
      </c>
      <c r="C534" s="40" t="s">
        <v>1082</v>
      </c>
      <c r="D534" s="57">
        <f t="shared" si="8"/>
        <v>583</v>
      </c>
    </row>
    <row r="535" spans="1:4">
      <c r="A535" s="53">
        <v>584</v>
      </c>
      <c r="B535" s="40" t="s">
        <v>1083</v>
      </c>
      <c r="C535" s="40" t="s">
        <v>1084</v>
      </c>
      <c r="D535" s="57">
        <f t="shared" si="8"/>
        <v>584</v>
      </c>
    </row>
    <row r="536" spans="1:4">
      <c r="A536" s="53">
        <v>585</v>
      </c>
      <c r="B536" s="40" t="s">
        <v>1085</v>
      </c>
      <c r="C536" s="40" t="s">
        <v>1086</v>
      </c>
      <c r="D536" s="57">
        <f t="shared" si="8"/>
        <v>585</v>
      </c>
    </row>
    <row r="537" spans="1:4">
      <c r="A537" s="53">
        <v>586</v>
      </c>
      <c r="B537" s="40" t="s">
        <v>1087</v>
      </c>
      <c r="C537" s="40" t="s">
        <v>1088</v>
      </c>
      <c r="D537" s="57">
        <f t="shared" si="8"/>
        <v>586</v>
      </c>
    </row>
    <row r="538" spans="1:4">
      <c r="A538" s="53">
        <v>587</v>
      </c>
      <c r="B538" s="40" t="s">
        <v>1089</v>
      </c>
      <c r="C538" s="40" t="s">
        <v>1090</v>
      </c>
      <c r="D538" s="57">
        <f t="shared" si="8"/>
        <v>587</v>
      </c>
    </row>
    <row r="539" spans="1:4">
      <c r="A539" s="53">
        <v>588</v>
      </c>
      <c r="B539" s="40" t="s">
        <v>1091</v>
      </c>
      <c r="C539" s="40" t="s">
        <v>1092</v>
      </c>
      <c r="D539" s="57">
        <f t="shared" si="8"/>
        <v>588</v>
      </c>
    </row>
    <row r="540" spans="1:4">
      <c r="A540" s="53">
        <v>589</v>
      </c>
      <c r="B540" s="40" t="s">
        <v>1093</v>
      </c>
      <c r="C540" s="40" t="s">
        <v>1094</v>
      </c>
      <c r="D540" s="57">
        <f t="shared" si="8"/>
        <v>589</v>
      </c>
    </row>
    <row r="541" spans="1:4">
      <c r="A541" s="53">
        <v>590</v>
      </c>
      <c r="B541" s="40" t="s">
        <v>1095</v>
      </c>
      <c r="C541" s="42" t="s">
        <v>2514</v>
      </c>
      <c r="D541" s="57">
        <f t="shared" si="8"/>
        <v>590</v>
      </c>
    </row>
    <row r="542" spans="1:4">
      <c r="A542" s="53">
        <v>591</v>
      </c>
      <c r="B542" s="40" t="s">
        <v>1096</v>
      </c>
      <c r="C542" s="40" t="s">
        <v>1097</v>
      </c>
      <c r="D542" s="57">
        <f t="shared" si="8"/>
        <v>591</v>
      </c>
    </row>
    <row r="543" spans="1:4">
      <c r="A543" s="53">
        <v>592</v>
      </c>
      <c r="B543" s="40" t="s">
        <v>1098</v>
      </c>
      <c r="C543" s="40" t="s">
        <v>1099</v>
      </c>
      <c r="D543" s="57">
        <f t="shared" si="8"/>
        <v>592</v>
      </c>
    </row>
    <row r="544" spans="1:4">
      <c r="A544" s="53">
        <v>593</v>
      </c>
      <c r="B544" s="40" t="s">
        <v>1100</v>
      </c>
      <c r="C544" s="40" t="s">
        <v>1101</v>
      </c>
      <c r="D544" s="57">
        <f t="shared" si="8"/>
        <v>593</v>
      </c>
    </row>
    <row r="545" spans="1:4">
      <c r="A545" s="53">
        <v>594</v>
      </c>
      <c r="B545" s="40" t="s">
        <v>1102</v>
      </c>
      <c r="C545" s="40" t="s">
        <v>1103</v>
      </c>
      <c r="D545" s="57">
        <f t="shared" si="8"/>
        <v>594</v>
      </c>
    </row>
    <row r="546" spans="1:4">
      <c r="A546" s="53">
        <v>595</v>
      </c>
      <c r="B546" s="40" t="s">
        <v>1104</v>
      </c>
      <c r="C546" s="40" t="s">
        <v>1105</v>
      </c>
      <c r="D546" s="57">
        <f t="shared" si="8"/>
        <v>595</v>
      </c>
    </row>
    <row r="547" spans="1:4">
      <c r="A547" s="53">
        <v>596</v>
      </c>
      <c r="B547" s="40" t="s">
        <v>1106</v>
      </c>
      <c r="C547" s="40" t="s">
        <v>1107</v>
      </c>
      <c r="D547" s="57">
        <f t="shared" si="8"/>
        <v>596</v>
      </c>
    </row>
    <row r="548" spans="1:4">
      <c r="A548" s="53">
        <v>597</v>
      </c>
      <c r="B548" s="40" t="s">
        <v>1108</v>
      </c>
      <c r="C548" s="40" t="s">
        <v>1109</v>
      </c>
      <c r="D548" s="57">
        <f t="shared" si="8"/>
        <v>597</v>
      </c>
    </row>
    <row r="549" spans="1:4">
      <c r="A549" s="53">
        <v>598</v>
      </c>
      <c r="B549" s="40" t="s">
        <v>1110</v>
      </c>
      <c r="C549" s="40" t="s">
        <v>1111</v>
      </c>
      <c r="D549" s="57">
        <f t="shared" si="8"/>
        <v>598</v>
      </c>
    </row>
    <row r="550" spans="1:4">
      <c r="A550" s="53">
        <v>599</v>
      </c>
      <c r="B550" s="40" t="s">
        <v>1112</v>
      </c>
      <c r="C550" s="40" t="s">
        <v>1113</v>
      </c>
      <c r="D550" s="57">
        <f t="shared" si="8"/>
        <v>599</v>
      </c>
    </row>
    <row r="551" spans="1:4">
      <c r="A551" s="53">
        <v>600</v>
      </c>
      <c r="B551" s="40" t="s">
        <v>1114</v>
      </c>
      <c r="C551" s="40" t="s">
        <v>1115</v>
      </c>
      <c r="D551" s="57">
        <f t="shared" si="8"/>
        <v>600</v>
      </c>
    </row>
    <row r="552" spans="1:4">
      <c r="A552" s="53">
        <v>601</v>
      </c>
      <c r="B552" s="40" t="s">
        <v>1116</v>
      </c>
      <c r="C552" s="40" t="s">
        <v>1117</v>
      </c>
      <c r="D552" s="57">
        <f t="shared" si="8"/>
        <v>601</v>
      </c>
    </row>
    <row r="553" spans="1:4">
      <c r="A553" s="53">
        <v>602</v>
      </c>
      <c r="B553" s="40" t="s">
        <v>1118</v>
      </c>
      <c r="C553" s="40" t="s">
        <v>1119</v>
      </c>
      <c r="D553" s="57">
        <f t="shared" si="8"/>
        <v>602</v>
      </c>
    </row>
    <row r="554" spans="1:4">
      <c r="A554" s="53">
        <v>604</v>
      </c>
      <c r="B554" s="40" t="s">
        <v>1120</v>
      </c>
      <c r="C554" s="40" t="s">
        <v>1121</v>
      </c>
      <c r="D554" s="57">
        <f t="shared" si="8"/>
        <v>604</v>
      </c>
    </row>
    <row r="555" spans="1:4">
      <c r="A555" s="53">
        <v>605</v>
      </c>
      <c r="B555" s="40" t="s">
        <v>3339</v>
      </c>
      <c r="C555" s="40" t="s">
        <v>1122</v>
      </c>
      <c r="D555" s="57">
        <f t="shared" si="8"/>
        <v>605</v>
      </c>
    </row>
    <row r="556" spans="1:4">
      <c r="A556" s="53">
        <v>606</v>
      </c>
      <c r="B556" s="40" t="s">
        <v>1123</v>
      </c>
      <c r="C556" s="40" t="s">
        <v>2019</v>
      </c>
      <c r="D556" s="57">
        <f t="shared" si="8"/>
        <v>606</v>
      </c>
    </row>
    <row r="557" spans="1:4">
      <c r="A557" s="53">
        <v>607</v>
      </c>
      <c r="B557" s="40" t="s">
        <v>1124</v>
      </c>
      <c r="C557" s="40" t="s">
        <v>1125</v>
      </c>
      <c r="D557" s="57">
        <f t="shared" si="8"/>
        <v>607</v>
      </c>
    </row>
    <row r="558" spans="1:4">
      <c r="A558" s="53">
        <v>609</v>
      </c>
      <c r="B558" s="40" t="s">
        <v>1127</v>
      </c>
      <c r="C558" s="40" t="s">
        <v>1128</v>
      </c>
      <c r="D558" s="57">
        <f t="shared" si="8"/>
        <v>609</v>
      </c>
    </row>
    <row r="559" spans="1:4">
      <c r="A559" s="53">
        <v>610</v>
      </c>
      <c r="B559" s="40" t="s">
        <v>1129</v>
      </c>
      <c r="C559" s="40" t="s">
        <v>1130</v>
      </c>
      <c r="D559" s="57">
        <f t="shared" si="8"/>
        <v>610</v>
      </c>
    </row>
    <row r="560" spans="1:4">
      <c r="A560" s="53">
        <v>611</v>
      </c>
      <c r="B560" s="40" t="s">
        <v>1131</v>
      </c>
      <c r="C560" s="40" t="s">
        <v>1132</v>
      </c>
      <c r="D560" s="57">
        <f t="shared" si="8"/>
        <v>611</v>
      </c>
    </row>
    <row r="561" spans="1:4">
      <c r="A561" s="53">
        <v>612</v>
      </c>
      <c r="B561" s="40" t="s">
        <v>1133</v>
      </c>
      <c r="C561" s="40" t="s">
        <v>1134</v>
      </c>
      <c r="D561" s="57">
        <f t="shared" si="8"/>
        <v>612</v>
      </c>
    </row>
    <row r="562" spans="1:4">
      <c r="A562" s="53">
        <v>613</v>
      </c>
      <c r="B562" s="40" t="s">
        <v>1135</v>
      </c>
      <c r="C562" s="40" t="s">
        <v>2020</v>
      </c>
      <c r="D562" s="57">
        <f t="shared" si="8"/>
        <v>613</v>
      </c>
    </row>
    <row r="563" spans="1:4">
      <c r="A563" s="53">
        <v>615</v>
      </c>
      <c r="B563" s="40" t="s">
        <v>1136</v>
      </c>
      <c r="C563" s="40" t="s">
        <v>1137</v>
      </c>
      <c r="D563" s="57">
        <f t="shared" si="8"/>
        <v>615</v>
      </c>
    </row>
    <row r="564" spans="1:4">
      <c r="A564" s="53">
        <v>617</v>
      </c>
      <c r="B564" s="40" t="s">
        <v>1139</v>
      </c>
      <c r="C564" s="40" t="s">
        <v>1138</v>
      </c>
      <c r="D564" s="57">
        <f t="shared" si="8"/>
        <v>617</v>
      </c>
    </row>
    <row r="565" spans="1:4">
      <c r="A565" s="53">
        <v>618</v>
      </c>
      <c r="B565" s="40" t="s">
        <v>1140</v>
      </c>
      <c r="C565" s="40" t="s">
        <v>1141</v>
      </c>
      <c r="D565" s="57">
        <f t="shared" si="8"/>
        <v>618</v>
      </c>
    </row>
    <row r="566" spans="1:4">
      <c r="A566" s="53">
        <v>619</v>
      </c>
      <c r="B566" s="40" t="s">
        <v>1142</v>
      </c>
      <c r="C566" s="40" t="s">
        <v>1143</v>
      </c>
      <c r="D566" s="57">
        <f t="shared" si="8"/>
        <v>619</v>
      </c>
    </row>
    <row r="567" spans="1:4">
      <c r="A567" s="53">
        <v>620</v>
      </c>
      <c r="B567" s="40" t="s">
        <v>1144</v>
      </c>
      <c r="C567" s="40" t="s">
        <v>1145</v>
      </c>
      <c r="D567" s="57">
        <f t="shared" si="8"/>
        <v>620</v>
      </c>
    </row>
    <row r="568" spans="1:4">
      <c r="A568" s="53">
        <v>621</v>
      </c>
      <c r="B568" s="40" t="s">
        <v>1146</v>
      </c>
      <c r="C568" s="40" t="s">
        <v>1147</v>
      </c>
      <c r="D568" s="57">
        <f t="shared" si="8"/>
        <v>621</v>
      </c>
    </row>
    <row r="569" spans="1:4">
      <c r="A569" s="53">
        <v>622</v>
      </c>
      <c r="B569" s="40" t="s">
        <v>1148</v>
      </c>
      <c r="C569" s="40" t="s">
        <v>1149</v>
      </c>
      <c r="D569" s="57">
        <f t="shared" si="8"/>
        <v>622</v>
      </c>
    </row>
    <row r="570" spans="1:4">
      <c r="A570" s="53">
        <v>623</v>
      </c>
      <c r="B570" s="40" t="s">
        <v>1150</v>
      </c>
      <c r="C570" s="40" t="s">
        <v>1151</v>
      </c>
      <c r="D570" s="57">
        <f t="shared" si="8"/>
        <v>623</v>
      </c>
    </row>
    <row r="571" spans="1:4">
      <c r="A571" s="53">
        <v>624</v>
      </c>
      <c r="B571" s="40" t="s">
        <v>1152</v>
      </c>
      <c r="C571" s="40" t="s">
        <v>1153</v>
      </c>
      <c r="D571" s="57">
        <f t="shared" si="8"/>
        <v>624</v>
      </c>
    </row>
    <row r="572" spans="1:4">
      <c r="A572" s="53">
        <v>625</v>
      </c>
      <c r="B572" s="40" t="s">
        <v>1154</v>
      </c>
      <c r="C572" s="40" t="s">
        <v>1155</v>
      </c>
      <c r="D572" s="57">
        <f t="shared" si="8"/>
        <v>625</v>
      </c>
    </row>
    <row r="573" spans="1:4">
      <c r="A573" s="53">
        <v>626</v>
      </c>
      <c r="B573" s="40" t="s">
        <v>77</v>
      </c>
      <c r="C573" s="40" t="s">
        <v>1156</v>
      </c>
      <c r="D573" s="57">
        <f t="shared" si="8"/>
        <v>626</v>
      </c>
    </row>
    <row r="574" spans="1:4">
      <c r="A574" s="53">
        <v>627</v>
      </c>
      <c r="B574" s="40" t="s">
        <v>1157</v>
      </c>
      <c r="C574" s="40" t="s">
        <v>1158</v>
      </c>
      <c r="D574" s="57">
        <f t="shared" si="8"/>
        <v>627</v>
      </c>
    </row>
    <row r="575" spans="1:4">
      <c r="A575" s="53">
        <v>628</v>
      </c>
      <c r="B575" s="40" t="s">
        <v>1159</v>
      </c>
      <c r="C575" s="40" t="s">
        <v>1160</v>
      </c>
      <c r="D575" s="57">
        <f t="shared" si="8"/>
        <v>628</v>
      </c>
    </row>
    <row r="576" spans="1:4">
      <c r="A576" s="53">
        <v>629</v>
      </c>
      <c r="B576" s="40" t="s">
        <v>1161</v>
      </c>
      <c r="C576" s="40" t="s">
        <v>1162</v>
      </c>
      <c r="D576" s="57">
        <f t="shared" si="8"/>
        <v>629</v>
      </c>
    </row>
    <row r="577" spans="1:4">
      <c r="A577" s="53">
        <v>630</v>
      </c>
      <c r="B577" s="40" t="s">
        <v>1163</v>
      </c>
      <c r="C577" s="40" t="s">
        <v>1164</v>
      </c>
      <c r="D577" s="57">
        <f t="shared" si="8"/>
        <v>630</v>
      </c>
    </row>
    <row r="578" spans="1:4">
      <c r="A578" s="53">
        <v>632</v>
      </c>
      <c r="B578" s="40" t="s">
        <v>1165</v>
      </c>
      <c r="C578" s="40" t="s">
        <v>1166</v>
      </c>
      <c r="D578" s="57">
        <f t="shared" ref="D578:D641" si="9">$A578</f>
        <v>632</v>
      </c>
    </row>
    <row r="579" spans="1:4">
      <c r="A579" s="53">
        <v>633</v>
      </c>
      <c r="B579" s="40" t="s">
        <v>137</v>
      </c>
      <c r="C579" s="40" t="s">
        <v>1167</v>
      </c>
      <c r="D579" s="57">
        <f t="shared" si="9"/>
        <v>633</v>
      </c>
    </row>
    <row r="580" spans="1:4">
      <c r="A580" s="53">
        <v>634</v>
      </c>
      <c r="B580" s="40" t="s">
        <v>1168</v>
      </c>
      <c r="C580" s="40" t="s">
        <v>1169</v>
      </c>
      <c r="D580" s="57">
        <f t="shared" si="9"/>
        <v>634</v>
      </c>
    </row>
    <row r="581" spans="1:4">
      <c r="A581" s="53">
        <v>635</v>
      </c>
      <c r="B581" s="40" t="s">
        <v>1170</v>
      </c>
      <c r="C581" s="40" t="s">
        <v>1171</v>
      </c>
      <c r="D581" s="57">
        <f t="shared" si="9"/>
        <v>635</v>
      </c>
    </row>
    <row r="582" spans="1:4">
      <c r="A582" s="53">
        <v>636</v>
      </c>
      <c r="B582" s="40" t="s">
        <v>1172</v>
      </c>
      <c r="C582" s="40" t="s">
        <v>3340</v>
      </c>
      <c r="D582" s="57">
        <f t="shared" si="9"/>
        <v>636</v>
      </c>
    </row>
    <row r="583" spans="1:4">
      <c r="A583" s="53">
        <v>637</v>
      </c>
      <c r="B583" s="40" t="s">
        <v>1173</v>
      </c>
      <c r="C583" s="40" t="s">
        <v>1174</v>
      </c>
      <c r="D583" s="57">
        <f t="shared" si="9"/>
        <v>637</v>
      </c>
    </row>
    <row r="584" spans="1:4">
      <c r="A584" s="53">
        <v>638</v>
      </c>
      <c r="B584" s="40" t="s">
        <v>1175</v>
      </c>
      <c r="C584" s="40" t="s">
        <v>1176</v>
      </c>
      <c r="D584" s="57">
        <f t="shared" si="9"/>
        <v>638</v>
      </c>
    </row>
    <row r="585" spans="1:4">
      <c r="A585" s="53">
        <v>639</v>
      </c>
      <c r="B585" s="40" t="s">
        <v>1177</v>
      </c>
      <c r="C585" s="40" t="s">
        <v>1178</v>
      </c>
      <c r="D585" s="57">
        <f t="shared" si="9"/>
        <v>639</v>
      </c>
    </row>
    <row r="586" spans="1:4">
      <c r="A586" s="53">
        <v>640</v>
      </c>
      <c r="B586" s="40" t="s">
        <v>1179</v>
      </c>
      <c r="C586" s="40" t="s">
        <v>1180</v>
      </c>
      <c r="D586" s="57">
        <f t="shared" si="9"/>
        <v>640</v>
      </c>
    </row>
    <row r="587" spans="1:4">
      <c r="A587" s="53">
        <v>641</v>
      </c>
      <c r="B587" s="40" t="s">
        <v>1181</v>
      </c>
      <c r="C587" s="40" t="s">
        <v>2515</v>
      </c>
      <c r="D587" s="57">
        <f t="shared" si="9"/>
        <v>641</v>
      </c>
    </row>
    <row r="588" spans="1:4">
      <c r="A588" s="53">
        <v>642</v>
      </c>
      <c r="B588" s="40" t="s">
        <v>1182</v>
      </c>
      <c r="C588" s="40" t="s">
        <v>1183</v>
      </c>
      <c r="D588" s="57">
        <f t="shared" si="9"/>
        <v>642</v>
      </c>
    </row>
    <row r="589" spans="1:4">
      <c r="A589" s="53">
        <v>644</v>
      </c>
      <c r="B589" s="40" t="s">
        <v>1184</v>
      </c>
      <c r="C589" s="40" t="s">
        <v>1185</v>
      </c>
      <c r="D589" s="57">
        <f t="shared" si="9"/>
        <v>644</v>
      </c>
    </row>
    <row r="590" spans="1:4">
      <c r="A590" s="53">
        <v>645</v>
      </c>
      <c r="B590" s="40" t="s">
        <v>96</v>
      </c>
      <c r="C590" s="40" t="s">
        <v>1186</v>
      </c>
      <c r="D590" s="57">
        <f t="shared" si="9"/>
        <v>645</v>
      </c>
    </row>
    <row r="591" spans="1:4">
      <c r="A591" s="53">
        <v>646</v>
      </c>
      <c r="B591" s="40" t="s">
        <v>1187</v>
      </c>
      <c r="C591" s="40" t="s">
        <v>1188</v>
      </c>
      <c r="D591" s="57">
        <f t="shared" si="9"/>
        <v>646</v>
      </c>
    </row>
    <row r="592" spans="1:4">
      <c r="A592" s="53">
        <v>648</v>
      </c>
      <c r="B592" s="40" t="s">
        <v>1189</v>
      </c>
      <c r="C592" s="40" t="s">
        <v>1190</v>
      </c>
      <c r="D592" s="57">
        <f t="shared" si="9"/>
        <v>648</v>
      </c>
    </row>
    <row r="593" spans="1:4">
      <c r="A593" s="53">
        <v>649</v>
      </c>
      <c r="B593" s="40" t="s">
        <v>1191</v>
      </c>
      <c r="C593" s="40" t="s">
        <v>1192</v>
      </c>
      <c r="D593" s="57">
        <f t="shared" si="9"/>
        <v>649</v>
      </c>
    </row>
    <row r="594" spans="1:4">
      <c r="A594" s="53">
        <v>650</v>
      </c>
      <c r="B594" s="40" t="s">
        <v>1193</v>
      </c>
      <c r="C594" s="40" t="s">
        <v>1194</v>
      </c>
      <c r="D594" s="57">
        <f t="shared" si="9"/>
        <v>650</v>
      </c>
    </row>
    <row r="595" spans="1:4">
      <c r="A595" s="53">
        <v>651</v>
      </c>
      <c r="B595" s="40" t="s">
        <v>2516</v>
      </c>
      <c r="C595" s="40" t="s">
        <v>1195</v>
      </c>
      <c r="D595" s="57">
        <f t="shared" si="9"/>
        <v>651</v>
      </c>
    </row>
    <row r="596" spans="1:4">
      <c r="A596" s="53">
        <v>653</v>
      </c>
      <c r="B596" s="40" t="s">
        <v>1196</v>
      </c>
      <c r="C596" s="40" t="s">
        <v>1197</v>
      </c>
      <c r="D596" s="57">
        <f t="shared" si="9"/>
        <v>653</v>
      </c>
    </row>
    <row r="597" spans="1:4">
      <c r="A597" s="53">
        <v>654</v>
      </c>
      <c r="B597" s="40" t="s">
        <v>1198</v>
      </c>
      <c r="C597" s="40" t="s">
        <v>1199</v>
      </c>
      <c r="D597" s="57">
        <f t="shared" si="9"/>
        <v>654</v>
      </c>
    </row>
    <row r="598" spans="1:4">
      <c r="A598" s="53">
        <v>655</v>
      </c>
      <c r="B598" s="40" t="s">
        <v>1200</v>
      </c>
      <c r="C598" s="40" t="s">
        <v>1201</v>
      </c>
      <c r="D598" s="57">
        <f t="shared" si="9"/>
        <v>655</v>
      </c>
    </row>
    <row r="599" spans="1:4">
      <c r="A599" s="53">
        <v>656</v>
      </c>
      <c r="B599" s="40" t="s">
        <v>1202</v>
      </c>
      <c r="C599" s="40" t="s">
        <v>1203</v>
      </c>
      <c r="D599" s="57">
        <f t="shared" si="9"/>
        <v>656</v>
      </c>
    </row>
    <row r="600" spans="1:4">
      <c r="A600" s="53">
        <v>658</v>
      </c>
      <c r="B600" s="40" t="s">
        <v>1205</v>
      </c>
      <c r="C600" s="40" t="s">
        <v>1204</v>
      </c>
      <c r="D600" s="57">
        <f t="shared" si="9"/>
        <v>658</v>
      </c>
    </row>
    <row r="601" spans="1:4">
      <c r="A601" s="53">
        <v>660</v>
      </c>
      <c r="B601" s="40" t="s">
        <v>1207</v>
      </c>
      <c r="C601" s="40" t="s">
        <v>2021</v>
      </c>
      <c r="D601" s="57">
        <f t="shared" si="9"/>
        <v>660</v>
      </c>
    </row>
    <row r="602" spans="1:4">
      <c r="A602" s="53">
        <v>661</v>
      </c>
      <c r="B602" s="40" t="s">
        <v>1208</v>
      </c>
      <c r="C602" s="40" t="s">
        <v>1185</v>
      </c>
      <c r="D602" s="57">
        <f t="shared" si="9"/>
        <v>661</v>
      </c>
    </row>
    <row r="603" spans="1:4">
      <c r="A603" s="53">
        <v>662</v>
      </c>
      <c r="B603" s="40" t="s">
        <v>1209</v>
      </c>
      <c r="C603" s="40" t="s">
        <v>1210</v>
      </c>
      <c r="D603" s="57">
        <f t="shared" si="9"/>
        <v>662</v>
      </c>
    </row>
    <row r="604" spans="1:4">
      <c r="A604" s="53">
        <v>663</v>
      </c>
      <c r="B604" s="40" t="s">
        <v>1211</v>
      </c>
      <c r="C604" s="40" t="s">
        <v>2517</v>
      </c>
      <c r="D604" s="57">
        <f t="shared" si="9"/>
        <v>663</v>
      </c>
    </row>
    <row r="605" spans="1:4">
      <c r="A605" s="53">
        <v>664</v>
      </c>
      <c r="B605" s="40" t="s">
        <v>1212</v>
      </c>
      <c r="C605" s="40" t="s">
        <v>1213</v>
      </c>
      <c r="D605" s="57">
        <f t="shared" si="9"/>
        <v>664</v>
      </c>
    </row>
    <row r="606" spans="1:4">
      <c r="A606" s="53">
        <v>665</v>
      </c>
      <c r="B606" s="40" t="s">
        <v>1214</v>
      </c>
      <c r="C606" s="60" t="s">
        <v>2518</v>
      </c>
      <c r="D606" s="57">
        <f t="shared" si="9"/>
        <v>665</v>
      </c>
    </row>
    <row r="607" spans="1:4">
      <c r="A607" s="53">
        <v>667</v>
      </c>
      <c r="B607" s="40" t="s">
        <v>1215</v>
      </c>
      <c r="C607" s="40" t="s">
        <v>1216</v>
      </c>
      <c r="D607" s="57">
        <f t="shared" si="9"/>
        <v>667</v>
      </c>
    </row>
    <row r="608" spans="1:4">
      <c r="A608" s="53">
        <v>668</v>
      </c>
      <c r="B608" s="40" t="s">
        <v>1217</v>
      </c>
      <c r="C608" s="40" t="s">
        <v>1218</v>
      </c>
      <c r="D608" s="57">
        <f t="shared" si="9"/>
        <v>668</v>
      </c>
    </row>
    <row r="609" spans="1:4">
      <c r="A609" s="53">
        <v>669</v>
      </c>
      <c r="B609" s="40" t="s">
        <v>1219</v>
      </c>
      <c r="C609" s="40" t="s">
        <v>1220</v>
      </c>
      <c r="D609" s="57">
        <f t="shared" si="9"/>
        <v>669</v>
      </c>
    </row>
    <row r="610" spans="1:4">
      <c r="A610" s="53">
        <v>670</v>
      </c>
      <c r="B610" s="40" t="s">
        <v>1221</v>
      </c>
      <c r="C610" s="40" t="s">
        <v>1222</v>
      </c>
      <c r="D610" s="57">
        <f t="shared" si="9"/>
        <v>670</v>
      </c>
    </row>
    <row r="611" spans="1:4">
      <c r="A611" s="53">
        <v>671</v>
      </c>
      <c r="B611" s="40" t="s">
        <v>1223</v>
      </c>
      <c r="C611" s="40" t="s">
        <v>1224</v>
      </c>
      <c r="D611" s="57">
        <f t="shared" si="9"/>
        <v>671</v>
      </c>
    </row>
    <row r="612" spans="1:4">
      <c r="A612" s="53">
        <v>672</v>
      </c>
      <c r="B612" s="40" t="s">
        <v>1225</v>
      </c>
      <c r="C612" s="40" t="s">
        <v>1226</v>
      </c>
      <c r="D612" s="57">
        <f t="shared" si="9"/>
        <v>672</v>
      </c>
    </row>
    <row r="613" spans="1:4">
      <c r="A613" s="53">
        <v>673</v>
      </c>
      <c r="B613" s="40" t="s">
        <v>85</v>
      </c>
      <c r="C613" s="40" t="s">
        <v>1227</v>
      </c>
      <c r="D613" s="57">
        <f t="shared" si="9"/>
        <v>673</v>
      </c>
    </row>
    <row r="614" spans="1:4">
      <c r="A614" s="53">
        <v>674</v>
      </c>
      <c r="B614" s="40" t="s">
        <v>1228</v>
      </c>
      <c r="C614" s="40" t="s">
        <v>1229</v>
      </c>
      <c r="D614" s="57">
        <f t="shared" si="9"/>
        <v>674</v>
      </c>
    </row>
    <row r="615" spans="1:4">
      <c r="A615" s="53">
        <v>675</v>
      </c>
      <c r="B615" s="40" t="s">
        <v>1230</v>
      </c>
      <c r="C615" s="40" t="s">
        <v>1231</v>
      </c>
      <c r="D615" s="57">
        <f t="shared" si="9"/>
        <v>675</v>
      </c>
    </row>
    <row r="616" spans="1:4">
      <c r="A616" s="53">
        <v>676</v>
      </c>
      <c r="B616" s="40" t="s">
        <v>1232</v>
      </c>
      <c r="C616" s="40" t="s">
        <v>1233</v>
      </c>
      <c r="D616" s="57">
        <f t="shared" si="9"/>
        <v>676</v>
      </c>
    </row>
    <row r="617" spans="1:4">
      <c r="A617" s="53">
        <v>677</v>
      </c>
      <c r="B617" s="40" t="s">
        <v>1234</v>
      </c>
      <c r="C617" s="40" t="s">
        <v>1235</v>
      </c>
      <c r="D617" s="57">
        <f t="shared" si="9"/>
        <v>677</v>
      </c>
    </row>
    <row r="618" spans="1:4">
      <c r="A618" s="53">
        <v>678</v>
      </c>
      <c r="B618" s="40" t="s">
        <v>1236</v>
      </c>
      <c r="C618" s="40" t="s">
        <v>1237</v>
      </c>
      <c r="D618" s="57">
        <f t="shared" si="9"/>
        <v>678</v>
      </c>
    </row>
    <row r="619" spans="1:4">
      <c r="A619" s="53">
        <v>679</v>
      </c>
      <c r="B619" s="40" t="s">
        <v>1238</v>
      </c>
      <c r="C619" s="40" t="s">
        <v>1239</v>
      </c>
      <c r="D619" s="57">
        <f t="shared" si="9"/>
        <v>679</v>
      </c>
    </row>
    <row r="620" spans="1:4">
      <c r="A620" s="53">
        <v>680</v>
      </c>
      <c r="B620" s="40" t="s">
        <v>1240</v>
      </c>
      <c r="C620" s="40" t="s">
        <v>2022</v>
      </c>
      <c r="D620" s="57">
        <f t="shared" si="9"/>
        <v>680</v>
      </c>
    </row>
    <row r="621" spans="1:4">
      <c r="A621" s="53">
        <v>681</v>
      </c>
      <c r="B621" s="40" t="s">
        <v>1241</v>
      </c>
      <c r="C621" s="40" t="s">
        <v>1242</v>
      </c>
      <c r="D621" s="57">
        <f t="shared" si="9"/>
        <v>681</v>
      </c>
    </row>
    <row r="622" spans="1:4">
      <c r="A622" s="53">
        <v>682</v>
      </c>
      <c r="B622" s="40" t="s">
        <v>1243</v>
      </c>
      <c r="C622" s="40" t="s">
        <v>1244</v>
      </c>
      <c r="D622" s="57">
        <f t="shared" si="9"/>
        <v>682</v>
      </c>
    </row>
    <row r="623" spans="1:4">
      <c r="A623" s="53">
        <v>683</v>
      </c>
      <c r="B623" s="40" t="s">
        <v>1245</v>
      </c>
      <c r="C623" s="40" t="s">
        <v>1246</v>
      </c>
      <c r="D623" s="57">
        <f t="shared" si="9"/>
        <v>683</v>
      </c>
    </row>
    <row r="624" spans="1:4">
      <c r="A624" s="53">
        <v>684</v>
      </c>
      <c r="B624" s="40" t="s">
        <v>1247</v>
      </c>
      <c r="C624" s="40" t="s">
        <v>1248</v>
      </c>
      <c r="D624" s="57">
        <f t="shared" si="9"/>
        <v>684</v>
      </c>
    </row>
    <row r="625" spans="1:4">
      <c r="A625" s="53">
        <v>685</v>
      </c>
      <c r="B625" s="40" t="s">
        <v>1249</v>
      </c>
      <c r="C625" s="40" t="s">
        <v>1250</v>
      </c>
      <c r="D625" s="57">
        <f t="shared" si="9"/>
        <v>685</v>
      </c>
    </row>
    <row r="626" spans="1:4">
      <c r="A626" s="53">
        <v>686</v>
      </c>
      <c r="B626" s="40" t="s">
        <v>1251</v>
      </c>
      <c r="C626" s="40" t="s">
        <v>1252</v>
      </c>
      <c r="D626" s="57">
        <f t="shared" si="9"/>
        <v>686</v>
      </c>
    </row>
    <row r="627" spans="1:4">
      <c r="A627" s="53">
        <v>687</v>
      </c>
      <c r="B627" s="40" t="s">
        <v>1253</v>
      </c>
      <c r="C627" s="40" t="s">
        <v>1254</v>
      </c>
      <c r="D627" s="57">
        <f t="shared" si="9"/>
        <v>687</v>
      </c>
    </row>
    <row r="628" spans="1:4">
      <c r="A628" s="53">
        <v>688</v>
      </c>
      <c r="B628" s="40" t="s">
        <v>1255</v>
      </c>
      <c r="C628" s="40" t="s">
        <v>1256</v>
      </c>
      <c r="D628" s="57">
        <f t="shared" si="9"/>
        <v>688</v>
      </c>
    </row>
    <row r="629" spans="1:4">
      <c r="A629" s="53">
        <v>689</v>
      </c>
      <c r="B629" s="40" t="s">
        <v>1257</v>
      </c>
      <c r="C629" s="40" t="s">
        <v>1258</v>
      </c>
      <c r="D629" s="57">
        <f t="shared" si="9"/>
        <v>689</v>
      </c>
    </row>
    <row r="630" spans="1:4">
      <c r="A630" s="53">
        <v>690</v>
      </c>
      <c r="B630" s="40" t="s">
        <v>1259</v>
      </c>
      <c r="C630" s="40" t="s">
        <v>1260</v>
      </c>
      <c r="D630" s="57">
        <f t="shared" si="9"/>
        <v>690</v>
      </c>
    </row>
    <row r="631" spans="1:4">
      <c r="A631" s="53">
        <v>691</v>
      </c>
      <c r="B631" s="40" t="s">
        <v>1261</v>
      </c>
      <c r="C631" s="40" t="s">
        <v>3341</v>
      </c>
      <c r="D631" s="57">
        <f t="shared" si="9"/>
        <v>691</v>
      </c>
    </row>
    <row r="632" spans="1:4">
      <c r="A632" s="53">
        <v>692</v>
      </c>
      <c r="B632" s="40" t="s">
        <v>97</v>
      </c>
      <c r="C632" s="40" t="s">
        <v>1262</v>
      </c>
      <c r="D632" s="57">
        <f t="shared" si="9"/>
        <v>692</v>
      </c>
    </row>
    <row r="633" spans="1:4">
      <c r="A633" s="53">
        <v>693</v>
      </c>
      <c r="B633" s="40" t="s">
        <v>1263</v>
      </c>
      <c r="C633" s="40" t="s">
        <v>1264</v>
      </c>
      <c r="D633" s="57">
        <f t="shared" si="9"/>
        <v>693</v>
      </c>
    </row>
    <row r="634" spans="1:4">
      <c r="A634" s="53">
        <v>694</v>
      </c>
      <c r="B634" s="40" t="s">
        <v>1265</v>
      </c>
      <c r="C634" s="40" t="s">
        <v>1266</v>
      </c>
      <c r="D634" s="57">
        <f t="shared" si="9"/>
        <v>694</v>
      </c>
    </row>
    <row r="635" spans="1:4">
      <c r="A635" s="53">
        <v>695</v>
      </c>
      <c r="B635" s="40" t="s">
        <v>1267</v>
      </c>
      <c r="C635" s="40" t="s">
        <v>1268</v>
      </c>
      <c r="D635" s="57">
        <f t="shared" si="9"/>
        <v>695</v>
      </c>
    </row>
    <row r="636" spans="1:4">
      <c r="A636" s="53">
        <v>696</v>
      </c>
      <c r="B636" s="40" t="s">
        <v>2470</v>
      </c>
      <c r="C636" s="40" t="s">
        <v>2471</v>
      </c>
      <c r="D636" s="57">
        <f t="shared" si="9"/>
        <v>696</v>
      </c>
    </row>
    <row r="637" spans="1:4">
      <c r="A637" s="53">
        <v>697</v>
      </c>
      <c r="B637" s="40" t="s">
        <v>1269</v>
      </c>
      <c r="C637" s="40" t="s">
        <v>1270</v>
      </c>
      <c r="D637" s="57">
        <f t="shared" si="9"/>
        <v>697</v>
      </c>
    </row>
    <row r="638" spans="1:4">
      <c r="A638" s="53">
        <v>698</v>
      </c>
      <c r="B638" s="40" t="s">
        <v>1271</v>
      </c>
      <c r="C638" s="40" t="s">
        <v>1272</v>
      </c>
      <c r="D638" s="57">
        <f t="shared" si="9"/>
        <v>698</v>
      </c>
    </row>
    <row r="639" spans="1:4">
      <c r="A639" s="53">
        <v>699</v>
      </c>
      <c r="B639" s="40" t="s">
        <v>1273</v>
      </c>
      <c r="C639" s="40" t="s">
        <v>1274</v>
      </c>
      <c r="D639" s="57">
        <f t="shared" si="9"/>
        <v>699</v>
      </c>
    </row>
    <row r="640" spans="1:4">
      <c r="A640" s="53">
        <v>700</v>
      </c>
      <c r="B640" s="40" t="s">
        <v>1275</v>
      </c>
      <c r="C640" s="40" t="s">
        <v>1276</v>
      </c>
      <c r="D640" s="57">
        <f t="shared" si="9"/>
        <v>700</v>
      </c>
    </row>
    <row r="641" spans="1:4">
      <c r="A641" s="53">
        <v>701</v>
      </c>
      <c r="B641" s="40" t="s">
        <v>1277</v>
      </c>
      <c r="C641" s="40" t="s">
        <v>1278</v>
      </c>
      <c r="D641" s="57">
        <f t="shared" si="9"/>
        <v>701</v>
      </c>
    </row>
    <row r="642" spans="1:4">
      <c r="A642" s="53">
        <v>702</v>
      </c>
      <c r="B642" s="40" t="s">
        <v>1279</v>
      </c>
      <c r="C642" s="40" t="s">
        <v>1280</v>
      </c>
      <c r="D642" s="57">
        <f t="shared" ref="D642:D705" si="10">$A642</f>
        <v>702</v>
      </c>
    </row>
    <row r="643" spans="1:4">
      <c r="A643" s="53">
        <v>703</v>
      </c>
      <c r="B643" s="40" t="s">
        <v>1281</v>
      </c>
      <c r="C643" s="40" t="s">
        <v>1282</v>
      </c>
      <c r="D643" s="57">
        <f t="shared" si="10"/>
        <v>703</v>
      </c>
    </row>
    <row r="644" spans="1:4">
      <c r="A644" s="53">
        <v>704</v>
      </c>
      <c r="B644" s="40" t="s">
        <v>1283</v>
      </c>
      <c r="C644" s="40" t="s">
        <v>1284</v>
      </c>
      <c r="D644" s="57">
        <f t="shared" si="10"/>
        <v>704</v>
      </c>
    </row>
    <row r="645" spans="1:4">
      <c r="A645" s="53">
        <v>705</v>
      </c>
      <c r="B645" s="40" t="s">
        <v>1285</v>
      </c>
      <c r="C645" s="40" t="s">
        <v>1286</v>
      </c>
      <c r="D645" s="57">
        <f t="shared" si="10"/>
        <v>705</v>
      </c>
    </row>
    <row r="646" spans="1:4">
      <c r="A646" s="53">
        <v>706</v>
      </c>
      <c r="B646" s="40" t="s">
        <v>1287</v>
      </c>
      <c r="C646" s="40" t="s">
        <v>1288</v>
      </c>
      <c r="D646" s="57">
        <f t="shared" si="10"/>
        <v>706</v>
      </c>
    </row>
    <row r="647" spans="1:4">
      <c r="A647" s="53">
        <v>707</v>
      </c>
      <c r="B647" s="40" t="s">
        <v>1289</v>
      </c>
      <c r="C647" s="40" t="s">
        <v>1290</v>
      </c>
      <c r="D647" s="57">
        <f t="shared" si="10"/>
        <v>707</v>
      </c>
    </row>
    <row r="648" spans="1:4">
      <c r="A648" s="53">
        <v>708</v>
      </c>
      <c r="B648" s="40" t="s">
        <v>1291</v>
      </c>
      <c r="C648" s="40" t="s">
        <v>1292</v>
      </c>
      <c r="D648" s="57">
        <f t="shared" si="10"/>
        <v>708</v>
      </c>
    </row>
    <row r="649" spans="1:4">
      <c r="A649" s="53">
        <v>710</v>
      </c>
      <c r="B649" s="40" t="s">
        <v>1293</v>
      </c>
      <c r="C649" s="40" t="s">
        <v>1294</v>
      </c>
      <c r="D649" s="57">
        <f t="shared" si="10"/>
        <v>710</v>
      </c>
    </row>
    <row r="650" spans="1:4">
      <c r="A650" s="53">
        <v>711</v>
      </c>
      <c r="B650" s="40" t="s">
        <v>1295</v>
      </c>
      <c r="C650" s="40" t="s">
        <v>1296</v>
      </c>
      <c r="D650" s="57">
        <f t="shared" si="10"/>
        <v>711</v>
      </c>
    </row>
    <row r="651" spans="1:4">
      <c r="A651" s="53">
        <v>712</v>
      </c>
      <c r="B651" s="40" t="s">
        <v>1297</v>
      </c>
      <c r="C651" s="40" t="s">
        <v>1948</v>
      </c>
      <c r="D651" s="57">
        <f t="shared" si="10"/>
        <v>712</v>
      </c>
    </row>
    <row r="652" spans="1:4">
      <c r="A652" s="53">
        <v>713</v>
      </c>
      <c r="B652" s="40" t="s">
        <v>1298</v>
      </c>
      <c r="C652" s="40" t="s">
        <v>1299</v>
      </c>
      <c r="D652" s="57">
        <f t="shared" si="10"/>
        <v>713</v>
      </c>
    </row>
    <row r="653" spans="1:4">
      <c r="A653" s="53">
        <v>714</v>
      </c>
      <c r="B653" s="40" t="s">
        <v>1300</v>
      </c>
      <c r="C653" s="40" t="s">
        <v>1301</v>
      </c>
      <c r="D653" s="57">
        <f t="shared" si="10"/>
        <v>714</v>
      </c>
    </row>
    <row r="654" spans="1:4">
      <c r="A654" s="53">
        <v>715</v>
      </c>
      <c r="B654" s="40" t="s">
        <v>1302</v>
      </c>
      <c r="C654" s="40" t="s">
        <v>1303</v>
      </c>
      <c r="D654" s="57">
        <f t="shared" si="10"/>
        <v>715</v>
      </c>
    </row>
    <row r="655" spans="1:4">
      <c r="A655" s="53">
        <v>716</v>
      </c>
      <c r="B655" s="40" t="s">
        <v>92</v>
      </c>
      <c r="C655" s="40" t="s">
        <v>1304</v>
      </c>
      <c r="D655" s="57">
        <f t="shared" si="10"/>
        <v>716</v>
      </c>
    </row>
    <row r="656" spans="1:4">
      <c r="A656" s="53">
        <v>717</v>
      </c>
      <c r="B656" s="40" t="s">
        <v>1305</v>
      </c>
      <c r="C656" s="40" t="s">
        <v>1306</v>
      </c>
      <c r="D656" s="57">
        <f t="shared" si="10"/>
        <v>717</v>
      </c>
    </row>
    <row r="657" spans="1:4">
      <c r="A657" s="53">
        <v>718</v>
      </c>
      <c r="B657" s="40" t="s">
        <v>1307</v>
      </c>
      <c r="C657" s="40" t="s">
        <v>1308</v>
      </c>
      <c r="D657" s="57">
        <f t="shared" si="10"/>
        <v>718</v>
      </c>
    </row>
    <row r="658" spans="1:4">
      <c r="A658" s="53">
        <v>719</v>
      </c>
      <c r="B658" s="40" t="s">
        <v>1309</v>
      </c>
      <c r="C658" s="40" t="s">
        <v>2023</v>
      </c>
      <c r="D658" s="57">
        <f t="shared" si="10"/>
        <v>719</v>
      </c>
    </row>
    <row r="659" spans="1:4">
      <c r="A659" s="53">
        <v>720</v>
      </c>
      <c r="B659" s="40" t="s">
        <v>1310</v>
      </c>
      <c r="C659" s="40" t="s">
        <v>1311</v>
      </c>
      <c r="D659" s="57">
        <f t="shared" si="10"/>
        <v>720</v>
      </c>
    </row>
    <row r="660" spans="1:4">
      <c r="A660" s="53">
        <v>721</v>
      </c>
      <c r="B660" s="40" t="s">
        <v>1312</v>
      </c>
      <c r="C660" s="40" t="s">
        <v>2024</v>
      </c>
      <c r="D660" s="57">
        <f t="shared" si="10"/>
        <v>721</v>
      </c>
    </row>
    <row r="661" spans="1:4">
      <c r="A661" s="53">
        <v>722</v>
      </c>
      <c r="B661" s="40" t="s">
        <v>1313</v>
      </c>
      <c r="C661" s="40" t="s">
        <v>1314</v>
      </c>
      <c r="D661" s="57">
        <f t="shared" si="10"/>
        <v>722</v>
      </c>
    </row>
    <row r="662" spans="1:4">
      <c r="A662" s="53">
        <v>723</v>
      </c>
      <c r="B662" s="40" t="s">
        <v>1315</v>
      </c>
      <c r="C662" s="40" t="s">
        <v>2025</v>
      </c>
      <c r="D662" s="57">
        <f t="shared" si="10"/>
        <v>723</v>
      </c>
    </row>
    <row r="663" spans="1:4">
      <c r="A663" s="53">
        <v>724</v>
      </c>
      <c r="B663" s="40" t="s">
        <v>3342</v>
      </c>
      <c r="C663" s="40" t="s">
        <v>1316</v>
      </c>
      <c r="D663" s="57">
        <f t="shared" si="10"/>
        <v>724</v>
      </c>
    </row>
    <row r="664" spans="1:4">
      <c r="A664" s="53">
        <v>725</v>
      </c>
      <c r="B664" s="40" t="s">
        <v>1317</v>
      </c>
      <c r="C664" s="40" t="s">
        <v>1318</v>
      </c>
      <c r="D664" s="57">
        <f t="shared" si="10"/>
        <v>725</v>
      </c>
    </row>
    <row r="665" spans="1:4">
      <c r="A665" s="53">
        <v>726</v>
      </c>
      <c r="B665" s="40" t="s">
        <v>1319</v>
      </c>
      <c r="C665" s="40" t="s">
        <v>1320</v>
      </c>
      <c r="D665" s="57">
        <f t="shared" si="10"/>
        <v>726</v>
      </c>
    </row>
    <row r="666" spans="1:4">
      <c r="A666" s="53">
        <v>727</v>
      </c>
      <c r="B666" s="40" t="s">
        <v>1321</v>
      </c>
      <c r="C666" s="40" t="s">
        <v>3343</v>
      </c>
      <c r="D666" s="57">
        <f t="shared" si="10"/>
        <v>727</v>
      </c>
    </row>
    <row r="667" spans="1:4">
      <c r="A667" s="53">
        <v>728</v>
      </c>
      <c r="B667" s="40" t="s">
        <v>1322</v>
      </c>
      <c r="C667" s="40" t="s">
        <v>1323</v>
      </c>
      <c r="D667" s="57">
        <f t="shared" si="10"/>
        <v>728</v>
      </c>
    </row>
    <row r="668" spans="1:4">
      <c r="A668" s="53">
        <v>729</v>
      </c>
      <c r="B668" s="40" t="s">
        <v>1324</v>
      </c>
      <c r="C668" s="40" t="s">
        <v>1325</v>
      </c>
      <c r="D668" s="57">
        <f t="shared" si="10"/>
        <v>729</v>
      </c>
    </row>
    <row r="669" spans="1:4">
      <c r="A669" s="53">
        <v>730</v>
      </c>
      <c r="B669" s="40" t="s">
        <v>1326</v>
      </c>
      <c r="C669" s="40" t="s">
        <v>1327</v>
      </c>
      <c r="D669" s="57">
        <f t="shared" si="10"/>
        <v>730</v>
      </c>
    </row>
    <row r="670" spans="1:4">
      <c r="A670" s="53">
        <v>731</v>
      </c>
      <c r="B670" s="40" t="s">
        <v>1328</v>
      </c>
      <c r="C670" s="40" t="s">
        <v>1329</v>
      </c>
      <c r="D670" s="57">
        <f t="shared" si="10"/>
        <v>731</v>
      </c>
    </row>
    <row r="671" spans="1:4">
      <c r="A671" s="53">
        <v>732</v>
      </c>
      <c r="B671" s="40" t="s">
        <v>1330</v>
      </c>
      <c r="C671" s="40" t="s">
        <v>1331</v>
      </c>
      <c r="D671" s="57">
        <f t="shared" si="10"/>
        <v>732</v>
      </c>
    </row>
    <row r="672" spans="1:4">
      <c r="A672" s="53">
        <v>733</v>
      </c>
      <c r="B672" s="40" t="s">
        <v>1332</v>
      </c>
      <c r="C672" s="40" t="s">
        <v>2026</v>
      </c>
      <c r="D672" s="57">
        <f t="shared" si="10"/>
        <v>733</v>
      </c>
    </row>
    <row r="673" spans="1:4">
      <c r="A673" s="53">
        <v>734</v>
      </c>
      <c r="B673" s="40" t="s">
        <v>1333</v>
      </c>
      <c r="C673" s="40" t="s">
        <v>1334</v>
      </c>
      <c r="D673" s="57">
        <f t="shared" si="10"/>
        <v>734</v>
      </c>
    </row>
    <row r="674" spans="1:4">
      <c r="A674" s="53">
        <v>735</v>
      </c>
      <c r="B674" s="40" t="s">
        <v>1335</v>
      </c>
      <c r="C674" s="40" t="s">
        <v>1336</v>
      </c>
      <c r="D674" s="57">
        <f t="shared" si="10"/>
        <v>735</v>
      </c>
    </row>
    <row r="675" spans="1:4">
      <c r="A675" s="53">
        <v>736</v>
      </c>
      <c r="B675" s="40" t="s">
        <v>1337</v>
      </c>
      <c r="C675" s="40" t="s">
        <v>1338</v>
      </c>
      <c r="D675" s="57">
        <f t="shared" si="10"/>
        <v>736</v>
      </c>
    </row>
    <row r="676" spans="1:4">
      <c r="A676" s="53">
        <v>737</v>
      </c>
      <c r="B676" s="40" t="s">
        <v>1339</v>
      </c>
      <c r="C676" s="40" t="s">
        <v>1340</v>
      </c>
      <c r="D676" s="57">
        <f t="shared" si="10"/>
        <v>737</v>
      </c>
    </row>
    <row r="677" spans="1:4">
      <c r="A677" s="53">
        <v>738</v>
      </c>
      <c r="B677" s="40" t="s">
        <v>1341</v>
      </c>
      <c r="C677" s="40" t="s">
        <v>1342</v>
      </c>
      <c r="D677" s="57">
        <f t="shared" si="10"/>
        <v>738</v>
      </c>
    </row>
    <row r="678" spans="1:4">
      <c r="A678" s="53">
        <v>739</v>
      </c>
      <c r="B678" s="40" t="s">
        <v>1343</v>
      </c>
      <c r="C678" s="40" t="s">
        <v>1344</v>
      </c>
      <c r="D678" s="57">
        <f t="shared" si="10"/>
        <v>739</v>
      </c>
    </row>
    <row r="679" spans="1:4">
      <c r="A679" s="53">
        <v>740</v>
      </c>
      <c r="B679" s="40" t="s">
        <v>1345</v>
      </c>
      <c r="C679" s="40" t="s">
        <v>1346</v>
      </c>
      <c r="D679" s="57">
        <f t="shared" si="10"/>
        <v>740</v>
      </c>
    </row>
    <row r="680" spans="1:4">
      <c r="A680" s="53">
        <v>741</v>
      </c>
      <c r="B680" s="40" t="s">
        <v>1347</v>
      </c>
      <c r="C680" s="40" t="s">
        <v>1348</v>
      </c>
      <c r="D680" s="57">
        <f t="shared" si="10"/>
        <v>741</v>
      </c>
    </row>
    <row r="681" spans="1:4">
      <c r="A681" s="53">
        <v>742</v>
      </c>
      <c r="B681" s="40" t="s">
        <v>1349</v>
      </c>
      <c r="C681" s="40" t="s">
        <v>1350</v>
      </c>
      <c r="D681" s="57">
        <f t="shared" si="10"/>
        <v>742</v>
      </c>
    </row>
    <row r="682" spans="1:4">
      <c r="A682" s="53">
        <v>743</v>
      </c>
      <c r="B682" s="40" t="s">
        <v>1351</v>
      </c>
      <c r="C682" s="40" t="s">
        <v>1352</v>
      </c>
      <c r="D682" s="57">
        <f t="shared" si="10"/>
        <v>743</v>
      </c>
    </row>
    <row r="683" spans="1:4">
      <c r="A683" s="53">
        <v>744</v>
      </c>
      <c r="B683" s="40" t="s">
        <v>202</v>
      </c>
      <c r="C683" s="40" t="s">
        <v>1353</v>
      </c>
      <c r="D683" s="57">
        <f t="shared" si="10"/>
        <v>744</v>
      </c>
    </row>
    <row r="684" spans="1:4">
      <c r="A684" s="53">
        <v>746</v>
      </c>
      <c r="B684" s="40" t="s">
        <v>1354</v>
      </c>
      <c r="C684" s="40" t="s">
        <v>1355</v>
      </c>
      <c r="D684" s="57">
        <f t="shared" si="10"/>
        <v>746</v>
      </c>
    </row>
    <row r="685" spans="1:4">
      <c r="A685" s="53">
        <v>747</v>
      </c>
      <c r="B685" s="40" t="s">
        <v>1356</v>
      </c>
      <c r="C685" s="40" t="s">
        <v>1357</v>
      </c>
      <c r="D685" s="57">
        <f t="shared" si="10"/>
        <v>747</v>
      </c>
    </row>
    <row r="686" spans="1:4">
      <c r="A686" s="53">
        <v>748</v>
      </c>
      <c r="B686" s="40" t="s">
        <v>1358</v>
      </c>
      <c r="C686" s="40" t="s">
        <v>1359</v>
      </c>
      <c r="D686" s="57">
        <f t="shared" si="10"/>
        <v>748</v>
      </c>
    </row>
    <row r="687" spans="1:4">
      <c r="A687" s="53">
        <v>749</v>
      </c>
      <c r="B687" s="40" t="s">
        <v>1360</v>
      </c>
      <c r="C687" s="40" t="s">
        <v>1361</v>
      </c>
      <c r="D687" s="57">
        <f t="shared" si="10"/>
        <v>749</v>
      </c>
    </row>
    <row r="688" spans="1:4">
      <c r="A688" s="53">
        <v>750</v>
      </c>
      <c r="B688" s="40" t="s">
        <v>1362</v>
      </c>
      <c r="C688" s="40" t="s">
        <v>1363</v>
      </c>
      <c r="D688" s="57">
        <f t="shared" si="10"/>
        <v>750</v>
      </c>
    </row>
    <row r="689" spans="1:4">
      <c r="A689" s="53">
        <v>751</v>
      </c>
      <c r="B689" s="40" t="s">
        <v>1364</v>
      </c>
      <c r="C689" s="40" t="s">
        <v>1365</v>
      </c>
      <c r="D689" s="57">
        <f t="shared" si="10"/>
        <v>751</v>
      </c>
    </row>
    <row r="690" spans="1:4">
      <c r="A690" s="53">
        <v>752</v>
      </c>
      <c r="B690" s="40" t="s">
        <v>1366</v>
      </c>
      <c r="C690" s="40" t="s">
        <v>1367</v>
      </c>
      <c r="D690" s="57">
        <f t="shared" si="10"/>
        <v>752</v>
      </c>
    </row>
    <row r="691" spans="1:4">
      <c r="A691" s="53">
        <v>753</v>
      </c>
      <c r="B691" s="40" t="s">
        <v>1368</v>
      </c>
      <c r="C691" s="40" t="s">
        <v>1369</v>
      </c>
      <c r="D691" s="57">
        <f t="shared" si="10"/>
        <v>753</v>
      </c>
    </row>
    <row r="692" spans="1:4">
      <c r="A692" s="53">
        <v>754</v>
      </c>
      <c r="B692" s="40" t="s">
        <v>1370</v>
      </c>
      <c r="C692" s="40" t="s">
        <v>1371</v>
      </c>
      <c r="D692" s="57">
        <f t="shared" si="10"/>
        <v>754</v>
      </c>
    </row>
    <row r="693" spans="1:4">
      <c r="A693" s="53">
        <v>755</v>
      </c>
      <c r="B693" s="40" t="s">
        <v>1372</v>
      </c>
      <c r="C693" s="40" t="s">
        <v>1373</v>
      </c>
      <c r="D693" s="57">
        <f t="shared" si="10"/>
        <v>755</v>
      </c>
    </row>
    <row r="694" spans="1:4">
      <c r="A694" s="53">
        <v>756</v>
      </c>
      <c r="B694" s="40" t="s">
        <v>175</v>
      </c>
      <c r="C694" s="40" t="s">
        <v>1374</v>
      </c>
      <c r="D694" s="57">
        <f t="shared" si="10"/>
        <v>756</v>
      </c>
    </row>
    <row r="695" spans="1:4">
      <c r="A695" s="53">
        <v>757</v>
      </c>
      <c r="B695" s="40" t="s">
        <v>1375</v>
      </c>
      <c r="C695" s="40" t="s">
        <v>2027</v>
      </c>
      <c r="D695" s="57">
        <f t="shared" si="10"/>
        <v>757</v>
      </c>
    </row>
    <row r="696" spans="1:4">
      <c r="A696" s="53">
        <v>758</v>
      </c>
      <c r="B696" s="40" t="s">
        <v>1376</v>
      </c>
      <c r="C696" s="40" t="s">
        <v>1377</v>
      </c>
      <c r="D696" s="57">
        <f t="shared" si="10"/>
        <v>758</v>
      </c>
    </row>
    <row r="697" spans="1:4">
      <c r="A697" s="53">
        <v>759</v>
      </c>
      <c r="B697" s="40" t="s">
        <v>1378</v>
      </c>
      <c r="C697" s="40" t="s">
        <v>1379</v>
      </c>
      <c r="D697" s="57">
        <f t="shared" si="10"/>
        <v>759</v>
      </c>
    </row>
    <row r="698" spans="1:4">
      <c r="A698" s="53">
        <v>760</v>
      </c>
      <c r="B698" s="40" t="s">
        <v>2028</v>
      </c>
      <c r="C698" s="40" t="s">
        <v>1380</v>
      </c>
      <c r="D698" s="57">
        <f t="shared" si="10"/>
        <v>760</v>
      </c>
    </row>
    <row r="699" spans="1:4">
      <c r="A699" s="53">
        <v>762</v>
      </c>
      <c r="B699" s="42" t="s">
        <v>2519</v>
      </c>
      <c r="C699" s="40" t="s">
        <v>1381</v>
      </c>
      <c r="D699" s="57">
        <f t="shared" si="10"/>
        <v>762</v>
      </c>
    </row>
    <row r="700" spans="1:4">
      <c r="A700" s="53">
        <v>769</v>
      </c>
      <c r="B700" s="40" t="s">
        <v>2520</v>
      </c>
      <c r="C700" s="40" t="s">
        <v>1384</v>
      </c>
      <c r="D700" s="57">
        <f t="shared" si="10"/>
        <v>769</v>
      </c>
    </row>
    <row r="701" spans="1:4">
      <c r="A701" s="53">
        <v>774</v>
      </c>
      <c r="B701" s="42" t="s">
        <v>2521</v>
      </c>
      <c r="C701" s="40" t="s">
        <v>2522</v>
      </c>
      <c r="D701" s="57">
        <f t="shared" si="10"/>
        <v>774</v>
      </c>
    </row>
    <row r="702" spans="1:4">
      <c r="A702" s="53">
        <v>865</v>
      </c>
      <c r="B702" s="61" t="s">
        <v>1847</v>
      </c>
      <c r="C702" s="61" t="s">
        <v>1848</v>
      </c>
      <c r="D702" s="57">
        <f t="shared" si="10"/>
        <v>865</v>
      </c>
    </row>
    <row r="703" spans="1:4">
      <c r="A703" s="53">
        <v>866</v>
      </c>
      <c r="B703" s="61" t="s">
        <v>1849</v>
      </c>
      <c r="C703" s="61" t="s">
        <v>1850</v>
      </c>
      <c r="D703" s="57">
        <f t="shared" si="10"/>
        <v>866</v>
      </c>
    </row>
    <row r="704" spans="1:4">
      <c r="A704" s="53">
        <v>867</v>
      </c>
      <c r="B704" s="61" t="s">
        <v>1851</v>
      </c>
      <c r="C704" s="61" t="s">
        <v>1852</v>
      </c>
      <c r="D704" s="57">
        <f t="shared" si="10"/>
        <v>867</v>
      </c>
    </row>
    <row r="705" spans="1:4">
      <c r="A705" s="53">
        <v>868</v>
      </c>
      <c r="B705" s="61" t="s">
        <v>1853</v>
      </c>
      <c r="C705" s="61" t="s">
        <v>1854</v>
      </c>
      <c r="D705" s="57">
        <f t="shared" si="10"/>
        <v>868</v>
      </c>
    </row>
    <row r="706" spans="1:4">
      <c r="A706" s="53">
        <v>869</v>
      </c>
      <c r="B706" s="61" t="s">
        <v>1855</v>
      </c>
      <c r="C706" s="61" t="s">
        <v>1856</v>
      </c>
      <c r="D706" s="57">
        <f t="shared" ref="D706:D769" si="11">$A706</f>
        <v>869</v>
      </c>
    </row>
    <row r="707" spans="1:4">
      <c r="A707" s="53">
        <v>870</v>
      </c>
      <c r="B707" s="61" t="s">
        <v>1857</v>
      </c>
      <c r="C707" s="61" t="s">
        <v>1858</v>
      </c>
      <c r="D707" s="57">
        <f t="shared" si="11"/>
        <v>870</v>
      </c>
    </row>
    <row r="708" spans="1:4">
      <c r="A708" s="53">
        <v>871</v>
      </c>
      <c r="B708" s="61" t="s">
        <v>1859</v>
      </c>
      <c r="C708" s="61" t="s">
        <v>1860</v>
      </c>
      <c r="D708" s="57">
        <f t="shared" si="11"/>
        <v>871</v>
      </c>
    </row>
    <row r="709" spans="1:4">
      <c r="A709" s="53">
        <v>872</v>
      </c>
      <c r="B709" s="62" t="s">
        <v>1861</v>
      </c>
      <c r="C709" s="62" t="s">
        <v>1862</v>
      </c>
      <c r="D709" s="57">
        <f t="shared" si="11"/>
        <v>872</v>
      </c>
    </row>
    <row r="710" spans="1:4">
      <c r="A710" s="53">
        <v>873</v>
      </c>
      <c r="B710" s="61" t="s">
        <v>1863</v>
      </c>
      <c r="C710" s="61" t="s">
        <v>1864</v>
      </c>
      <c r="D710" s="57">
        <f t="shared" si="11"/>
        <v>873</v>
      </c>
    </row>
    <row r="711" spans="1:4">
      <c r="A711" s="53">
        <v>874</v>
      </c>
      <c r="B711" s="62" t="s">
        <v>1865</v>
      </c>
      <c r="C711" s="62" t="s">
        <v>1866</v>
      </c>
      <c r="D711" s="57">
        <f t="shared" si="11"/>
        <v>874</v>
      </c>
    </row>
    <row r="712" spans="1:4">
      <c r="A712" s="53">
        <v>875</v>
      </c>
      <c r="B712" s="61" t="s">
        <v>1867</v>
      </c>
      <c r="C712" s="61" t="s">
        <v>1868</v>
      </c>
      <c r="D712" s="57">
        <f t="shared" si="11"/>
        <v>875</v>
      </c>
    </row>
    <row r="713" spans="1:4">
      <c r="A713" s="53">
        <v>876</v>
      </c>
      <c r="B713" s="61" t="s">
        <v>213</v>
      </c>
      <c r="C713" s="61" t="s">
        <v>1869</v>
      </c>
      <c r="D713" s="57">
        <f t="shared" si="11"/>
        <v>876</v>
      </c>
    </row>
    <row r="714" spans="1:4">
      <c r="A714" s="53">
        <v>877</v>
      </c>
      <c r="B714" s="40" t="s">
        <v>1870</v>
      </c>
      <c r="C714" s="40" t="s">
        <v>1871</v>
      </c>
      <c r="D714" s="57">
        <f t="shared" si="11"/>
        <v>877</v>
      </c>
    </row>
    <row r="715" spans="1:4">
      <c r="A715" s="53">
        <v>880</v>
      </c>
      <c r="B715" s="61" t="s">
        <v>1872</v>
      </c>
      <c r="C715" s="61" t="s">
        <v>1873</v>
      </c>
      <c r="D715" s="57">
        <f t="shared" si="11"/>
        <v>880</v>
      </c>
    </row>
    <row r="716" spans="1:4">
      <c r="A716" s="53">
        <v>881</v>
      </c>
      <c r="B716" s="61" t="s">
        <v>1874</v>
      </c>
      <c r="C716" s="61" t="s">
        <v>1875</v>
      </c>
      <c r="D716" s="57">
        <f t="shared" si="11"/>
        <v>881</v>
      </c>
    </row>
    <row r="717" spans="1:4">
      <c r="A717" s="53">
        <v>882</v>
      </c>
      <c r="B717" s="61" t="s">
        <v>1876</v>
      </c>
      <c r="C717" s="61" t="s">
        <v>1877</v>
      </c>
      <c r="D717" s="57">
        <f t="shared" si="11"/>
        <v>882</v>
      </c>
    </row>
    <row r="718" spans="1:4">
      <c r="A718" s="53">
        <v>884</v>
      </c>
      <c r="B718" s="63" t="s">
        <v>2523</v>
      </c>
      <c r="C718" s="61" t="s">
        <v>2524</v>
      </c>
      <c r="D718" s="57">
        <f t="shared" si="11"/>
        <v>884</v>
      </c>
    </row>
    <row r="719" spans="1:4">
      <c r="A719" s="53">
        <v>886</v>
      </c>
      <c r="B719" s="61" t="s">
        <v>1878</v>
      </c>
      <c r="C719" s="61" t="s">
        <v>1879</v>
      </c>
      <c r="D719" s="57">
        <f t="shared" si="11"/>
        <v>886</v>
      </c>
    </row>
    <row r="720" spans="1:4">
      <c r="A720" s="53">
        <v>887</v>
      </c>
      <c r="B720" s="63" t="s">
        <v>400</v>
      </c>
      <c r="C720" s="63" t="s">
        <v>1880</v>
      </c>
      <c r="D720" s="57">
        <f t="shared" si="11"/>
        <v>887</v>
      </c>
    </row>
    <row r="721" spans="1:4">
      <c r="A721" s="53">
        <v>888</v>
      </c>
      <c r="B721" s="63" t="s">
        <v>1881</v>
      </c>
      <c r="C721" s="63" t="s">
        <v>3344</v>
      </c>
      <c r="D721" s="57">
        <f t="shared" si="11"/>
        <v>888</v>
      </c>
    </row>
    <row r="722" spans="1:4">
      <c r="A722" s="53">
        <v>889</v>
      </c>
      <c r="B722" s="40" t="s">
        <v>2525</v>
      </c>
      <c r="C722" s="40" t="s">
        <v>1882</v>
      </c>
      <c r="D722" s="57">
        <f t="shared" si="11"/>
        <v>889</v>
      </c>
    </row>
    <row r="723" spans="1:4">
      <c r="A723" s="53">
        <v>890</v>
      </c>
      <c r="B723" s="63" t="s">
        <v>1883</v>
      </c>
      <c r="C723" s="63" t="s">
        <v>2526</v>
      </c>
      <c r="D723" s="57">
        <f t="shared" si="11"/>
        <v>890</v>
      </c>
    </row>
    <row r="724" spans="1:4">
      <c r="A724" s="53">
        <v>891</v>
      </c>
      <c r="B724" s="40" t="s">
        <v>1884</v>
      </c>
      <c r="C724" s="40" t="s">
        <v>1885</v>
      </c>
      <c r="D724" s="57">
        <f t="shared" si="11"/>
        <v>891</v>
      </c>
    </row>
    <row r="725" spans="1:4">
      <c r="A725" s="53">
        <v>892</v>
      </c>
      <c r="B725" s="63" t="s">
        <v>1886</v>
      </c>
      <c r="C725" s="63" t="s">
        <v>1887</v>
      </c>
      <c r="D725" s="57">
        <f t="shared" si="11"/>
        <v>892</v>
      </c>
    </row>
    <row r="726" spans="1:4">
      <c r="A726" s="53">
        <v>893</v>
      </c>
      <c r="B726" s="61" t="s">
        <v>1888</v>
      </c>
      <c r="C726" s="61" t="s">
        <v>1889</v>
      </c>
      <c r="D726" s="57">
        <f t="shared" si="11"/>
        <v>893</v>
      </c>
    </row>
    <row r="727" spans="1:4">
      <c r="A727" s="53">
        <v>894</v>
      </c>
      <c r="B727" s="63" t="s">
        <v>1890</v>
      </c>
      <c r="C727" s="63" t="s">
        <v>1891</v>
      </c>
      <c r="D727" s="57">
        <f t="shared" si="11"/>
        <v>894</v>
      </c>
    </row>
    <row r="728" spans="1:4">
      <c r="A728" s="53">
        <v>895</v>
      </c>
      <c r="B728" s="61" t="s">
        <v>1892</v>
      </c>
      <c r="C728" s="61" t="s">
        <v>1893</v>
      </c>
      <c r="D728" s="57">
        <f t="shared" si="11"/>
        <v>895</v>
      </c>
    </row>
    <row r="729" spans="1:4">
      <c r="A729" s="53">
        <v>896</v>
      </c>
      <c r="B729" s="61" t="s">
        <v>1894</v>
      </c>
      <c r="C729" s="61" t="s">
        <v>1895</v>
      </c>
      <c r="D729" s="57">
        <f t="shared" si="11"/>
        <v>896</v>
      </c>
    </row>
    <row r="730" spans="1:4">
      <c r="A730" s="53">
        <v>897</v>
      </c>
      <c r="B730" s="61" t="s">
        <v>1896</v>
      </c>
      <c r="C730" s="61" t="s">
        <v>229</v>
      </c>
      <c r="D730" s="57">
        <f t="shared" si="11"/>
        <v>897</v>
      </c>
    </row>
    <row r="731" spans="1:4">
      <c r="A731" s="53">
        <v>899</v>
      </c>
      <c r="B731" s="61" t="s">
        <v>1898</v>
      </c>
      <c r="C731" s="61" t="s">
        <v>1899</v>
      </c>
      <c r="D731" s="57">
        <f t="shared" si="11"/>
        <v>899</v>
      </c>
    </row>
    <row r="732" spans="1:4">
      <c r="A732" s="53">
        <v>901</v>
      </c>
      <c r="B732" s="63" t="s">
        <v>1901</v>
      </c>
      <c r="C732" s="61" t="s">
        <v>1902</v>
      </c>
      <c r="D732" s="57">
        <f t="shared" si="11"/>
        <v>901</v>
      </c>
    </row>
    <row r="733" spans="1:4">
      <c r="A733" s="53">
        <v>902</v>
      </c>
      <c r="B733" s="61" t="s">
        <v>1903</v>
      </c>
      <c r="C733" s="61" t="s">
        <v>1904</v>
      </c>
      <c r="D733" s="57">
        <f t="shared" si="11"/>
        <v>902</v>
      </c>
    </row>
    <row r="734" spans="1:4">
      <c r="A734" s="53">
        <v>903</v>
      </c>
      <c r="B734" s="61" t="s">
        <v>1905</v>
      </c>
      <c r="C734" s="61" t="s">
        <v>1906</v>
      </c>
      <c r="D734" s="57">
        <f t="shared" si="11"/>
        <v>903</v>
      </c>
    </row>
    <row r="735" spans="1:4">
      <c r="A735" s="53">
        <v>904</v>
      </c>
      <c r="B735" s="61" t="s">
        <v>2527</v>
      </c>
      <c r="C735" s="61" t="s">
        <v>2528</v>
      </c>
      <c r="D735" s="57">
        <f t="shared" si="11"/>
        <v>904</v>
      </c>
    </row>
    <row r="736" spans="1:4">
      <c r="A736" s="53">
        <v>905</v>
      </c>
      <c r="B736" s="61" t="s">
        <v>1907</v>
      </c>
      <c r="C736" s="61" t="s">
        <v>1908</v>
      </c>
      <c r="D736" s="57">
        <f t="shared" si="11"/>
        <v>905</v>
      </c>
    </row>
    <row r="737" spans="1:4">
      <c r="A737" s="53">
        <v>906</v>
      </c>
      <c r="B737" s="61" t="s">
        <v>1909</v>
      </c>
      <c r="C737" s="61" t="s">
        <v>1910</v>
      </c>
      <c r="D737" s="57">
        <f t="shared" si="11"/>
        <v>906</v>
      </c>
    </row>
    <row r="738" spans="1:4">
      <c r="A738" s="53">
        <v>907</v>
      </c>
      <c r="B738" s="61" t="s">
        <v>1911</v>
      </c>
      <c r="C738" s="61" t="s">
        <v>1912</v>
      </c>
      <c r="D738" s="57">
        <f t="shared" si="11"/>
        <v>907</v>
      </c>
    </row>
    <row r="739" spans="1:4">
      <c r="A739" s="53">
        <v>908</v>
      </c>
      <c r="B739" s="61" t="s">
        <v>1913</v>
      </c>
      <c r="C739" s="61" t="s">
        <v>1914</v>
      </c>
      <c r="D739" s="57">
        <f t="shared" si="11"/>
        <v>908</v>
      </c>
    </row>
    <row r="740" spans="1:4">
      <c r="A740" s="53">
        <v>909</v>
      </c>
      <c r="B740" s="61" t="s">
        <v>1915</v>
      </c>
      <c r="C740" s="61" t="s">
        <v>3345</v>
      </c>
      <c r="D740" s="57">
        <f t="shared" si="11"/>
        <v>909</v>
      </c>
    </row>
    <row r="741" spans="1:4">
      <c r="A741" s="53">
        <v>910</v>
      </c>
      <c r="B741" s="61" t="s">
        <v>200</v>
      </c>
      <c r="C741" s="61" t="s">
        <v>1916</v>
      </c>
      <c r="D741" s="57">
        <f t="shared" si="11"/>
        <v>910</v>
      </c>
    </row>
    <row r="742" spans="1:4">
      <c r="A742" s="53">
        <v>911</v>
      </c>
      <c r="B742" s="61" t="s">
        <v>2529</v>
      </c>
      <c r="C742" s="61" t="s">
        <v>1917</v>
      </c>
      <c r="D742" s="57">
        <f t="shared" si="11"/>
        <v>911</v>
      </c>
    </row>
    <row r="743" spans="1:4">
      <c r="A743" s="53">
        <v>912</v>
      </c>
      <c r="B743" s="61" t="s">
        <v>1918</v>
      </c>
      <c r="C743" s="61" t="s">
        <v>1919</v>
      </c>
      <c r="D743" s="57">
        <f t="shared" si="11"/>
        <v>912</v>
      </c>
    </row>
    <row r="744" spans="1:4">
      <c r="A744" s="53">
        <v>913</v>
      </c>
      <c r="B744" s="61" t="s">
        <v>1920</v>
      </c>
      <c r="C744" s="61" t="s">
        <v>1921</v>
      </c>
      <c r="D744" s="57">
        <f t="shared" si="11"/>
        <v>913</v>
      </c>
    </row>
    <row r="745" spans="1:4" ht="15">
      <c r="A745" s="53">
        <v>914</v>
      </c>
      <c r="B745" s="56" t="s">
        <v>3346</v>
      </c>
      <c r="C745" s="61" t="s">
        <v>1922</v>
      </c>
      <c r="D745" s="57">
        <f t="shared" si="11"/>
        <v>914</v>
      </c>
    </row>
    <row r="746" spans="1:4">
      <c r="A746" s="53">
        <v>915</v>
      </c>
      <c r="B746" s="40" t="s">
        <v>1923</v>
      </c>
      <c r="C746" s="40" t="s">
        <v>1924</v>
      </c>
      <c r="D746" s="57">
        <f t="shared" si="11"/>
        <v>915</v>
      </c>
    </row>
    <row r="747" spans="1:4">
      <c r="A747" s="53">
        <v>916</v>
      </c>
      <c r="B747" s="61" t="s">
        <v>1925</v>
      </c>
      <c r="C747" s="61" t="s">
        <v>1926</v>
      </c>
      <c r="D747" s="57">
        <f t="shared" si="11"/>
        <v>916</v>
      </c>
    </row>
    <row r="748" spans="1:4">
      <c r="A748" s="53">
        <v>917</v>
      </c>
      <c r="B748" s="61" t="s">
        <v>2530</v>
      </c>
      <c r="C748" s="61" t="s">
        <v>1927</v>
      </c>
      <c r="D748" s="57">
        <f t="shared" si="11"/>
        <v>917</v>
      </c>
    </row>
    <row r="749" spans="1:4">
      <c r="A749" s="53">
        <v>918</v>
      </c>
      <c r="B749" s="61" t="s">
        <v>1928</v>
      </c>
      <c r="C749" s="61" t="s">
        <v>1929</v>
      </c>
      <c r="D749" s="57">
        <f t="shared" si="11"/>
        <v>918</v>
      </c>
    </row>
    <row r="750" spans="1:4">
      <c r="A750" s="53">
        <v>919</v>
      </c>
      <c r="B750" s="61" t="s">
        <v>1930</v>
      </c>
      <c r="C750" s="61" t="s">
        <v>1931</v>
      </c>
      <c r="D750" s="57">
        <f t="shared" si="11"/>
        <v>919</v>
      </c>
    </row>
    <row r="751" spans="1:4">
      <c r="A751" s="53">
        <v>920</v>
      </c>
      <c r="B751" s="61" t="s">
        <v>1932</v>
      </c>
      <c r="C751" s="61" t="s">
        <v>1933</v>
      </c>
      <c r="D751" s="57">
        <f t="shared" si="11"/>
        <v>920</v>
      </c>
    </row>
    <row r="752" spans="1:4" ht="15">
      <c r="A752" s="53">
        <v>921</v>
      </c>
      <c r="B752" s="61" t="s">
        <v>2531</v>
      </c>
      <c r="C752" s="56" t="s">
        <v>2532</v>
      </c>
      <c r="D752" s="57">
        <f t="shared" si="11"/>
        <v>921</v>
      </c>
    </row>
    <row r="753" spans="1:4">
      <c r="A753" s="53">
        <v>922</v>
      </c>
      <c r="B753" s="61" t="s">
        <v>2533</v>
      </c>
      <c r="C753" s="61" t="s">
        <v>1934</v>
      </c>
      <c r="D753" s="57">
        <f t="shared" si="11"/>
        <v>922</v>
      </c>
    </row>
    <row r="754" spans="1:4">
      <c r="A754" s="53">
        <v>923</v>
      </c>
      <c r="B754" s="61" t="s">
        <v>1935</v>
      </c>
      <c r="C754" s="61" t="s">
        <v>1936</v>
      </c>
      <c r="D754" s="57">
        <f t="shared" si="11"/>
        <v>923</v>
      </c>
    </row>
    <row r="755" spans="1:4">
      <c r="A755" s="53">
        <v>924</v>
      </c>
      <c r="B755" s="61" t="s">
        <v>1937</v>
      </c>
      <c r="C755" s="61" t="s">
        <v>1938</v>
      </c>
      <c r="D755" s="57">
        <f t="shared" si="11"/>
        <v>924</v>
      </c>
    </row>
    <row r="756" spans="1:4">
      <c r="A756" s="53">
        <v>929</v>
      </c>
      <c r="B756" s="61" t="s">
        <v>109</v>
      </c>
      <c r="C756" s="61" t="s">
        <v>2029</v>
      </c>
      <c r="D756" s="57">
        <f t="shared" si="11"/>
        <v>929</v>
      </c>
    </row>
    <row r="757" spans="1:4">
      <c r="A757" s="53">
        <v>930</v>
      </c>
      <c r="B757" s="61" t="s">
        <v>105</v>
      </c>
      <c r="C757" s="61" t="s">
        <v>2030</v>
      </c>
      <c r="D757" s="57">
        <f t="shared" si="11"/>
        <v>930</v>
      </c>
    </row>
    <row r="758" spans="1:4">
      <c r="A758" s="53">
        <v>931</v>
      </c>
      <c r="B758" s="61" t="s">
        <v>115</v>
      </c>
      <c r="C758" s="61" t="s">
        <v>2031</v>
      </c>
      <c r="D758" s="57">
        <f t="shared" si="11"/>
        <v>931</v>
      </c>
    </row>
    <row r="759" spans="1:4">
      <c r="A759" s="53">
        <v>932</v>
      </c>
      <c r="B759" s="61" t="s">
        <v>116</v>
      </c>
      <c r="C759" s="61" t="s">
        <v>2032</v>
      </c>
      <c r="D759" s="57">
        <f t="shared" si="11"/>
        <v>932</v>
      </c>
    </row>
    <row r="760" spans="1:4">
      <c r="A760" s="53">
        <v>933</v>
      </c>
      <c r="B760" s="61" t="s">
        <v>118</v>
      </c>
      <c r="C760" s="61" t="s">
        <v>3347</v>
      </c>
      <c r="D760" s="57">
        <f t="shared" si="11"/>
        <v>933</v>
      </c>
    </row>
    <row r="761" spans="1:4">
      <c r="A761" s="53">
        <v>934</v>
      </c>
      <c r="B761" s="61" t="s">
        <v>119</v>
      </c>
      <c r="C761" s="61" t="s">
        <v>326</v>
      </c>
      <c r="D761" s="57">
        <f t="shared" si="11"/>
        <v>934</v>
      </c>
    </row>
    <row r="762" spans="1:4">
      <c r="A762" s="53">
        <v>935</v>
      </c>
      <c r="B762" s="61" t="s">
        <v>3348</v>
      </c>
      <c r="C762" s="61" t="s">
        <v>2033</v>
      </c>
      <c r="D762" s="57">
        <f t="shared" si="11"/>
        <v>935</v>
      </c>
    </row>
    <row r="763" spans="1:4">
      <c r="A763" s="53">
        <v>936</v>
      </c>
      <c r="B763" s="61" t="s">
        <v>121</v>
      </c>
      <c r="C763" s="61" t="s">
        <v>3349</v>
      </c>
      <c r="D763" s="57">
        <f t="shared" si="11"/>
        <v>936</v>
      </c>
    </row>
    <row r="764" spans="1:4">
      <c r="A764" s="53">
        <v>937</v>
      </c>
      <c r="B764" s="61" t="s">
        <v>122</v>
      </c>
      <c r="C764" s="61" t="s">
        <v>2034</v>
      </c>
      <c r="D764" s="57">
        <f t="shared" si="11"/>
        <v>937</v>
      </c>
    </row>
    <row r="765" spans="1:4">
      <c r="A765" s="53">
        <v>938</v>
      </c>
      <c r="B765" s="61" t="s">
        <v>131</v>
      </c>
      <c r="C765" s="61" t="s">
        <v>2035</v>
      </c>
      <c r="D765" s="57">
        <f t="shared" si="11"/>
        <v>938</v>
      </c>
    </row>
    <row r="766" spans="1:4">
      <c r="A766" s="53">
        <v>939</v>
      </c>
      <c r="B766" s="61" t="s">
        <v>146</v>
      </c>
      <c r="C766" s="61" t="s">
        <v>2036</v>
      </c>
      <c r="D766" s="57">
        <f t="shared" si="11"/>
        <v>939</v>
      </c>
    </row>
    <row r="767" spans="1:4">
      <c r="A767" s="53">
        <v>940</v>
      </c>
      <c r="B767" s="61" t="s">
        <v>153</v>
      </c>
      <c r="C767" s="61" t="s">
        <v>2037</v>
      </c>
      <c r="D767" s="57">
        <f t="shared" si="11"/>
        <v>940</v>
      </c>
    </row>
    <row r="768" spans="1:4">
      <c r="A768" s="53">
        <v>941</v>
      </c>
      <c r="B768" s="61" t="s">
        <v>155</v>
      </c>
      <c r="C768" s="61" t="s">
        <v>2038</v>
      </c>
      <c r="D768" s="57">
        <f t="shared" si="11"/>
        <v>941</v>
      </c>
    </row>
    <row r="769" spans="1:4">
      <c r="A769" s="53">
        <v>942</v>
      </c>
      <c r="B769" s="61" t="s">
        <v>156</v>
      </c>
      <c r="C769" s="61" t="s">
        <v>2039</v>
      </c>
      <c r="D769" s="57">
        <f t="shared" si="11"/>
        <v>942</v>
      </c>
    </row>
    <row r="770" spans="1:4">
      <c r="A770" s="53">
        <v>943</v>
      </c>
      <c r="B770" s="61" t="s">
        <v>157</v>
      </c>
      <c r="C770" s="61" t="s">
        <v>2040</v>
      </c>
      <c r="D770" s="57">
        <f t="shared" ref="D770:D833" si="12">$A770</f>
        <v>943</v>
      </c>
    </row>
    <row r="771" spans="1:4">
      <c r="A771" s="53">
        <v>944</v>
      </c>
      <c r="B771" s="61" t="s">
        <v>160</v>
      </c>
      <c r="C771" s="61" t="s">
        <v>2041</v>
      </c>
      <c r="D771" s="57">
        <f t="shared" si="12"/>
        <v>944</v>
      </c>
    </row>
    <row r="772" spans="1:4">
      <c r="A772" s="53">
        <v>945</v>
      </c>
      <c r="B772" s="61" t="s">
        <v>189</v>
      </c>
      <c r="C772" s="61" t="s">
        <v>2042</v>
      </c>
      <c r="D772" s="57">
        <f t="shared" si="12"/>
        <v>945</v>
      </c>
    </row>
    <row r="773" spans="1:4">
      <c r="A773" s="53">
        <v>946</v>
      </c>
      <c r="B773" s="61" t="s">
        <v>190</v>
      </c>
      <c r="C773" s="61" t="s">
        <v>2043</v>
      </c>
      <c r="D773" s="57">
        <f t="shared" si="12"/>
        <v>946</v>
      </c>
    </row>
    <row r="774" spans="1:4">
      <c r="A774" s="53">
        <v>947</v>
      </c>
      <c r="B774" s="61" t="s">
        <v>191</v>
      </c>
      <c r="C774" s="61" t="s">
        <v>1388</v>
      </c>
      <c r="D774" s="57">
        <f t="shared" si="12"/>
        <v>947</v>
      </c>
    </row>
    <row r="775" spans="1:4">
      <c r="A775" s="53">
        <v>948</v>
      </c>
      <c r="B775" s="61" t="s">
        <v>193</v>
      </c>
      <c r="C775" s="61" t="s">
        <v>2044</v>
      </c>
      <c r="D775" s="57">
        <f t="shared" si="12"/>
        <v>948</v>
      </c>
    </row>
    <row r="776" spans="1:4">
      <c r="A776" s="53">
        <v>949</v>
      </c>
      <c r="B776" s="61" t="s">
        <v>195</v>
      </c>
      <c r="C776" s="61" t="s">
        <v>2045</v>
      </c>
      <c r="D776" s="57">
        <f t="shared" si="12"/>
        <v>949</v>
      </c>
    </row>
    <row r="777" spans="1:4">
      <c r="A777" s="53">
        <v>950</v>
      </c>
      <c r="B777" s="61" t="s">
        <v>197</v>
      </c>
      <c r="C777" s="61" t="s">
        <v>2046</v>
      </c>
      <c r="D777" s="57">
        <f t="shared" si="12"/>
        <v>950</v>
      </c>
    </row>
    <row r="778" spans="1:4">
      <c r="A778" s="53">
        <v>951</v>
      </c>
      <c r="B778" s="61" t="s">
        <v>200</v>
      </c>
      <c r="C778" s="61" t="s">
        <v>2047</v>
      </c>
      <c r="D778" s="57">
        <f t="shared" si="12"/>
        <v>951</v>
      </c>
    </row>
    <row r="779" spans="1:4">
      <c r="A779" s="53">
        <v>952</v>
      </c>
      <c r="B779" s="61" t="s">
        <v>211</v>
      </c>
      <c r="C779" s="61" t="s">
        <v>2048</v>
      </c>
      <c r="D779" s="57">
        <f t="shared" si="12"/>
        <v>952</v>
      </c>
    </row>
    <row r="780" spans="1:4">
      <c r="A780" s="53">
        <v>954</v>
      </c>
      <c r="B780" s="61" t="s">
        <v>216</v>
      </c>
      <c r="C780" s="61" t="s">
        <v>659</v>
      </c>
      <c r="D780" s="57">
        <f t="shared" si="12"/>
        <v>954</v>
      </c>
    </row>
    <row r="781" spans="1:4">
      <c r="A781" s="53">
        <v>955</v>
      </c>
      <c r="B781" s="61" t="s">
        <v>110</v>
      </c>
      <c r="C781" s="61" t="s">
        <v>2049</v>
      </c>
      <c r="D781" s="57">
        <f t="shared" si="12"/>
        <v>955</v>
      </c>
    </row>
    <row r="782" spans="1:4">
      <c r="A782" s="53">
        <v>956</v>
      </c>
      <c r="B782" s="63" t="s">
        <v>1939</v>
      </c>
      <c r="C782" s="61" t="s">
        <v>2051</v>
      </c>
      <c r="D782" s="57">
        <f t="shared" si="12"/>
        <v>956</v>
      </c>
    </row>
    <row r="783" spans="1:4">
      <c r="A783" s="53">
        <v>957</v>
      </c>
      <c r="B783" s="63" t="s">
        <v>1940</v>
      </c>
      <c r="C783" s="61" t="s">
        <v>2052</v>
      </c>
      <c r="D783" s="57">
        <f t="shared" si="12"/>
        <v>957</v>
      </c>
    </row>
    <row r="784" spans="1:4">
      <c r="A784" s="53">
        <v>959</v>
      </c>
      <c r="B784" s="63" t="s">
        <v>1941</v>
      </c>
      <c r="C784" s="61" t="s">
        <v>2053</v>
      </c>
      <c r="D784" s="57">
        <f t="shared" si="12"/>
        <v>959</v>
      </c>
    </row>
    <row r="785" spans="1:4">
      <c r="A785" s="53">
        <v>961</v>
      </c>
      <c r="B785" s="63" t="s">
        <v>2050</v>
      </c>
      <c r="C785" s="61" t="s">
        <v>3350</v>
      </c>
      <c r="D785" s="57">
        <f t="shared" si="12"/>
        <v>961</v>
      </c>
    </row>
    <row r="786" spans="1:4">
      <c r="A786" s="53">
        <v>962</v>
      </c>
      <c r="B786" s="63" t="s">
        <v>1942</v>
      </c>
      <c r="C786" s="61" t="s">
        <v>3351</v>
      </c>
      <c r="D786" s="57">
        <f t="shared" si="12"/>
        <v>962</v>
      </c>
    </row>
    <row r="787" spans="1:4">
      <c r="A787" s="53">
        <v>966</v>
      </c>
      <c r="B787" s="41" t="s">
        <v>2404</v>
      </c>
      <c r="C787" s="63" t="s">
        <v>2405</v>
      </c>
      <c r="D787" s="57">
        <f t="shared" si="12"/>
        <v>966</v>
      </c>
    </row>
    <row r="788" spans="1:4">
      <c r="A788" s="53">
        <v>967</v>
      </c>
      <c r="B788" s="41" t="s">
        <v>2406</v>
      </c>
      <c r="C788" s="63" t="s">
        <v>2407</v>
      </c>
      <c r="D788" s="57">
        <f t="shared" si="12"/>
        <v>967</v>
      </c>
    </row>
    <row r="789" spans="1:4">
      <c r="A789" s="53">
        <v>968</v>
      </c>
      <c r="B789" s="58" t="s">
        <v>2366</v>
      </c>
      <c r="C789" s="63" t="s">
        <v>2408</v>
      </c>
      <c r="D789" s="57">
        <f t="shared" si="12"/>
        <v>968</v>
      </c>
    </row>
    <row r="790" spans="1:4">
      <c r="A790" s="53">
        <v>969</v>
      </c>
      <c r="B790" s="41" t="s">
        <v>2409</v>
      </c>
      <c r="C790" s="63" t="s">
        <v>2410</v>
      </c>
      <c r="D790" s="57">
        <f t="shared" si="12"/>
        <v>969</v>
      </c>
    </row>
    <row r="791" spans="1:4">
      <c r="A791" s="53">
        <v>970</v>
      </c>
      <c r="B791" s="41" t="s">
        <v>2411</v>
      </c>
      <c r="C791" s="63" t="s">
        <v>2412</v>
      </c>
      <c r="D791" s="57">
        <f t="shared" si="12"/>
        <v>970</v>
      </c>
    </row>
    <row r="792" spans="1:4">
      <c r="A792" s="53">
        <v>971</v>
      </c>
      <c r="B792" s="41" t="s">
        <v>2413</v>
      </c>
      <c r="C792" s="61" t="s">
        <v>2414</v>
      </c>
      <c r="D792" s="57">
        <f t="shared" si="12"/>
        <v>971</v>
      </c>
    </row>
    <row r="793" spans="1:4">
      <c r="A793" s="53">
        <v>972</v>
      </c>
      <c r="B793" s="63" t="s">
        <v>2415</v>
      </c>
      <c r="C793" s="63" t="s">
        <v>1387</v>
      </c>
      <c r="D793" s="57">
        <f t="shared" si="12"/>
        <v>972</v>
      </c>
    </row>
    <row r="794" spans="1:4">
      <c r="A794" s="53">
        <v>973</v>
      </c>
      <c r="B794" s="41" t="s">
        <v>2416</v>
      </c>
      <c r="C794" s="63" t="s">
        <v>2417</v>
      </c>
      <c r="D794" s="57">
        <f t="shared" si="12"/>
        <v>973</v>
      </c>
    </row>
    <row r="795" spans="1:4">
      <c r="A795" s="53">
        <v>974</v>
      </c>
      <c r="B795" s="41" t="s">
        <v>2418</v>
      </c>
      <c r="C795" s="61" t="s">
        <v>1951</v>
      </c>
      <c r="D795" s="57">
        <f t="shared" si="12"/>
        <v>974</v>
      </c>
    </row>
    <row r="796" spans="1:4">
      <c r="A796" s="53">
        <v>975</v>
      </c>
      <c r="B796" s="41" t="s">
        <v>2419</v>
      </c>
      <c r="C796" s="61" t="s">
        <v>2420</v>
      </c>
      <c r="D796" s="57">
        <f t="shared" si="12"/>
        <v>975</v>
      </c>
    </row>
    <row r="797" spans="1:4">
      <c r="A797" s="53">
        <v>976</v>
      </c>
      <c r="B797" s="61" t="s">
        <v>2421</v>
      </c>
      <c r="C797" s="61" t="s">
        <v>2422</v>
      </c>
      <c r="D797" s="57">
        <f t="shared" si="12"/>
        <v>976</v>
      </c>
    </row>
    <row r="798" spans="1:4">
      <c r="A798" s="53">
        <v>977</v>
      </c>
      <c r="B798" s="61" t="s">
        <v>2423</v>
      </c>
      <c r="C798" s="61" t="s">
        <v>2424</v>
      </c>
      <c r="D798" s="57">
        <f t="shared" si="12"/>
        <v>977</v>
      </c>
    </row>
    <row r="799" spans="1:4">
      <c r="A799" s="53">
        <v>978</v>
      </c>
      <c r="B799" s="41" t="s">
        <v>2425</v>
      </c>
      <c r="C799" s="63" t="s">
        <v>2426</v>
      </c>
      <c r="D799" s="57">
        <f t="shared" si="12"/>
        <v>978</v>
      </c>
    </row>
    <row r="800" spans="1:4">
      <c r="A800" s="53">
        <v>979</v>
      </c>
      <c r="B800" s="41" t="s">
        <v>2427</v>
      </c>
      <c r="C800" s="63" t="s">
        <v>2428</v>
      </c>
      <c r="D800" s="57">
        <f t="shared" si="12"/>
        <v>979</v>
      </c>
    </row>
    <row r="801" spans="1:4">
      <c r="A801" s="53">
        <v>980</v>
      </c>
      <c r="B801" s="41" t="s">
        <v>2429</v>
      </c>
      <c r="C801" s="63" t="s">
        <v>2430</v>
      </c>
      <c r="D801" s="57">
        <f t="shared" si="12"/>
        <v>980</v>
      </c>
    </row>
    <row r="802" spans="1:4">
      <c r="A802" s="53">
        <v>981</v>
      </c>
      <c r="B802" s="41" t="s">
        <v>2431</v>
      </c>
      <c r="C802" s="63" t="s">
        <v>2432</v>
      </c>
      <c r="D802" s="57">
        <f t="shared" si="12"/>
        <v>981</v>
      </c>
    </row>
    <row r="803" spans="1:4">
      <c r="A803" s="53">
        <v>982</v>
      </c>
      <c r="B803" s="41" t="s">
        <v>275</v>
      </c>
      <c r="C803" s="63" t="s">
        <v>2433</v>
      </c>
      <c r="D803" s="57">
        <f t="shared" si="12"/>
        <v>982</v>
      </c>
    </row>
    <row r="804" spans="1:4">
      <c r="A804" s="53">
        <v>983</v>
      </c>
      <c r="B804" s="41" t="s">
        <v>2434</v>
      </c>
      <c r="C804" s="63" t="s">
        <v>2435</v>
      </c>
      <c r="D804" s="57">
        <f t="shared" si="12"/>
        <v>983</v>
      </c>
    </row>
    <row r="805" spans="1:4">
      <c r="A805" s="53">
        <v>984</v>
      </c>
      <c r="B805" s="41" t="s">
        <v>2436</v>
      </c>
      <c r="C805" s="61" t="s">
        <v>2437</v>
      </c>
      <c r="D805" s="57">
        <f t="shared" si="12"/>
        <v>984</v>
      </c>
    </row>
    <row r="806" spans="1:4">
      <c r="A806" s="53">
        <v>985</v>
      </c>
      <c r="B806" s="41" t="s">
        <v>3352</v>
      </c>
      <c r="C806" s="58" t="s">
        <v>3353</v>
      </c>
      <c r="D806" s="57">
        <f t="shared" si="12"/>
        <v>985</v>
      </c>
    </row>
    <row r="807" spans="1:4">
      <c r="A807" s="53">
        <v>986</v>
      </c>
      <c r="B807" s="41" t="s">
        <v>2438</v>
      </c>
      <c r="C807" s="63" t="s">
        <v>2439</v>
      </c>
      <c r="D807" s="57">
        <f t="shared" si="12"/>
        <v>986</v>
      </c>
    </row>
    <row r="808" spans="1:4">
      <c r="A808" s="53">
        <v>988</v>
      </c>
      <c r="B808" s="41" t="s">
        <v>2440</v>
      </c>
      <c r="C808" s="40" t="s">
        <v>2441</v>
      </c>
      <c r="D808" s="57">
        <f t="shared" si="12"/>
        <v>988</v>
      </c>
    </row>
    <row r="809" spans="1:4">
      <c r="A809" s="53">
        <v>989</v>
      </c>
      <c r="B809" s="41" t="s">
        <v>2442</v>
      </c>
      <c r="C809" s="63" t="s">
        <v>2443</v>
      </c>
      <c r="D809" s="57">
        <f t="shared" si="12"/>
        <v>989</v>
      </c>
    </row>
    <row r="810" spans="1:4">
      <c r="A810" s="53">
        <v>990</v>
      </c>
      <c r="B810" s="41" t="s">
        <v>2444</v>
      </c>
      <c r="C810" s="61" t="s">
        <v>2445</v>
      </c>
      <c r="D810" s="57">
        <f t="shared" si="12"/>
        <v>990</v>
      </c>
    </row>
    <row r="811" spans="1:4">
      <c r="A811" s="53">
        <v>991</v>
      </c>
      <c r="B811" s="41" t="s">
        <v>3354</v>
      </c>
      <c r="C811" s="61" t="s">
        <v>2446</v>
      </c>
      <c r="D811" s="57">
        <f t="shared" si="12"/>
        <v>991</v>
      </c>
    </row>
    <row r="812" spans="1:4">
      <c r="A812" s="53">
        <v>992</v>
      </c>
      <c r="B812" s="41" t="s">
        <v>2256</v>
      </c>
      <c r="C812" s="61" t="s">
        <v>2447</v>
      </c>
      <c r="D812" s="57">
        <f t="shared" si="12"/>
        <v>992</v>
      </c>
    </row>
    <row r="813" spans="1:4">
      <c r="A813" s="53">
        <v>994</v>
      </c>
      <c r="B813" s="40" t="s">
        <v>2293</v>
      </c>
      <c r="C813" s="40" t="s">
        <v>2448</v>
      </c>
      <c r="D813" s="57">
        <f t="shared" si="12"/>
        <v>994</v>
      </c>
    </row>
    <row r="814" spans="1:4">
      <c r="A814" s="53">
        <v>996</v>
      </c>
      <c r="B814" s="64" t="s">
        <v>2449</v>
      </c>
      <c r="C814" s="61" t="s">
        <v>2450</v>
      </c>
      <c r="D814" s="57">
        <f t="shared" si="12"/>
        <v>996</v>
      </c>
    </row>
    <row r="815" spans="1:4">
      <c r="A815" s="53">
        <v>997</v>
      </c>
      <c r="B815" s="63" t="s">
        <v>2344</v>
      </c>
      <c r="C815" s="61" t="s">
        <v>2451</v>
      </c>
      <c r="D815" s="57">
        <f t="shared" si="12"/>
        <v>997</v>
      </c>
    </row>
    <row r="816" spans="1:4">
      <c r="A816" s="53">
        <v>998</v>
      </c>
      <c r="B816" s="63" t="s">
        <v>2352</v>
      </c>
      <c r="C816" s="61" t="s">
        <v>2452</v>
      </c>
      <c r="D816" s="57">
        <f t="shared" si="12"/>
        <v>998</v>
      </c>
    </row>
    <row r="817" spans="1:4">
      <c r="A817" s="53">
        <v>999</v>
      </c>
      <c r="B817" s="61" t="s">
        <v>2221</v>
      </c>
      <c r="C817" s="40" t="s">
        <v>2453</v>
      </c>
      <c r="D817" s="57">
        <f t="shared" si="12"/>
        <v>999</v>
      </c>
    </row>
    <row r="818" spans="1:4">
      <c r="A818" s="53">
        <v>1000</v>
      </c>
      <c r="B818" s="63" t="s">
        <v>2313</v>
      </c>
      <c r="C818" s="61" t="s">
        <v>2454</v>
      </c>
      <c r="D818" s="57">
        <f t="shared" si="12"/>
        <v>1000</v>
      </c>
    </row>
    <row r="819" spans="1:4">
      <c r="A819" s="53">
        <v>1001</v>
      </c>
      <c r="B819" s="63" t="s">
        <v>2349</v>
      </c>
      <c r="C819" s="40" t="s">
        <v>2455</v>
      </c>
      <c r="D819" s="57">
        <f t="shared" si="12"/>
        <v>1001</v>
      </c>
    </row>
    <row r="820" spans="1:4">
      <c r="A820" s="53">
        <v>1002</v>
      </c>
      <c r="B820" s="63" t="s">
        <v>2055</v>
      </c>
      <c r="C820" s="40" t="s">
        <v>2456</v>
      </c>
      <c r="D820" s="57">
        <f t="shared" si="12"/>
        <v>1002</v>
      </c>
    </row>
    <row r="821" spans="1:4">
      <c r="A821" s="53">
        <v>1003</v>
      </c>
      <c r="B821" s="63" t="s">
        <v>2210</v>
      </c>
      <c r="C821" s="40" t="s">
        <v>2458</v>
      </c>
      <c r="D821" s="57">
        <f t="shared" si="12"/>
        <v>1003</v>
      </c>
    </row>
    <row r="822" spans="1:4">
      <c r="A822" s="53">
        <v>1004</v>
      </c>
      <c r="B822" s="63" t="s">
        <v>2459</v>
      </c>
      <c r="C822" s="40" t="s">
        <v>2460</v>
      </c>
      <c r="D822" s="57">
        <f t="shared" si="12"/>
        <v>1004</v>
      </c>
    </row>
    <row r="823" spans="1:4">
      <c r="A823" s="53">
        <v>1005</v>
      </c>
      <c r="B823" s="63" t="s">
        <v>2461</v>
      </c>
      <c r="C823" s="40" t="s">
        <v>2462</v>
      </c>
      <c r="D823" s="57">
        <f t="shared" si="12"/>
        <v>1005</v>
      </c>
    </row>
    <row r="824" spans="1:4">
      <c r="A824" s="53">
        <v>1006</v>
      </c>
      <c r="B824" s="63" t="s">
        <v>2348</v>
      </c>
      <c r="C824" s="40" t="s">
        <v>2463</v>
      </c>
      <c r="D824" s="57">
        <f t="shared" si="12"/>
        <v>1006</v>
      </c>
    </row>
    <row r="825" spans="1:4">
      <c r="A825" s="53">
        <v>1007</v>
      </c>
      <c r="B825" s="41" t="s">
        <v>2225</v>
      </c>
      <c r="C825" s="40" t="s">
        <v>2464</v>
      </c>
      <c r="D825" s="57">
        <f t="shared" si="12"/>
        <v>1007</v>
      </c>
    </row>
    <row r="826" spans="1:4">
      <c r="A826" s="53">
        <v>1008</v>
      </c>
      <c r="B826" s="41" t="s">
        <v>2345</v>
      </c>
      <c r="C826" s="40" t="s">
        <v>2465</v>
      </c>
      <c r="D826" s="57">
        <f t="shared" si="12"/>
        <v>1008</v>
      </c>
    </row>
    <row r="827" spans="1:4">
      <c r="A827" s="53">
        <v>1009</v>
      </c>
      <c r="B827" s="41" t="s">
        <v>2361</v>
      </c>
      <c r="C827" s="40" t="s">
        <v>2466</v>
      </c>
      <c r="D827" s="57">
        <f t="shared" si="12"/>
        <v>1009</v>
      </c>
    </row>
    <row r="828" spans="1:4">
      <c r="A828" s="53">
        <v>1010</v>
      </c>
      <c r="B828" s="41" t="s">
        <v>2337</v>
      </c>
      <c r="C828" s="40" t="s">
        <v>2467</v>
      </c>
      <c r="D828" s="57">
        <f t="shared" si="12"/>
        <v>1010</v>
      </c>
    </row>
    <row r="829" spans="1:4">
      <c r="A829" s="53">
        <v>1011</v>
      </c>
      <c r="B829" s="63" t="s">
        <v>3355</v>
      </c>
      <c r="C829" s="40" t="s">
        <v>1340</v>
      </c>
      <c r="D829" s="57">
        <f t="shared" si="12"/>
        <v>1011</v>
      </c>
    </row>
    <row r="830" spans="1:4">
      <c r="A830" s="53">
        <v>1012</v>
      </c>
      <c r="B830" s="41" t="s">
        <v>2359</v>
      </c>
      <c r="C830" s="40" t="s">
        <v>2468</v>
      </c>
      <c r="D830" s="57">
        <f t="shared" si="12"/>
        <v>1012</v>
      </c>
    </row>
    <row r="831" spans="1:4">
      <c r="A831" s="53">
        <v>1013</v>
      </c>
      <c r="B831" s="41" t="s">
        <v>2351</v>
      </c>
      <c r="C831" s="40" t="s">
        <v>2469</v>
      </c>
      <c r="D831" s="57">
        <f t="shared" si="12"/>
        <v>1013</v>
      </c>
    </row>
    <row r="832" spans="1:4">
      <c r="A832" s="53">
        <v>1014</v>
      </c>
      <c r="B832" s="41" t="s">
        <v>2473</v>
      </c>
      <c r="C832" s="40" t="s">
        <v>2472</v>
      </c>
      <c r="D832" s="57">
        <f t="shared" si="12"/>
        <v>1014</v>
      </c>
    </row>
    <row r="833" spans="1:4">
      <c r="A833" s="53">
        <v>1015</v>
      </c>
      <c r="B833" s="41" t="s">
        <v>2357</v>
      </c>
      <c r="C833" s="40" t="s">
        <v>2474</v>
      </c>
      <c r="D833" s="57">
        <f t="shared" si="12"/>
        <v>1015</v>
      </c>
    </row>
    <row r="834" spans="1:4">
      <c r="A834" s="53">
        <v>1016</v>
      </c>
      <c r="B834" s="41" t="s">
        <v>2362</v>
      </c>
      <c r="C834" s="40" t="s">
        <v>2475</v>
      </c>
      <c r="D834" s="57">
        <f t="shared" ref="D834:D897" si="13">$A834</f>
        <v>1016</v>
      </c>
    </row>
    <row r="835" spans="1:4">
      <c r="A835" s="53">
        <v>1017</v>
      </c>
      <c r="B835" s="41" t="s">
        <v>2347</v>
      </c>
      <c r="C835" s="40" t="s">
        <v>2476</v>
      </c>
      <c r="D835" s="57">
        <f t="shared" si="13"/>
        <v>1017</v>
      </c>
    </row>
    <row r="836" spans="1:4">
      <c r="A836" s="53">
        <v>1018</v>
      </c>
      <c r="B836" s="41" t="s">
        <v>2211</v>
      </c>
      <c r="C836" s="40" t="s">
        <v>2341</v>
      </c>
      <c r="D836" s="57">
        <f t="shared" si="13"/>
        <v>1018</v>
      </c>
    </row>
    <row r="837" spans="1:4">
      <c r="A837" s="53">
        <v>1019</v>
      </c>
      <c r="B837" s="63" t="s">
        <v>2477</v>
      </c>
      <c r="C837" s="40" t="s">
        <v>2478</v>
      </c>
      <c r="D837" s="57">
        <f t="shared" si="13"/>
        <v>1019</v>
      </c>
    </row>
    <row r="838" spans="1:4">
      <c r="A838" s="53">
        <v>1020</v>
      </c>
      <c r="B838" s="63" t="s">
        <v>3356</v>
      </c>
      <c r="C838" s="40" t="s">
        <v>2479</v>
      </c>
      <c r="D838" s="57">
        <f t="shared" si="13"/>
        <v>1020</v>
      </c>
    </row>
    <row r="839" spans="1:4">
      <c r="A839" s="53">
        <v>1021</v>
      </c>
      <c r="B839" s="63" t="s">
        <v>2350</v>
      </c>
      <c r="C839" s="40" t="s">
        <v>2480</v>
      </c>
      <c r="D839" s="57">
        <f t="shared" si="13"/>
        <v>1021</v>
      </c>
    </row>
    <row r="840" spans="1:4">
      <c r="A840" s="53">
        <v>1022</v>
      </c>
      <c r="B840" s="63" t="s">
        <v>2338</v>
      </c>
      <c r="C840" s="40" t="s">
        <v>2481</v>
      </c>
      <c r="D840" s="57">
        <f t="shared" si="13"/>
        <v>1022</v>
      </c>
    </row>
    <row r="841" spans="1:4">
      <c r="A841" s="53">
        <v>1023</v>
      </c>
      <c r="B841" s="63" t="s">
        <v>2358</v>
      </c>
      <c r="C841" s="40" t="s">
        <v>2482</v>
      </c>
      <c r="D841" s="57">
        <f t="shared" si="13"/>
        <v>1023</v>
      </c>
    </row>
    <row r="842" spans="1:4">
      <c r="A842" s="53">
        <v>1024</v>
      </c>
      <c r="B842" s="63" t="s">
        <v>2367</v>
      </c>
      <c r="C842" s="40" t="s">
        <v>2484</v>
      </c>
      <c r="D842" s="57">
        <f t="shared" si="13"/>
        <v>1024</v>
      </c>
    </row>
    <row r="843" spans="1:4">
      <c r="A843" s="53">
        <v>1025</v>
      </c>
      <c r="B843" s="41" t="s">
        <v>2486</v>
      </c>
      <c r="C843" s="40" t="s">
        <v>2485</v>
      </c>
      <c r="D843" s="57">
        <f t="shared" si="13"/>
        <v>1025</v>
      </c>
    </row>
    <row r="844" spans="1:4">
      <c r="A844" s="53">
        <v>1027</v>
      </c>
      <c r="B844" s="63" t="s">
        <v>2534</v>
      </c>
      <c r="C844" s="40" t="s">
        <v>2535</v>
      </c>
      <c r="D844" s="57">
        <f t="shared" si="13"/>
        <v>1027</v>
      </c>
    </row>
    <row r="845" spans="1:4">
      <c r="A845" s="53">
        <v>1028</v>
      </c>
      <c r="B845" s="63" t="s">
        <v>2536</v>
      </c>
      <c r="C845" s="40" t="s">
        <v>2537</v>
      </c>
      <c r="D845" s="57">
        <f t="shared" si="13"/>
        <v>1028</v>
      </c>
    </row>
    <row r="846" spans="1:4">
      <c r="A846" s="53">
        <v>1029</v>
      </c>
      <c r="B846" s="63" t="s">
        <v>2538</v>
      </c>
      <c r="C846" s="40" t="s">
        <v>2539</v>
      </c>
      <c r="D846" s="57">
        <f t="shared" si="13"/>
        <v>1029</v>
      </c>
    </row>
    <row r="847" spans="1:4">
      <c r="A847" s="53">
        <v>1030</v>
      </c>
      <c r="B847" s="63" t="s">
        <v>2540</v>
      </c>
      <c r="C847" s="40" t="s">
        <v>2541</v>
      </c>
      <c r="D847" s="57">
        <f t="shared" si="13"/>
        <v>1030</v>
      </c>
    </row>
    <row r="848" spans="1:4">
      <c r="A848" s="53">
        <v>1031</v>
      </c>
      <c r="B848" s="63" t="s">
        <v>2542</v>
      </c>
      <c r="C848" s="65" t="s">
        <v>2543</v>
      </c>
      <c r="D848" s="57">
        <f t="shared" si="13"/>
        <v>1031</v>
      </c>
    </row>
    <row r="849" spans="1:4">
      <c r="A849" s="53">
        <v>1032</v>
      </c>
      <c r="B849" s="63" t="s">
        <v>2544</v>
      </c>
      <c r="C849" s="40" t="s">
        <v>2545</v>
      </c>
      <c r="D849" s="57">
        <f t="shared" si="13"/>
        <v>1032</v>
      </c>
    </row>
    <row r="850" spans="1:4">
      <c r="A850" s="53">
        <v>1033</v>
      </c>
      <c r="B850" s="65" t="s">
        <v>2546</v>
      </c>
      <c r="C850" s="40" t="s">
        <v>2547</v>
      </c>
      <c r="D850" s="57">
        <f t="shared" si="13"/>
        <v>1033</v>
      </c>
    </row>
    <row r="851" spans="1:4">
      <c r="A851" s="53">
        <v>1034</v>
      </c>
      <c r="B851" s="63" t="s">
        <v>2548</v>
      </c>
      <c r="C851" s="41" t="s">
        <v>2549</v>
      </c>
      <c r="D851" s="57">
        <f t="shared" si="13"/>
        <v>1034</v>
      </c>
    </row>
    <row r="852" spans="1:4">
      <c r="A852" s="53">
        <v>1035</v>
      </c>
      <c r="B852" s="65" t="s">
        <v>2550</v>
      </c>
      <c r="C852" s="40" t="s">
        <v>2551</v>
      </c>
      <c r="D852" s="57">
        <f t="shared" si="13"/>
        <v>1035</v>
      </c>
    </row>
    <row r="853" spans="1:4">
      <c r="A853" s="53">
        <v>1036</v>
      </c>
      <c r="B853" s="65" t="s">
        <v>2552</v>
      </c>
      <c r="C853" s="40" t="s">
        <v>2553</v>
      </c>
      <c r="D853" s="57">
        <f t="shared" si="13"/>
        <v>1036</v>
      </c>
    </row>
    <row r="854" spans="1:4">
      <c r="A854" s="53">
        <v>1037</v>
      </c>
      <c r="B854" s="65" t="s">
        <v>2554</v>
      </c>
      <c r="C854" s="40" t="s">
        <v>2555</v>
      </c>
      <c r="D854" s="57">
        <f t="shared" si="13"/>
        <v>1037</v>
      </c>
    </row>
    <row r="855" spans="1:4">
      <c r="A855" s="53">
        <v>1038</v>
      </c>
      <c r="B855" s="65" t="s">
        <v>2556</v>
      </c>
      <c r="C855" s="40" t="s">
        <v>2557</v>
      </c>
      <c r="D855" s="57">
        <f t="shared" si="13"/>
        <v>1038</v>
      </c>
    </row>
    <row r="856" spans="1:4">
      <c r="A856" s="53">
        <v>1039</v>
      </c>
      <c r="B856" s="65" t="s">
        <v>2558</v>
      </c>
      <c r="C856" s="40" t="s">
        <v>1382</v>
      </c>
      <c r="D856" s="57">
        <f t="shared" si="13"/>
        <v>1039</v>
      </c>
    </row>
    <row r="857" spans="1:4">
      <c r="A857" s="53">
        <v>1040</v>
      </c>
      <c r="B857" s="65" t="s">
        <v>2559</v>
      </c>
      <c r="C857" s="40" t="s">
        <v>2560</v>
      </c>
      <c r="D857" s="57">
        <f t="shared" si="13"/>
        <v>1040</v>
      </c>
    </row>
    <row r="858" spans="1:4">
      <c r="A858" s="53">
        <v>1041</v>
      </c>
      <c r="B858" s="65" t="s">
        <v>2561</v>
      </c>
      <c r="C858" s="40" t="s">
        <v>2562</v>
      </c>
      <c r="D858" s="57">
        <f t="shared" si="13"/>
        <v>1041</v>
      </c>
    </row>
    <row r="859" spans="1:4">
      <c r="A859" s="53">
        <v>1042</v>
      </c>
      <c r="B859" s="65" t="s">
        <v>2563</v>
      </c>
      <c r="C859" s="40" t="s">
        <v>2564</v>
      </c>
      <c r="D859" s="57">
        <f t="shared" si="13"/>
        <v>1042</v>
      </c>
    </row>
    <row r="860" spans="1:4" s="37" customFormat="1">
      <c r="A860" s="53">
        <v>1043</v>
      </c>
      <c r="B860" s="65" t="s">
        <v>2565</v>
      </c>
      <c r="C860" s="40" t="s">
        <v>2566</v>
      </c>
      <c r="D860" s="57">
        <f t="shared" si="13"/>
        <v>1043</v>
      </c>
    </row>
    <row r="861" spans="1:4">
      <c r="A861" s="53">
        <v>1044</v>
      </c>
      <c r="B861" s="65" t="s">
        <v>2567</v>
      </c>
      <c r="C861" s="40" t="s">
        <v>2568</v>
      </c>
      <c r="D861" s="57">
        <f t="shared" si="13"/>
        <v>1044</v>
      </c>
    </row>
    <row r="862" spans="1:4">
      <c r="A862" s="53">
        <v>1045</v>
      </c>
      <c r="B862" s="65" t="s">
        <v>2569</v>
      </c>
      <c r="C862" s="40" t="s">
        <v>2570</v>
      </c>
      <c r="D862" s="57">
        <f t="shared" si="13"/>
        <v>1045</v>
      </c>
    </row>
    <row r="863" spans="1:4">
      <c r="A863" s="53">
        <v>1046</v>
      </c>
      <c r="B863" s="65" t="s">
        <v>2571</v>
      </c>
      <c r="C863" s="40" t="s">
        <v>2572</v>
      </c>
      <c r="D863" s="57">
        <f t="shared" si="13"/>
        <v>1046</v>
      </c>
    </row>
    <row r="864" spans="1:4">
      <c r="A864" s="53">
        <v>1047</v>
      </c>
      <c r="B864" s="65" t="s">
        <v>2573</v>
      </c>
      <c r="C864" s="40" t="s">
        <v>2574</v>
      </c>
      <c r="D864" s="57">
        <f t="shared" si="13"/>
        <v>1047</v>
      </c>
    </row>
    <row r="865" spans="1:4">
      <c r="A865" s="53">
        <v>1048</v>
      </c>
      <c r="B865" s="65" t="s">
        <v>2575</v>
      </c>
      <c r="C865" s="40" t="s">
        <v>2576</v>
      </c>
      <c r="D865" s="57">
        <f t="shared" si="13"/>
        <v>1048</v>
      </c>
    </row>
    <row r="866" spans="1:4">
      <c r="A866" s="53">
        <v>1049</v>
      </c>
      <c r="B866" s="65" t="s">
        <v>2577</v>
      </c>
      <c r="C866" s="40" t="s">
        <v>2578</v>
      </c>
      <c r="D866" s="57">
        <f t="shared" si="13"/>
        <v>1049</v>
      </c>
    </row>
    <row r="867" spans="1:4">
      <c r="A867" s="53">
        <v>1050</v>
      </c>
      <c r="B867" s="65" t="s">
        <v>451</v>
      </c>
      <c r="C867" s="40" t="s">
        <v>2579</v>
      </c>
      <c r="D867" s="57">
        <f t="shared" si="13"/>
        <v>1050</v>
      </c>
    </row>
    <row r="868" spans="1:4">
      <c r="A868" s="53">
        <v>1051</v>
      </c>
      <c r="B868" s="65" t="s">
        <v>2580</v>
      </c>
      <c r="C868" s="40" t="s">
        <v>2581</v>
      </c>
      <c r="D868" s="57">
        <f t="shared" si="13"/>
        <v>1051</v>
      </c>
    </row>
    <row r="869" spans="1:4">
      <c r="A869" s="53">
        <v>1052</v>
      </c>
      <c r="B869" s="65" t="s">
        <v>2582</v>
      </c>
      <c r="C869" s="40" t="s">
        <v>2583</v>
      </c>
      <c r="D869" s="57">
        <f t="shared" si="13"/>
        <v>1052</v>
      </c>
    </row>
    <row r="870" spans="1:4">
      <c r="A870" s="53">
        <v>1053</v>
      </c>
      <c r="B870" s="40" t="s">
        <v>2584</v>
      </c>
      <c r="C870" s="65" t="s">
        <v>2585</v>
      </c>
      <c r="D870" s="57">
        <f t="shared" si="13"/>
        <v>1053</v>
      </c>
    </row>
    <row r="871" spans="1:4">
      <c r="A871" s="53">
        <v>1054</v>
      </c>
      <c r="B871" s="65" t="s">
        <v>2586</v>
      </c>
      <c r="C871" s="65" t="s">
        <v>3357</v>
      </c>
      <c r="D871" s="57">
        <f t="shared" si="13"/>
        <v>1054</v>
      </c>
    </row>
    <row r="872" spans="1:4">
      <c r="A872" s="53">
        <v>1055</v>
      </c>
      <c r="B872" s="65" t="s">
        <v>2587</v>
      </c>
      <c r="C872" s="40" t="s">
        <v>2588</v>
      </c>
      <c r="D872" s="57">
        <f t="shared" si="13"/>
        <v>1055</v>
      </c>
    </row>
    <row r="873" spans="1:4">
      <c r="A873" s="53">
        <v>1056</v>
      </c>
      <c r="B873" s="65" t="s">
        <v>2589</v>
      </c>
      <c r="C873" s="40" t="s">
        <v>2590</v>
      </c>
      <c r="D873" s="57">
        <f t="shared" si="13"/>
        <v>1056</v>
      </c>
    </row>
    <row r="874" spans="1:4">
      <c r="A874" s="53">
        <v>1057</v>
      </c>
      <c r="B874" s="65" t="s">
        <v>2591</v>
      </c>
      <c r="C874" s="40" t="s">
        <v>2592</v>
      </c>
      <c r="D874" s="57">
        <f t="shared" si="13"/>
        <v>1057</v>
      </c>
    </row>
    <row r="875" spans="1:4">
      <c r="A875" s="53">
        <v>1058</v>
      </c>
      <c r="B875" s="65" t="s">
        <v>2593</v>
      </c>
      <c r="C875" s="40" t="s">
        <v>2594</v>
      </c>
      <c r="D875" s="57">
        <f t="shared" si="13"/>
        <v>1058</v>
      </c>
    </row>
    <row r="876" spans="1:4">
      <c r="A876" s="53">
        <v>1059</v>
      </c>
      <c r="B876" s="65" t="s">
        <v>2595</v>
      </c>
      <c r="C876" s="40" t="s">
        <v>2596</v>
      </c>
      <c r="D876" s="57">
        <f t="shared" si="13"/>
        <v>1059</v>
      </c>
    </row>
    <row r="877" spans="1:4">
      <c r="A877" s="53">
        <v>1060</v>
      </c>
      <c r="B877" s="65" t="s">
        <v>2597</v>
      </c>
      <c r="C877" s="40" t="s">
        <v>2598</v>
      </c>
      <c r="D877" s="57">
        <f t="shared" si="13"/>
        <v>1060</v>
      </c>
    </row>
    <row r="878" spans="1:4">
      <c r="A878" s="53">
        <v>1061</v>
      </c>
      <c r="B878" s="65" t="s">
        <v>2599</v>
      </c>
      <c r="C878" s="40" t="s">
        <v>2600</v>
      </c>
      <c r="D878" s="57">
        <f t="shared" si="13"/>
        <v>1061</v>
      </c>
    </row>
    <row r="879" spans="1:4">
      <c r="A879" s="53">
        <v>1062</v>
      </c>
      <c r="B879" s="65" t="s">
        <v>2601</v>
      </c>
      <c r="C879" s="40" t="s">
        <v>2602</v>
      </c>
      <c r="D879" s="57">
        <f t="shared" si="13"/>
        <v>1062</v>
      </c>
    </row>
    <row r="880" spans="1:4">
      <c r="A880" s="53">
        <v>1063</v>
      </c>
      <c r="B880" s="65" t="s">
        <v>2603</v>
      </c>
      <c r="C880" s="40" t="s">
        <v>2604</v>
      </c>
      <c r="D880" s="57">
        <f t="shared" si="13"/>
        <v>1063</v>
      </c>
    </row>
    <row r="881" spans="1:4">
      <c r="A881" s="53">
        <v>1064</v>
      </c>
      <c r="B881" s="65" t="s">
        <v>2605</v>
      </c>
      <c r="C881" s="40" t="s">
        <v>2606</v>
      </c>
      <c r="D881" s="57">
        <f t="shared" si="13"/>
        <v>1064</v>
      </c>
    </row>
    <row r="882" spans="1:4">
      <c r="A882" s="53">
        <v>1065</v>
      </c>
      <c r="B882" s="65" t="s">
        <v>2607</v>
      </c>
      <c r="C882" s="40" t="s">
        <v>2608</v>
      </c>
      <c r="D882" s="57">
        <f t="shared" si="13"/>
        <v>1065</v>
      </c>
    </row>
    <row r="883" spans="1:4">
      <c r="A883" s="53">
        <v>1067</v>
      </c>
      <c r="B883" s="65" t="s">
        <v>2609</v>
      </c>
      <c r="C883" s="40" t="s">
        <v>714</v>
      </c>
      <c r="D883" s="57">
        <f t="shared" si="13"/>
        <v>1067</v>
      </c>
    </row>
    <row r="884" spans="1:4">
      <c r="A884" s="53">
        <v>1068</v>
      </c>
      <c r="B884" s="65" t="s">
        <v>2610</v>
      </c>
      <c r="C884" s="40" t="s">
        <v>2611</v>
      </c>
      <c r="D884" s="57">
        <f t="shared" si="13"/>
        <v>1068</v>
      </c>
    </row>
    <row r="885" spans="1:4">
      <c r="A885" s="53">
        <v>1069</v>
      </c>
      <c r="B885" s="65" t="s">
        <v>2612</v>
      </c>
      <c r="C885" s="40" t="s">
        <v>1206</v>
      </c>
      <c r="D885" s="57">
        <f t="shared" si="13"/>
        <v>1069</v>
      </c>
    </row>
    <row r="886" spans="1:4">
      <c r="A886" s="53">
        <v>1070</v>
      </c>
      <c r="B886" s="65" t="s">
        <v>2613</v>
      </c>
      <c r="C886" s="40" t="s">
        <v>2614</v>
      </c>
      <c r="D886" s="57">
        <f t="shared" si="13"/>
        <v>1070</v>
      </c>
    </row>
    <row r="887" spans="1:4">
      <c r="A887" s="53">
        <v>1071</v>
      </c>
      <c r="B887" s="65" t="s">
        <v>2615</v>
      </c>
      <c r="C887" s="52" t="s">
        <v>2616</v>
      </c>
      <c r="D887" s="57">
        <f t="shared" si="13"/>
        <v>1071</v>
      </c>
    </row>
    <row r="888" spans="1:4">
      <c r="A888" s="53">
        <v>1072</v>
      </c>
      <c r="B888" s="41" t="s">
        <v>2617</v>
      </c>
      <c r="C888" s="41" t="s">
        <v>2618</v>
      </c>
      <c r="D888" s="57">
        <f t="shared" si="13"/>
        <v>1072</v>
      </c>
    </row>
    <row r="889" spans="1:4">
      <c r="A889" s="53">
        <v>1073</v>
      </c>
      <c r="B889" s="65" t="s">
        <v>2619</v>
      </c>
      <c r="C889" s="40" t="s">
        <v>2620</v>
      </c>
      <c r="D889" s="57">
        <f t="shared" si="13"/>
        <v>1073</v>
      </c>
    </row>
    <row r="890" spans="1:4">
      <c r="A890" s="53">
        <v>1074</v>
      </c>
      <c r="B890" s="65" t="s">
        <v>2621</v>
      </c>
      <c r="C890" s="40" t="s">
        <v>2622</v>
      </c>
      <c r="D890" s="57">
        <f t="shared" si="13"/>
        <v>1074</v>
      </c>
    </row>
    <row r="891" spans="1:4">
      <c r="A891" s="53">
        <v>1075</v>
      </c>
      <c r="B891" s="65" t="s">
        <v>2623</v>
      </c>
      <c r="C891" s="40" t="s">
        <v>2624</v>
      </c>
      <c r="D891" s="57">
        <f t="shared" si="13"/>
        <v>1075</v>
      </c>
    </row>
    <row r="892" spans="1:4">
      <c r="A892" s="53">
        <v>1076</v>
      </c>
      <c r="B892" s="65" t="s">
        <v>2625</v>
      </c>
      <c r="C892" s="40" t="s">
        <v>2626</v>
      </c>
      <c r="D892" s="57">
        <f t="shared" si="13"/>
        <v>1076</v>
      </c>
    </row>
    <row r="893" spans="1:4">
      <c r="A893" s="53">
        <v>1077</v>
      </c>
      <c r="B893" s="65" t="s">
        <v>2627</v>
      </c>
      <c r="C893" s="40" t="s">
        <v>2628</v>
      </c>
      <c r="D893" s="57">
        <f t="shared" si="13"/>
        <v>1077</v>
      </c>
    </row>
    <row r="894" spans="1:4">
      <c r="A894" s="53">
        <v>1078</v>
      </c>
      <c r="B894" s="65" t="s">
        <v>2629</v>
      </c>
      <c r="C894" s="40" t="s">
        <v>2630</v>
      </c>
      <c r="D894" s="57">
        <f t="shared" si="13"/>
        <v>1078</v>
      </c>
    </row>
    <row r="895" spans="1:4">
      <c r="A895" s="53">
        <v>1079</v>
      </c>
      <c r="B895" s="65" t="s">
        <v>2631</v>
      </c>
      <c r="C895" s="40" t="s">
        <v>2632</v>
      </c>
      <c r="D895" s="57">
        <f t="shared" si="13"/>
        <v>1079</v>
      </c>
    </row>
    <row r="896" spans="1:4">
      <c r="A896" s="53">
        <v>1080</v>
      </c>
      <c r="B896" s="65" t="s">
        <v>2633</v>
      </c>
      <c r="C896" s="40" t="s">
        <v>2634</v>
      </c>
      <c r="D896" s="57">
        <f t="shared" si="13"/>
        <v>1080</v>
      </c>
    </row>
    <row r="897" spans="1:4">
      <c r="A897" s="53">
        <v>1081</v>
      </c>
      <c r="B897" s="65" t="s">
        <v>2635</v>
      </c>
      <c r="C897" s="40" t="s">
        <v>2636</v>
      </c>
      <c r="D897" s="57">
        <f t="shared" si="13"/>
        <v>1081</v>
      </c>
    </row>
    <row r="898" spans="1:4">
      <c r="A898" s="53">
        <v>1082</v>
      </c>
      <c r="B898" s="41" t="s">
        <v>2637</v>
      </c>
      <c r="C898" s="40" t="s">
        <v>2638</v>
      </c>
      <c r="D898" s="57">
        <f t="shared" ref="D898:D961" si="14">$A898</f>
        <v>1082</v>
      </c>
    </row>
    <row r="899" spans="1:4">
      <c r="A899" s="53">
        <v>1083</v>
      </c>
      <c r="B899" s="41" t="s">
        <v>2639</v>
      </c>
      <c r="C899" s="40" t="s">
        <v>2640</v>
      </c>
      <c r="D899" s="57">
        <f t="shared" si="14"/>
        <v>1083</v>
      </c>
    </row>
    <row r="900" spans="1:4">
      <c r="A900" s="53">
        <v>1084</v>
      </c>
      <c r="B900" s="41" t="s">
        <v>2641</v>
      </c>
      <c r="C900" s="40" t="s">
        <v>2642</v>
      </c>
      <c r="D900" s="57">
        <f t="shared" si="14"/>
        <v>1084</v>
      </c>
    </row>
    <row r="901" spans="1:4">
      <c r="A901" s="53">
        <v>1085</v>
      </c>
      <c r="B901" s="41" t="s">
        <v>2643</v>
      </c>
      <c r="C901" s="40" t="s">
        <v>2644</v>
      </c>
      <c r="D901" s="57">
        <f t="shared" si="14"/>
        <v>1085</v>
      </c>
    </row>
    <row r="902" spans="1:4">
      <c r="A902" s="53">
        <v>1086</v>
      </c>
      <c r="B902" s="41" t="s">
        <v>2645</v>
      </c>
      <c r="C902" s="40" t="s">
        <v>2646</v>
      </c>
      <c r="D902" s="57">
        <f t="shared" si="14"/>
        <v>1086</v>
      </c>
    </row>
    <row r="903" spans="1:4">
      <c r="A903" s="53">
        <v>1087</v>
      </c>
      <c r="B903" s="65" t="s">
        <v>2647</v>
      </c>
      <c r="C903" s="40" t="s">
        <v>2648</v>
      </c>
      <c r="D903" s="57">
        <f t="shared" si="14"/>
        <v>1087</v>
      </c>
    </row>
    <row r="904" spans="1:4">
      <c r="A904" s="53">
        <v>1088</v>
      </c>
      <c r="B904" s="65" t="s">
        <v>2649</v>
      </c>
      <c r="C904" s="40" t="s">
        <v>2650</v>
      </c>
      <c r="D904" s="57">
        <f t="shared" si="14"/>
        <v>1088</v>
      </c>
    </row>
    <row r="905" spans="1:4">
      <c r="A905" s="53">
        <v>1089</v>
      </c>
      <c r="B905" s="65" t="s">
        <v>2651</v>
      </c>
      <c r="C905" s="40" t="s">
        <v>2652</v>
      </c>
      <c r="D905" s="57">
        <f t="shared" si="14"/>
        <v>1089</v>
      </c>
    </row>
    <row r="906" spans="1:4">
      <c r="A906" s="53">
        <v>1090</v>
      </c>
      <c r="B906" s="65" t="s">
        <v>2653</v>
      </c>
      <c r="C906" s="40" t="s">
        <v>2654</v>
      </c>
      <c r="D906" s="57">
        <f t="shared" si="14"/>
        <v>1090</v>
      </c>
    </row>
    <row r="907" spans="1:4">
      <c r="A907" s="53">
        <v>1091</v>
      </c>
      <c r="B907" s="65" t="s">
        <v>2655</v>
      </c>
      <c r="C907" s="40" t="s">
        <v>2656</v>
      </c>
      <c r="D907" s="57">
        <f t="shared" si="14"/>
        <v>1091</v>
      </c>
    </row>
    <row r="908" spans="1:4">
      <c r="A908" s="53">
        <v>1092</v>
      </c>
      <c r="B908" s="65" t="s">
        <v>2657</v>
      </c>
      <c r="C908" s="40" t="s">
        <v>2658</v>
      </c>
      <c r="D908" s="57">
        <f t="shared" si="14"/>
        <v>1092</v>
      </c>
    </row>
    <row r="909" spans="1:4">
      <c r="A909" s="53">
        <v>1093</v>
      </c>
      <c r="B909" s="65" t="s">
        <v>2659</v>
      </c>
      <c r="C909" s="40" t="s">
        <v>2660</v>
      </c>
      <c r="D909" s="57">
        <f t="shared" si="14"/>
        <v>1093</v>
      </c>
    </row>
    <row r="910" spans="1:4">
      <c r="A910" s="53">
        <v>1094</v>
      </c>
      <c r="B910" s="65" t="s">
        <v>2661</v>
      </c>
      <c r="C910" s="40" t="s">
        <v>2662</v>
      </c>
      <c r="D910" s="57">
        <f t="shared" si="14"/>
        <v>1094</v>
      </c>
    </row>
    <row r="911" spans="1:4">
      <c r="A911" s="53">
        <v>1096</v>
      </c>
      <c r="B911" s="65" t="s">
        <v>2663</v>
      </c>
      <c r="C911" s="40" t="s">
        <v>2664</v>
      </c>
      <c r="D911" s="57">
        <f t="shared" si="14"/>
        <v>1096</v>
      </c>
    </row>
    <row r="912" spans="1:4">
      <c r="A912" s="53">
        <v>1097</v>
      </c>
      <c r="B912" s="65" t="s">
        <v>2665</v>
      </c>
      <c r="C912" s="40" t="s">
        <v>2666</v>
      </c>
      <c r="D912" s="57">
        <f t="shared" si="14"/>
        <v>1097</v>
      </c>
    </row>
    <row r="913" spans="1:4">
      <c r="A913" s="53">
        <v>1098</v>
      </c>
      <c r="B913" s="65" t="s">
        <v>2667</v>
      </c>
      <c r="C913" s="40" t="s">
        <v>2668</v>
      </c>
      <c r="D913" s="57">
        <f t="shared" si="14"/>
        <v>1098</v>
      </c>
    </row>
    <row r="914" spans="1:4">
      <c r="A914" s="53">
        <v>1099</v>
      </c>
      <c r="B914" s="65" t="s">
        <v>2669</v>
      </c>
      <c r="C914" s="40" t="s">
        <v>2670</v>
      </c>
      <c r="D914" s="57">
        <f t="shared" si="14"/>
        <v>1099</v>
      </c>
    </row>
    <row r="915" spans="1:4">
      <c r="A915" s="53">
        <v>1100</v>
      </c>
      <c r="B915" s="65" t="s">
        <v>2671</v>
      </c>
      <c r="C915" s="40" t="s">
        <v>2672</v>
      </c>
      <c r="D915" s="57">
        <f t="shared" si="14"/>
        <v>1100</v>
      </c>
    </row>
    <row r="916" spans="1:4">
      <c r="A916" s="53">
        <v>1101</v>
      </c>
      <c r="B916" s="65" t="s">
        <v>2673</v>
      </c>
      <c r="C916" s="40" t="s">
        <v>2674</v>
      </c>
      <c r="D916" s="57">
        <f t="shared" si="14"/>
        <v>1101</v>
      </c>
    </row>
    <row r="917" spans="1:4">
      <c r="A917" s="53">
        <v>1102</v>
      </c>
      <c r="B917" s="65" t="s">
        <v>2675</v>
      </c>
      <c r="C917" s="40" t="s">
        <v>2676</v>
      </c>
      <c r="D917" s="57">
        <f t="shared" si="14"/>
        <v>1102</v>
      </c>
    </row>
    <row r="918" spans="1:4">
      <c r="A918" s="53">
        <v>1103</v>
      </c>
      <c r="B918" s="65" t="s">
        <v>2677</v>
      </c>
      <c r="C918" s="40" t="s">
        <v>2678</v>
      </c>
      <c r="D918" s="57">
        <f t="shared" si="14"/>
        <v>1103</v>
      </c>
    </row>
    <row r="919" spans="1:4">
      <c r="A919" s="53">
        <v>1104</v>
      </c>
      <c r="B919" s="65" t="s">
        <v>2679</v>
      </c>
      <c r="C919" s="40" t="s">
        <v>2680</v>
      </c>
      <c r="D919" s="57">
        <f t="shared" si="14"/>
        <v>1104</v>
      </c>
    </row>
    <row r="920" spans="1:4">
      <c r="A920" s="53">
        <v>1105</v>
      </c>
      <c r="B920" s="65" t="s">
        <v>2681</v>
      </c>
      <c r="C920" s="40" t="s">
        <v>2682</v>
      </c>
      <c r="D920" s="57">
        <f t="shared" si="14"/>
        <v>1105</v>
      </c>
    </row>
    <row r="921" spans="1:4">
      <c r="A921" s="53">
        <v>1106</v>
      </c>
      <c r="B921" s="65" t="s">
        <v>2683</v>
      </c>
      <c r="C921" s="40" t="s">
        <v>2684</v>
      </c>
      <c r="D921" s="57">
        <f t="shared" si="14"/>
        <v>1106</v>
      </c>
    </row>
    <row r="922" spans="1:4">
      <c r="A922" s="53">
        <v>1107</v>
      </c>
      <c r="B922" s="65" t="s">
        <v>2685</v>
      </c>
      <c r="C922" s="40" t="s">
        <v>2686</v>
      </c>
      <c r="D922" s="57">
        <f t="shared" si="14"/>
        <v>1107</v>
      </c>
    </row>
    <row r="923" spans="1:4">
      <c r="A923" s="53">
        <v>1108</v>
      </c>
      <c r="B923" s="65" t="s">
        <v>2687</v>
      </c>
      <c r="C923" s="40" t="s">
        <v>2688</v>
      </c>
      <c r="D923" s="57">
        <f t="shared" si="14"/>
        <v>1108</v>
      </c>
    </row>
    <row r="924" spans="1:4">
      <c r="A924" s="53">
        <v>1109</v>
      </c>
      <c r="B924" s="65" t="s">
        <v>2689</v>
      </c>
      <c r="C924" s="40" t="s">
        <v>2690</v>
      </c>
      <c r="D924" s="57">
        <f t="shared" si="14"/>
        <v>1109</v>
      </c>
    </row>
    <row r="925" spans="1:4">
      <c r="A925" s="53">
        <v>1110</v>
      </c>
      <c r="B925" s="65" t="s">
        <v>2691</v>
      </c>
      <c r="C925" s="40" t="s">
        <v>389</v>
      </c>
      <c r="D925" s="57">
        <f t="shared" si="14"/>
        <v>1110</v>
      </c>
    </row>
    <row r="926" spans="1:4">
      <c r="A926" s="53">
        <v>1111</v>
      </c>
      <c r="B926" s="65" t="s">
        <v>2692</v>
      </c>
      <c r="C926" s="40" t="s">
        <v>2693</v>
      </c>
      <c r="D926" s="57">
        <f t="shared" si="14"/>
        <v>1111</v>
      </c>
    </row>
    <row r="927" spans="1:4">
      <c r="A927" s="53">
        <v>1112</v>
      </c>
      <c r="B927" s="65" t="s">
        <v>2694</v>
      </c>
      <c r="C927" s="40" t="s">
        <v>2695</v>
      </c>
      <c r="D927" s="57">
        <f t="shared" si="14"/>
        <v>1112</v>
      </c>
    </row>
    <row r="928" spans="1:4">
      <c r="A928" s="53">
        <v>1113</v>
      </c>
      <c r="B928" s="65" t="s">
        <v>2696</v>
      </c>
      <c r="C928" s="40" t="s">
        <v>2697</v>
      </c>
      <c r="D928" s="57">
        <f t="shared" si="14"/>
        <v>1113</v>
      </c>
    </row>
    <row r="929" spans="1:4">
      <c r="A929" s="53">
        <v>1114</v>
      </c>
      <c r="B929" s="65" t="s">
        <v>2698</v>
      </c>
      <c r="C929" s="40" t="s">
        <v>2699</v>
      </c>
      <c r="D929" s="57">
        <f t="shared" si="14"/>
        <v>1114</v>
      </c>
    </row>
    <row r="930" spans="1:4">
      <c r="A930" s="53">
        <v>1115</v>
      </c>
      <c r="B930" s="65" t="s">
        <v>2700</v>
      </c>
      <c r="C930" s="40" t="s">
        <v>2701</v>
      </c>
      <c r="D930" s="57">
        <f t="shared" si="14"/>
        <v>1115</v>
      </c>
    </row>
    <row r="931" spans="1:4">
      <c r="A931" s="53">
        <v>1116</v>
      </c>
      <c r="B931" s="65" t="s">
        <v>2702</v>
      </c>
      <c r="C931" s="40" t="s">
        <v>2703</v>
      </c>
      <c r="D931" s="57">
        <f t="shared" si="14"/>
        <v>1116</v>
      </c>
    </row>
    <row r="932" spans="1:4">
      <c r="A932" s="53">
        <v>1117</v>
      </c>
      <c r="B932" s="65" t="s">
        <v>2704</v>
      </c>
      <c r="C932" s="40" t="s">
        <v>2705</v>
      </c>
      <c r="D932" s="57">
        <f t="shared" si="14"/>
        <v>1117</v>
      </c>
    </row>
    <row r="933" spans="1:4">
      <c r="A933" s="53">
        <v>1118</v>
      </c>
      <c r="B933" s="65" t="s">
        <v>2706</v>
      </c>
      <c r="C933" s="40" t="s">
        <v>2707</v>
      </c>
      <c r="D933" s="57">
        <f t="shared" si="14"/>
        <v>1118</v>
      </c>
    </row>
    <row r="934" spans="1:4">
      <c r="A934" s="53">
        <v>1119</v>
      </c>
      <c r="B934" s="65" t="s">
        <v>2708</v>
      </c>
      <c r="C934" s="40" t="s">
        <v>2709</v>
      </c>
      <c r="D934" s="57">
        <f t="shared" si="14"/>
        <v>1119</v>
      </c>
    </row>
    <row r="935" spans="1:4">
      <c r="A935" s="53">
        <v>1120</v>
      </c>
      <c r="B935" s="65" t="s">
        <v>2710</v>
      </c>
      <c r="C935" s="40" t="s">
        <v>2711</v>
      </c>
      <c r="D935" s="57">
        <f t="shared" si="14"/>
        <v>1120</v>
      </c>
    </row>
    <row r="936" spans="1:4">
      <c r="A936" s="53">
        <v>1121</v>
      </c>
      <c r="B936" s="65" t="s">
        <v>2712</v>
      </c>
      <c r="C936" s="40" t="s">
        <v>2713</v>
      </c>
      <c r="D936" s="57">
        <f t="shared" si="14"/>
        <v>1121</v>
      </c>
    </row>
    <row r="937" spans="1:4">
      <c r="A937" s="53">
        <v>1122</v>
      </c>
      <c r="B937" s="65" t="s">
        <v>2714</v>
      </c>
      <c r="C937" s="40" t="s">
        <v>2715</v>
      </c>
      <c r="D937" s="57">
        <f t="shared" si="14"/>
        <v>1122</v>
      </c>
    </row>
    <row r="938" spans="1:4">
      <c r="A938" s="53">
        <v>1124</v>
      </c>
      <c r="B938" s="65" t="s">
        <v>2716</v>
      </c>
      <c r="C938" s="40" t="s">
        <v>2717</v>
      </c>
      <c r="D938" s="57">
        <f t="shared" si="14"/>
        <v>1124</v>
      </c>
    </row>
    <row r="939" spans="1:4">
      <c r="A939" s="53">
        <v>1125</v>
      </c>
      <c r="B939" s="40" t="s">
        <v>2718</v>
      </c>
      <c r="C939" s="40" t="s">
        <v>2719</v>
      </c>
      <c r="D939" s="57">
        <f t="shared" si="14"/>
        <v>1125</v>
      </c>
    </row>
    <row r="940" spans="1:4">
      <c r="A940" s="53">
        <v>1126</v>
      </c>
      <c r="B940" s="40" t="s">
        <v>2720</v>
      </c>
      <c r="C940" s="40" t="s">
        <v>3358</v>
      </c>
      <c r="D940" s="57">
        <f t="shared" si="14"/>
        <v>1126</v>
      </c>
    </row>
    <row r="941" spans="1:4">
      <c r="A941" s="53">
        <v>1127</v>
      </c>
      <c r="B941" s="65" t="s">
        <v>2721</v>
      </c>
      <c r="C941" s="40" t="s">
        <v>2722</v>
      </c>
      <c r="D941" s="57">
        <f t="shared" si="14"/>
        <v>1127</v>
      </c>
    </row>
    <row r="942" spans="1:4">
      <c r="A942" s="53">
        <v>1128</v>
      </c>
      <c r="B942" s="65" t="s">
        <v>2723</v>
      </c>
      <c r="C942" s="40" t="s">
        <v>2724</v>
      </c>
      <c r="D942" s="57">
        <f t="shared" si="14"/>
        <v>1128</v>
      </c>
    </row>
    <row r="943" spans="1:4">
      <c r="A943" s="53">
        <v>1129</v>
      </c>
      <c r="B943" s="65" t="s">
        <v>2725</v>
      </c>
      <c r="C943" s="40" t="s">
        <v>2726</v>
      </c>
      <c r="D943" s="57">
        <f t="shared" si="14"/>
        <v>1129</v>
      </c>
    </row>
    <row r="944" spans="1:4">
      <c r="A944" s="53">
        <v>1130</v>
      </c>
      <c r="B944" s="65" t="s">
        <v>2727</v>
      </c>
      <c r="C944" s="40" t="s">
        <v>2728</v>
      </c>
      <c r="D944" s="57">
        <f t="shared" si="14"/>
        <v>1130</v>
      </c>
    </row>
    <row r="945" spans="1:4">
      <c r="A945" s="53">
        <v>1131</v>
      </c>
      <c r="B945" s="65" t="s">
        <v>2729</v>
      </c>
      <c r="C945" s="40" t="s">
        <v>2730</v>
      </c>
      <c r="D945" s="57">
        <f t="shared" si="14"/>
        <v>1131</v>
      </c>
    </row>
    <row r="946" spans="1:4">
      <c r="A946" s="53">
        <v>1132</v>
      </c>
      <c r="B946" s="65" t="s">
        <v>2731</v>
      </c>
      <c r="C946" s="40" t="s">
        <v>2732</v>
      </c>
      <c r="D946" s="57">
        <f t="shared" si="14"/>
        <v>1132</v>
      </c>
    </row>
    <row r="947" spans="1:4">
      <c r="A947" s="53">
        <v>1133</v>
      </c>
      <c r="B947" s="65" t="s">
        <v>2733</v>
      </c>
      <c r="C947" s="40" t="s">
        <v>2734</v>
      </c>
      <c r="D947" s="57">
        <f t="shared" si="14"/>
        <v>1133</v>
      </c>
    </row>
    <row r="948" spans="1:4">
      <c r="A948" s="53">
        <v>1134</v>
      </c>
      <c r="B948" s="65" t="s">
        <v>2735</v>
      </c>
      <c r="C948" s="40" t="s">
        <v>2736</v>
      </c>
      <c r="D948" s="57">
        <f t="shared" si="14"/>
        <v>1134</v>
      </c>
    </row>
    <row r="949" spans="1:4">
      <c r="A949" s="53">
        <v>1135</v>
      </c>
      <c r="B949" s="65" t="s">
        <v>2737</v>
      </c>
      <c r="C949" s="40" t="s">
        <v>2738</v>
      </c>
      <c r="D949" s="57">
        <f t="shared" si="14"/>
        <v>1135</v>
      </c>
    </row>
    <row r="950" spans="1:4">
      <c r="A950" s="53">
        <v>1136</v>
      </c>
      <c r="B950" s="65" t="s">
        <v>2739</v>
      </c>
      <c r="C950" s="40" t="s">
        <v>2740</v>
      </c>
      <c r="D950" s="57">
        <f t="shared" si="14"/>
        <v>1136</v>
      </c>
    </row>
    <row r="951" spans="1:4">
      <c r="A951" s="53">
        <v>1137</v>
      </c>
      <c r="B951" s="65" t="s">
        <v>2741</v>
      </c>
      <c r="C951" s="40" t="s">
        <v>2742</v>
      </c>
      <c r="D951" s="57">
        <f t="shared" si="14"/>
        <v>1137</v>
      </c>
    </row>
    <row r="952" spans="1:4">
      <c r="A952" s="53">
        <v>1138</v>
      </c>
      <c r="B952" s="65" t="s">
        <v>2743</v>
      </c>
      <c r="C952" s="40" t="s">
        <v>2744</v>
      </c>
      <c r="D952" s="57">
        <f t="shared" si="14"/>
        <v>1138</v>
      </c>
    </row>
    <row r="953" spans="1:4">
      <c r="A953" s="53">
        <v>1139</v>
      </c>
      <c r="B953" s="65" t="s">
        <v>2745</v>
      </c>
      <c r="C953" s="40" t="s">
        <v>2746</v>
      </c>
      <c r="D953" s="57">
        <f t="shared" si="14"/>
        <v>1139</v>
      </c>
    </row>
    <row r="954" spans="1:4">
      <c r="A954" s="53">
        <v>1140</v>
      </c>
      <c r="B954" s="65" t="s">
        <v>2747</v>
      </c>
      <c r="C954" s="40" t="s">
        <v>2748</v>
      </c>
      <c r="D954" s="57">
        <f t="shared" si="14"/>
        <v>1140</v>
      </c>
    </row>
    <row r="955" spans="1:4">
      <c r="A955" s="53">
        <v>1141</v>
      </c>
      <c r="B955" s="65" t="s">
        <v>2749</v>
      </c>
      <c r="C955" s="40" t="s">
        <v>2750</v>
      </c>
      <c r="D955" s="57">
        <f t="shared" si="14"/>
        <v>1141</v>
      </c>
    </row>
    <row r="956" spans="1:4">
      <c r="A956" s="53">
        <v>1142</v>
      </c>
      <c r="B956" s="65" t="s">
        <v>2751</v>
      </c>
      <c r="C956" s="40" t="s">
        <v>2752</v>
      </c>
      <c r="D956" s="57">
        <f t="shared" si="14"/>
        <v>1142</v>
      </c>
    </row>
    <row r="957" spans="1:4">
      <c r="A957" s="53">
        <v>1143</v>
      </c>
      <c r="B957" s="65" t="s">
        <v>2753</v>
      </c>
      <c r="C957" s="40" t="s">
        <v>2754</v>
      </c>
      <c r="D957" s="57">
        <f t="shared" si="14"/>
        <v>1143</v>
      </c>
    </row>
    <row r="958" spans="1:4">
      <c r="A958" s="53">
        <v>1144</v>
      </c>
      <c r="B958" s="65" t="s">
        <v>2755</v>
      </c>
      <c r="C958" s="40" t="s">
        <v>2756</v>
      </c>
      <c r="D958" s="57">
        <f t="shared" si="14"/>
        <v>1144</v>
      </c>
    </row>
    <row r="959" spans="1:4">
      <c r="A959" s="53">
        <v>1145</v>
      </c>
      <c r="B959" s="65" t="s">
        <v>2757</v>
      </c>
      <c r="C959" s="40" t="s">
        <v>2758</v>
      </c>
      <c r="D959" s="57">
        <f t="shared" si="14"/>
        <v>1145</v>
      </c>
    </row>
    <row r="960" spans="1:4">
      <c r="A960" s="53">
        <v>1146</v>
      </c>
      <c r="B960" s="65" t="s">
        <v>350</v>
      </c>
      <c r="C960" s="40" t="s">
        <v>2759</v>
      </c>
      <c r="D960" s="57">
        <f t="shared" si="14"/>
        <v>1146</v>
      </c>
    </row>
    <row r="961" spans="1:4">
      <c r="A961" s="53">
        <v>1147</v>
      </c>
      <c r="B961" s="65" t="s">
        <v>2760</v>
      </c>
      <c r="C961" s="40" t="s">
        <v>2761</v>
      </c>
      <c r="D961" s="57">
        <f t="shared" si="14"/>
        <v>1147</v>
      </c>
    </row>
    <row r="962" spans="1:4">
      <c r="A962" s="53">
        <v>1148</v>
      </c>
      <c r="B962" s="65" t="s">
        <v>2762</v>
      </c>
      <c r="C962" s="40" t="s">
        <v>2763</v>
      </c>
      <c r="D962" s="57">
        <f t="shared" ref="D962:D1025" si="15">$A962</f>
        <v>1148</v>
      </c>
    </row>
    <row r="963" spans="1:4">
      <c r="A963" s="53">
        <v>1149</v>
      </c>
      <c r="B963" s="65" t="s">
        <v>2764</v>
      </c>
      <c r="C963" s="40" t="s">
        <v>2765</v>
      </c>
      <c r="D963" s="57">
        <f t="shared" si="15"/>
        <v>1149</v>
      </c>
    </row>
    <row r="964" spans="1:4">
      <c r="A964" s="53">
        <v>1150</v>
      </c>
      <c r="B964" s="40" t="s">
        <v>2766</v>
      </c>
      <c r="C964" s="40" t="s">
        <v>2767</v>
      </c>
      <c r="D964" s="57">
        <f t="shared" si="15"/>
        <v>1150</v>
      </c>
    </row>
    <row r="965" spans="1:4">
      <c r="A965" s="53">
        <v>1151</v>
      </c>
      <c r="B965" s="65" t="s">
        <v>2768</v>
      </c>
      <c r="C965" s="40" t="s">
        <v>2769</v>
      </c>
      <c r="D965" s="57">
        <f t="shared" si="15"/>
        <v>1151</v>
      </c>
    </row>
    <row r="966" spans="1:4">
      <c r="A966" s="53">
        <v>1152</v>
      </c>
      <c r="B966" s="65" t="s">
        <v>2770</v>
      </c>
      <c r="C966" s="40" t="s">
        <v>1383</v>
      </c>
      <c r="D966" s="57">
        <f t="shared" si="15"/>
        <v>1152</v>
      </c>
    </row>
    <row r="967" spans="1:4">
      <c r="A967" s="53">
        <v>1153</v>
      </c>
      <c r="B967" s="65" t="s">
        <v>2771</v>
      </c>
      <c r="C967" s="40" t="s">
        <v>1385</v>
      </c>
      <c r="D967" s="57">
        <f t="shared" si="15"/>
        <v>1153</v>
      </c>
    </row>
    <row r="968" spans="1:4">
      <c r="A968" s="53">
        <v>1154</v>
      </c>
      <c r="B968" s="65" t="s">
        <v>2772</v>
      </c>
      <c r="C968" s="40" t="s">
        <v>2773</v>
      </c>
      <c r="D968" s="57">
        <f t="shared" si="15"/>
        <v>1154</v>
      </c>
    </row>
    <row r="969" spans="1:4">
      <c r="A969" s="53">
        <v>1155</v>
      </c>
      <c r="B969" s="65" t="s">
        <v>2774</v>
      </c>
      <c r="C969" s="40" t="s">
        <v>2775</v>
      </c>
      <c r="D969" s="57">
        <f t="shared" si="15"/>
        <v>1155</v>
      </c>
    </row>
    <row r="970" spans="1:4">
      <c r="A970" s="53">
        <v>1156</v>
      </c>
      <c r="B970" s="65" t="s">
        <v>2776</v>
      </c>
      <c r="C970" s="40" t="s">
        <v>2777</v>
      </c>
      <c r="D970" s="57">
        <f t="shared" si="15"/>
        <v>1156</v>
      </c>
    </row>
    <row r="971" spans="1:4">
      <c r="A971" s="53">
        <v>1157</v>
      </c>
      <c r="B971" s="65" t="s">
        <v>2778</v>
      </c>
      <c r="C971" s="40" t="s">
        <v>2779</v>
      </c>
      <c r="D971" s="57">
        <f t="shared" si="15"/>
        <v>1157</v>
      </c>
    </row>
    <row r="972" spans="1:4">
      <c r="A972" s="53">
        <v>1158</v>
      </c>
      <c r="B972" s="65" t="s">
        <v>2780</v>
      </c>
      <c r="C972" s="40" t="s">
        <v>2781</v>
      </c>
      <c r="D972" s="57">
        <f t="shared" si="15"/>
        <v>1158</v>
      </c>
    </row>
    <row r="973" spans="1:4">
      <c r="A973" s="53">
        <v>1159</v>
      </c>
      <c r="B973" s="65" t="s">
        <v>2782</v>
      </c>
      <c r="C973" s="40" t="s">
        <v>2783</v>
      </c>
      <c r="D973" s="57">
        <f t="shared" si="15"/>
        <v>1159</v>
      </c>
    </row>
    <row r="974" spans="1:4">
      <c r="A974" s="53">
        <v>1160</v>
      </c>
      <c r="B974" s="65" t="s">
        <v>2784</v>
      </c>
      <c r="C974" s="40" t="s">
        <v>2785</v>
      </c>
      <c r="D974" s="57">
        <f t="shared" si="15"/>
        <v>1160</v>
      </c>
    </row>
    <row r="975" spans="1:4">
      <c r="A975" s="53">
        <v>1161</v>
      </c>
      <c r="B975" s="37" t="s">
        <v>2786</v>
      </c>
      <c r="C975" s="40" t="s">
        <v>2787</v>
      </c>
      <c r="D975" s="57">
        <f t="shared" si="15"/>
        <v>1161</v>
      </c>
    </row>
    <row r="976" spans="1:4">
      <c r="A976" s="53">
        <v>1162</v>
      </c>
      <c r="B976" s="37" t="s">
        <v>2788</v>
      </c>
      <c r="C976" s="40" t="s">
        <v>2789</v>
      </c>
      <c r="D976" s="57">
        <f t="shared" si="15"/>
        <v>1162</v>
      </c>
    </row>
    <row r="977" spans="1:4">
      <c r="A977" s="53">
        <v>1163</v>
      </c>
      <c r="B977" s="37" t="s">
        <v>2790</v>
      </c>
      <c r="C977" s="59" t="s">
        <v>403</v>
      </c>
      <c r="D977" s="57">
        <f t="shared" si="15"/>
        <v>1163</v>
      </c>
    </row>
    <row r="978" spans="1:4">
      <c r="A978" s="53">
        <v>1164</v>
      </c>
      <c r="B978" s="65" t="s">
        <v>2791</v>
      </c>
      <c r="C978" s="40" t="s">
        <v>349</v>
      </c>
      <c r="D978" s="57">
        <f t="shared" si="15"/>
        <v>1164</v>
      </c>
    </row>
    <row r="979" spans="1:4">
      <c r="A979" s="53">
        <v>1165</v>
      </c>
      <c r="B979" s="40" t="s">
        <v>2792</v>
      </c>
      <c r="C979" s="40" t="s">
        <v>2793</v>
      </c>
      <c r="D979" s="57">
        <f t="shared" si="15"/>
        <v>1165</v>
      </c>
    </row>
    <row r="980" spans="1:4">
      <c r="A980" s="53">
        <v>1166</v>
      </c>
      <c r="B980" s="65" t="s">
        <v>2794</v>
      </c>
      <c r="C980" s="40" t="s">
        <v>2795</v>
      </c>
      <c r="D980" s="57">
        <f t="shared" si="15"/>
        <v>1166</v>
      </c>
    </row>
    <row r="981" spans="1:4">
      <c r="A981" s="53">
        <v>1167</v>
      </c>
      <c r="B981" s="37" t="s">
        <v>2796</v>
      </c>
      <c r="C981" s="40" t="s">
        <v>2797</v>
      </c>
      <c r="D981" s="57">
        <f t="shared" si="15"/>
        <v>1167</v>
      </c>
    </row>
    <row r="982" spans="1:4">
      <c r="A982" s="53">
        <v>1168</v>
      </c>
      <c r="B982" s="37" t="s">
        <v>2798</v>
      </c>
      <c r="C982" s="40" t="s">
        <v>2799</v>
      </c>
      <c r="D982" s="57">
        <f t="shared" si="15"/>
        <v>1168</v>
      </c>
    </row>
    <row r="983" spans="1:4">
      <c r="A983" s="53">
        <v>1169</v>
      </c>
      <c r="B983" s="37" t="s">
        <v>2800</v>
      </c>
      <c r="C983" s="40" t="s">
        <v>2801</v>
      </c>
      <c r="D983" s="57">
        <f t="shared" si="15"/>
        <v>1169</v>
      </c>
    </row>
    <row r="984" spans="1:4">
      <c r="A984" s="53">
        <v>1170</v>
      </c>
      <c r="B984" s="37" t="s">
        <v>2802</v>
      </c>
      <c r="C984" s="40" t="s">
        <v>1386</v>
      </c>
      <c r="D984" s="57">
        <f t="shared" si="15"/>
        <v>1170</v>
      </c>
    </row>
    <row r="985" spans="1:4">
      <c r="A985" s="53">
        <v>1171</v>
      </c>
      <c r="B985" s="37" t="s">
        <v>2803</v>
      </c>
      <c r="C985" s="40" t="s">
        <v>2804</v>
      </c>
      <c r="D985" s="57">
        <f t="shared" si="15"/>
        <v>1171</v>
      </c>
    </row>
    <row r="986" spans="1:4">
      <c r="A986" s="53">
        <v>1172</v>
      </c>
      <c r="B986" s="37" t="s">
        <v>2805</v>
      </c>
      <c r="C986" s="40" t="s">
        <v>2806</v>
      </c>
      <c r="D986" s="57">
        <f t="shared" si="15"/>
        <v>1172</v>
      </c>
    </row>
    <row r="987" spans="1:4">
      <c r="A987" s="53">
        <v>1173</v>
      </c>
      <c r="B987" s="37" t="s">
        <v>2807</v>
      </c>
      <c r="C987" s="40" t="s">
        <v>2808</v>
      </c>
      <c r="D987" s="57">
        <f t="shared" si="15"/>
        <v>1173</v>
      </c>
    </row>
    <row r="988" spans="1:4">
      <c r="A988" s="53">
        <v>1174</v>
      </c>
      <c r="B988" s="41" t="s">
        <v>2809</v>
      </c>
      <c r="C988" s="40" t="s">
        <v>2810</v>
      </c>
      <c r="D988" s="57">
        <f t="shared" si="15"/>
        <v>1174</v>
      </c>
    </row>
    <row r="989" spans="1:4">
      <c r="A989" s="53">
        <v>1175</v>
      </c>
      <c r="B989" s="41" t="s">
        <v>2811</v>
      </c>
      <c r="C989" s="40" t="s">
        <v>2812</v>
      </c>
      <c r="D989" s="57">
        <f t="shared" si="15"/>
        <v>1175</v>
      </c>
    </row>
    <row r="990" spans="1:4">
      <c r="A990" s="53">
        <v>1176</v>
      </c>
      <c r="B990" s="41" t="s">
        <v>2813</v>
      </c>
      <c r="C990" s="40" t="s">
        <v>2814</v>
      </c>
      <c r="D990" s="57">
        <f t="shared" si="15"/>
        <v>1176</v>
      </c>
    </row>
    <row r="991" spans="1:4">
      <c r="A991" s="53">
        <v>1177</v>
      </c>
      <c r="B991" s="41" t="s">
        <v>2815</v>
      </c>
      <c r="C991" s="40" t="s">
        <v>2816</v>
      </c>
      <c r="D991" s="57">
        <f t="shared" si="15"/>
        <v>1177</v>
      </c>
    </row>
    <row r="992" spans="1:4">
      <c r="A992" s="53">
        <v>1178</v>
      </c>
      <c r="B992" s="41" t="s">
        <v>2302</v>
      </c>
      <c r="C992" s="40" t="s">
        <v>2817</v>
      </c>
      <c r="D992" s="57">
        <f t="shared" si="15"/>
        <v>1178</v>
      </c>
    </row>
    <row r="993" spans="1:4">
      <c r="A993" s="53">
        <v>1179</v>
      </c>
      <c r="B993" s="41" t="s">
        <v>2818</v>
      </c>
      <c r="C993" s="40" t="s">
        <v>2819</v>
      </c>
      <c r="D993" s="57">
        <f t="shared" si="15"/>
        <v>1179</v>
      </c>
    </row>
    <row r="994" spans="1:4">
      <c r="A994" s="53">
        <v>1180</v>
      </c>
      <c r="B994" s="41" t="s">
        <v>2820</v>
      </c>
      <c r="C994" s="40" t="s">
        <v>2821</v>
      </c>
      <c r="D994" s="57">
        <f t="shared" si="15"/>
        <v>1180</v>
      </c>
    </row>
    <row r="995" spans="1:4">
      <c r="A995" s="53">
        <v>1182</v>
      </c>
      <c r="B995" s="41" t="s">
        <v>2822</v>
      </c>
      <c r="C995" s="40" t="s">
        <v>2823</v>
      </c>
      <c r="D995" s="57">
        <f t="shared" si="15"/>
        <v>1182</v>
      </c>
    </row>
    <row r="996" spans="1:4">
      <c r="A996" s="53">
        <v>1184</v>
      </c>
      <c r="B996" s="41" t="s">
        <v>2825</v>
      </c>
      <c r="C996" s="40" t="s">
        <v>2826</v>
      </c>
      <c r="D996" s="57">
        <f t="shared" si="15"/>
        <v>1184</v>
      </c>
    </row>
    <row r="997" spans="1:4">
      <c r="A997" s="30">
        <v>1185</v>
      </c>
      <c r="B997" s="40" t="s">
        <v>2827</v>
      </c>
      <c r="C997" s="40" t="s">
        <v>2828</v>
      </c>
      <c r="D997" s="57">
        <f t="shared" si="15"/>
        <v>1185</v>
      </c>
    </row>
    <row r="998" spans="1:4">
      <c r="A998" s="30">
        <v>1186</v>
      </c>
      <c r="B998" s="41" t="s">
        <v>2829</v>
      </c>
      <c r="C998" s="40" t="s">
        <v>919</v>
      </c>
      <c r="D998" s="57">
        <f t="shared" si="15"/>
        <v>1186</v>
      </c>
    </row>
    <row r="999" spans="1:4">
      <c r="A999" s="30">
        <v>1187</v>
      </c>
      <c r="B999" s="41" t="s">
        <v>480</v>
      </c>
      <c r="C999" s="40" t="s">
        <v>481</v>
      </c>
      <c r="D999" s="57">
        <f t="shared" si="15"/>
        <v>1187</v>
      </c>
    </row>
    <row r="1000" spans="1:4">
      <c r="A1000" s="30">
        <v>1188</v>
      </c>
      <c r="B1000" s="41" t="s">
        <v>2830</v>
      </c>
      <c r="C1000" s="40" t="s">
        <v>2831</v>
      </c>
      <c r="D1000" s="57">
        <f t="shared" si="15"/>
        <v>1188</v>
      </c>
    </row>
    <row r="1001" spans="1:4">
      <c r="A1001" s="30">
        <v>1189</v>
      </c>
      <c r="B1001" s="41" t="s">
        <v>2832</v>
      </c>
      <c r="C1001" s="40" t="s">
        <v>2833</v>
      </c>
      <c r="D1001" s="57">
        <f t="shared" si="15"/>
        <v>1189</v>
      </c>
    </row>
    <row r="1002" spans="1:4">
      <c r="A1002" s="30">
        <v>1190</v>
      </c>
      <c r="B1002" s="42" t="s">
        <v>2834</v>
      </c>
      <c r="C1002" s="40" t="s">
        <v>2835</v>
      </c>
      <c r="D1002" s="57">
        <f t="shared" si="15"/>
        <v>1190</v>
      </c>
    </row>
    <row r="1003" spans="1:4">
      <c r="A1003" s="30">
        <v>1191</v>
      </c>
      <c r="B1003" s="42" t="s">
        <v>2836</v>
      </c>
      <c r="C1003" s="40" t="s">
        <v>3359</v>
      </c>
      <c r="D1003" s="57">
        <f t="shared" si="15"/>
        <v>1191</v>
      </c>
    </row>
    <row r="1004" spans="1:4">
      <c r="A1004" s="30">
        <v>1192</v>
      </c>
      <c r="B1004" s="42" t="s">
        <v>2837</v>
      </c>
      <c r="C1004" s="40" t="s">
        <v>2838</v>
      </c>
      <c r="D1004" s="57">
        <f t="shared" si="15"/>
        <v>1192</v>
      </c>
    </row>
    <row r="1005" spans="1:4">
      <c r="A1005" s="30">
        <v>1193</v>
      </c>
      <c r="B1005" s="29" t="s">
        <v>2839</v>
      </c>
      <c r="C1005" s="40" t="s">
        <v>2840</v>
      </c>
      <c r="D1005" s="57">
        <f t="shared" si="15"/>
        <v>1193</v>
      </c>
    </row>
    <row r="1006" spans="1:4">
      <c r="A1006" s="30">
        <v>1194</v>
      </c>
      <c r="B1006" s="42" t="s">
        <v>747</v>
      </c>
      <c r="C1006" s="40" t="s">
        <v>2841</v>
      </c>
      <c r="D1006" s="57">
        <f t="shared" si="15"/>
        <v>1194</v>
      </c>
    </row>
    <row r="1007" spans="1:4">
      <c r="A1007" s="30">
        <v>1195</v>
      </c>
      <c r="B1007" s="42" t="s">
        <v>2842</v>
      </c>
      <c r="C1007" s="40" t="s">
        <v>2843</v>
      </c>
      <c r="D1007" s="57">
        <f t="shared" si="15"/>
        <v>1195</v>
      </c>
    </row>
    <row r="1008" spans="1:4">
      <c r="A1008" s="30">
        <v>1196</v>
      </c>
      <c r="B1008" s="42" t="s">
        <v>2844</v>
      </c>
      <c r="C1008" s="40" t="s">
        <v>2845</v>
      </c>
      <c r="D1008" s="57">
        <f t="shared" si="15"/>
        <v>1196</v>
      </c>
    </row>
    <row r="1009" spans="1:4">
      <c r="A1009" s="30">
        <v>1197</v>
      </c>
      <c r="B1009" s="42" t="s">
        <v>2846</v>
      </c>
      <c r="C1009" s="40" t="s">
        <v>2847</v>
      </c>
      <c r="D1009" s="57">
        <f t="shared" si="15"/>
        <v>1197</v>
      </c>
    </row>
    <row r="1010" spans="1:4">
      <c r="A1010" s="30">
        <v>1198</v>
      </c>
      <c r="B1010" s="42" t="s">
        <v>2848</v>
      </c>
      <c r="C1010" s="40" t="s">
        <v>2849</v>
      </c>
      <c r="D1010" s="57">
        <f t="shared" si="15"/>
        <v>1198</v>
      </c>
    </row>
    <row r="1011" spans="1:4">
      <c r="A1011" s="30">
        <v>1199</v>
      </c>
      <c r="B1011" s="42" t="s">
        <v>2850</v>
      </c>
      <c r="C1011" s="40" t="s">
        <v>2851</v>
      </c>
      <c r="D1011" s="57">
        <f t="shared" si="15"/>
        <v>1199</v>
      </c>
    </row>
    <row r="1012" spans="1:4">
      <c r="A1012" s="30">
        <v>1200</v>
      </c>
      <c r="B1012" s="42" t="s">
        <v>2852</v>
      </c>
      <c r="C1012" s="40" t="s">
        <v>2853</v>
      </c>
      <c r="D1012" s="57">
        <f t="shared" si="15"/>
        <v>1200</v>
      </c>
    </row>
    <row r="1013" spans="1:4">
      <c r="A1013" s="30">
        <v>1201</v>
      </c>
      <c r="B1013" s="42" t="s">
        <v>2854</v>
      </c>
      <c r="C1013" s="40" t="s">
        <v>2855</v>
      </c>
      <c r="D1013" s="57">
        <f t="shared" si="15"/>
        <v>1201</v>
      </c>
    </row>
    <row r="1014" spans="1:4">
      <c r="A1014" s="30">
        <v>1202</v>
      </c>
      <c r="B1014" s="42" t="s">
        <v>2856</v>
      </c>
      <c r="C1014" s="40" t="s">
        <v>2857</v>
      </c>
      <c r="D1014" s="57">
        <f t="shared" si="15"/>
        <v>1202</v>
      </c>
    </row>
    <row r="1015" spans="1:4">
      <c r="A1015" s="30">
        <v>1203</v>
      </c>
      <c r="B1015" s="42" t="s">
        <v>2858</v>
      </c>
      <c r="C1015" s="40" t="s">
        <v>2859</v>
      </c>
      <c r="D1015" s="57">
        <f t="shared" si="15"/>
        <v>1203</v>
      </c>
    </row>
    <row r="1016" spans="1:4">
      <c r="A1016" s="30">
        <v>1204</v>
      </c>
      <c r="B1016" s="42" t="s">
        <v>2860</v>
      </c>
      <c r="C1016" s="40" t="s">
        <v>2861</v>
      </c>
      <c r="D1016" s="57">
        <f t="shared" si="15"/>
        <v>1204</v>
      </c>
    </row>
    <row r="1017" spans="1:4">
      <c r="A1017" s="30">
        <v>1205</v>
      </c>
      <c r="B1017" s="42" t="s">
        <v>2862</v>
      </c>
      <c r="C1017" s="40" t="s">
        <v>2863</v>
      </c>
      <c r="D1017" s="57">
        <f t="shared" si="15"/>
        <v>1205</v>
      </c>
    </row>
    <row r="1018" spans="1:4">
      <c r="A1018" s="30">
        <v>1206</v>
      </c>
      <c r="B1018" s="40" t="s">
        <v>2864</v>
      </c>
      <c r="C1018" s="42" t="s">
        <v>2865</v>
      </c>
      <c r="D1018" s="57">
        <f t="shared" si="15"/>
        <v>1206</v>
      </c>
    </row>
    <row r="1019" spans="1:4">
      <c r="A1019" s="30">
        <v>1207</v>
      </c>
      <c r="B1019" s="40" t="s">
        <v>2866</v>
      </c>
      <c r="C1019" s="40" t="s">
        <v>2867</v>
      </c>
      <c r="D1019" s="57">
        <f t="shared" si="15"/>
        <v>1207</v>
      </c>
    </row>
    <row r="1020" spans="1:4">
      <c r="A1020" s="30">
        <v>1208</v>
      </c>
      <c r="B1020" s="42" t="s">
        <v>2868</v>
      </c>
      <c r="C1020" s="40" t="s">
        <v>2869</v>
      </c>
      <c r="D1020" s="57">
        <f t="shared" si="15"/>
        <v>1208</v>
      </c>
    </row>
    <row r="1021" spans="1:4">
      <c r="A1021" s="30">
        <v>1209</v>
      </c>
      <c r="B1021" s="42" t="s">
        <v>2870</v>
      </c>
      <c r="C1021" s="40" t="s">
        <v>2871</v>
      </c>
      <c r="D1021" s="57">
        <f t="shared" si="15"/>
        <v>1209</v>
      </c>
    </row>
    <row r="1022" spans="1:4">
      <c r="A1022" s="30">
        <v>1210</v>
      </c>
      <c r="B1022" s="42" t="s">
        <v>2872</v>
      </c>
      <c r="C1022" s="40" t="s">
        <v>2873</v>
      </c>
      <c r="D1022" s="57">
        <f t="shared" si="15"/>
        <v>1210</v>
      </c>
    </row>
    <row r="1023" spans="1:4">
      <c r="A1023" s="30">
        <v>1211</v>
      </c>
      <c r="B1023" s="42" t="s">
        <v>2874</v>
      </c>
      <c r="C1023" s="40" t="s">
        <v>2875</v>
      </c>
      <c r="D1023" s="57">
        <f t="shared" si="15"/>
        <v>1211</v>
      </c>
    </row>
    <row r="1024" spans="1:4">
      <c r="A1024" s="30">
        <v>1212</v>
      </c>
      <c r="B1024" s="42" t="s">
        <v>2876</v>
      </c>
      <c r="C1024" s="40" t="s">
        <v>2877</v>
      </c>
      <c r="D1024" s="57">
        <f t="shared" si="15"/>
        <v>1212</v>
      </c>
    </row>
    <row r="1025" spans="1:4">
      <c r="A1025" s="30">
        <v>1213</v>
      </c>
      <c r="B1025" s="29" t="s">
        <v>2878</v>
      </c>
      <c r="C1025" s="40" t="s">
        <v>2879</v>
      </c>
      <c r="D1025" s="57">
        <f t="shared" si="15"/>
        <v>1213</v>
      </c>
    </row>
    <row r="1026" spans="1:4">
      <c r="A1026" s="30">
        <v>1216</v>
      </c>
      <c r="B1026" s="29" t="s">
        <v>2880</v>
      </c>
      <c r="C1026" s="40" t="s">
        <v>2881</v>
      </c>
      <c r="D1026" s="57">
        <f t="shared" ref="D1026:D1089" si="16">$A1026</f>
        <v>1216</v>
      </c>
    </row>
    <row r="1027" spans="1:4">
      <c r="A1027" s="30">
        <v>1217</v>
      </c>
      <c r="B1027" s="29" t="s">
        <v>2882</v>
      </c>
      <c r="C1027" s="40" t="s">
        <v>2883</v>
      </c>
      <c r="D1027" s="57">
        <f t="shared" si="16"/>
        <v>1217</v>
      </c>
    </row>
    <row r="1028" spans="1:4">
      <c r="A1028" s="30">
        <v>1218</v>
      </c>
      <c r="B1028" s="29" t="s">
        <v>2884</v>
      </c>
      <c r="C1028" s="40" t="s">
        <v>2885</v>
      </c>
      <c r="D1028" s="57">
        <f t="shared" si="16"/>
        <v>1218</v>
      </c>
    </row>
    <row r="1029" spans="1:4">
      <c r="A1029" s="30">
        <v>1219</v>
      </c>
      <c r="B1029" s="29" t="s">
        <v>2886</v>
      </c>
      <c r="C1029" s="42" t="s">
        <v>2887</v>
      </c>
      <c r="D1029" s="57">
        <f t="shared" si="16"/>
        <v>1219</v>
      </c>
    </row>
    <row r="1030" spans="1:4">
      <c r="A1030" s="30">
        <v>1221</v>
      </c>
      <c r="B1030" s="29" t="s">
        <v>2888</v>
      </c>
      <c r="C1030" s="40" t="s">
        <v>2889</v>
      </c>
      <c r="D1030" s="57">
        <f t="shared" si="16"/>
        <v>1221</v>
      </c>
    </row>
    <row r="1031" spans="1:4">
      <c r="A1031" s="30">
        <v>1222</v>
      </c>
      <c r="B1031" s="29" t="s">
        <v>2890</v>
      </c>
      <c r="C1031" s="40" t="s">
        <v>2891</v>
      </c>
      <c r="D1031" s="57">
        <f t="shared" si="16"/>
        <v>1222</v>
      </c>
    </row>
    <row r="1032" spans="1:4">
      <c r="A1032" s="30">
        <v>1223</v>
      </c>
      <c r="B1032" s="29" t="s">
        <v>2892</v>
      </c>
      <c r="C1032" s="40" t="s">
        <v>2893</v>
      </c>
      <c r="D1032" s="57">
        <f t="shared" si="16"/>
        <v>1223</v>
      </c>
    </row>
    <row r="1033" spans="1:4">
      <c r="A1033" s="30">
        <v>1224</v>
      </c>
      <c r="B1033" s="29" t="s">
        <v>2894</v>
      </c>
      <c r="C1033" s="40" t="s">
        <v>2895</v>
      </c>
      <c r="D1033" s="57">
        <f t="shared" si="16"/>
        <v>1224</v>
      </c>
    </row>
    <row r="1034" spans="1:4">
      <c r="A1034" s="30">
        <v>1225</v>
      </c>
      <c r="B1034" s="29" t="s">
        <v>2896</v>
      </c>
      <c r="C1034" s="40" t="s">
        <v>2897</v>
      </c>
      <c r="D1034" s="57">
        <f t="shared" si="16"/>
        <v>1225</v>
      </c>
    </row>
    <row r="1035" spans="1:4">
      <c r="A1035" s="30">
        <v>1226</v>
      </c>
      <c r="B1035" s="29" t="s">
        <v>2898</v>
      </c>
      <c r="C1035" s="40" t="s">
        <v>2899</v>
      </c>
      <c r="D1035" s="57">
        <f t="shared" si="16"/>
        <v>1226</v>
      </c>
    </row>
    <row r="1036" spans="1:4">
      <c r="A1036" s="30">
        <v>1227</v>
      </c>
      <c r="B1036" s="29" t="s">
        <v>2900</v>
      </c>
      <c r="C1036" s="40" t="s">
        <v>2901</v>
      </c>
      <c r="D1036" s="57">
        <f t="shared" si="16"/>
        <v>1227</v>
      </c>
    </row>
    <row r="1037" spans="1:4">
      <c r="A1037" s="30">
        <v>1228</v>
      </c>
      <c r="B1037" s="29" t="s">
        <v>2902</v>
      </c>
      <c r="C1037" s="40" t="s">
        <v>2903</v>
      </c>
      <c r="D1037" s="57">
        <f t="shared" si="16"/>
        <v>1228</v>
      </c>
    </row>
    <row r="1038" spans="1:4">
      <c r="A1038" s="30">
        <v>1229</v>
      </c>
      <c r="B1038" s="29" t="s">
        <v>2904</v>
      </c>
      <c r="C1038" s="40" t="s">
        <v>2905</v>
      </c>
      <c r="D1038" s="57">
        <f t="shared" si="16"/>
        <v>1229</v>
      </c>
    </row>
    <row r="1039" spans="1:4">
      <c r="A1039" s="30">
        <v>1230</v>
      </c>
      <c r="B1039" s="29" t="s">
        <v>2906</v>
      </c>
      <c r="C1039" s="40" t="s">
        <v>2907</v>
      </c>
      <c r="D1039" s="57">
        <f t="shared" si="16"/>
        <v>1230</v>
      </c>
    </row>
    <row r="1040" spans="1:4">
      <c r="A1040" s="30">
        <v>1231</v>
      </c>
      <c r="B1040" s="29" t="s">
        <v>2908</v>
      </c>
      <c r="C1040" s="40" t="s">
        <v>2909</v>
      </c>
      <c r="D1040" s="57">
        <f t="shared" si="16"/>
        <v>1231</v>
      </c>
    </row>
    <row r="1041" spans="1:4">
      <c r="A1041" s="30">
        <v>1232</v>
      </c>
      <c r="B1041" s="42" t="s">
        <v>2910</v>
      </c>
      <c r="C1041" s="29" t="s">
        <v>2911</v>
      </c>
      <c r="D1041" s="57">
        <f t="shared" si="16"/>
        <v>1232</v>
      </c>
    </row>
    <row r="1042" spans="1:4">
      <c r="A1042" s="30">
        <v>1233</v>
      </c>
      <c r="B1042" s="42" t="s">
        <v>2912</v>
      </c>
      <c r="C1042" s="40" t="s">
        <v>2913</v>
      </c>
      <c r="D1042" s="57">
        <f t="shared" si="16"/>
        <v>1233</v>
      </c>
    </row>
    <row r="1043" spans="1:4">
      <c r="A1043" s="30">
        <v>1234</v>
      </c>
      <c r="B1043" s="42" t="s">
        <v>2914</v>
      </c>
      <c r="C1043" s="40" t="s">
        <v>2915</v>
      </c>
      <c r="D1043" s="57">
        <f t="shared" si="16"/>
        <v>1234</v>
      </c>
    </row>
    <row r="1044" spans="1:4">
      <c r="A1044" s="30">
        <v>1235</v>
      </c>
      <c r="B1044" s="42" t="s">
        <v>2916</v>
      </c>
      <c r="C1044" s="42" t="s">
        <v>3360</v>
      </c>
      <c r="D1044" s="57">
        <f t="shared" si="16"/>
        <v>1235</v>
      </c>
    </row>
    <row r="1045" spans="1:4">
      <c r="A1045" s="30">
        <v>1236</v>
      </c>
      <c r="B1045" s="42" t="s">
        <v>2917</v>
      </c>
      <c r="C1045" s="40" t="s">
        <v>2918</v>
      </c>
      <c r="D1045" s="57">
        <f t="shared" si="16"/>
        <v>1236</v>
      </c>
    </row>
    <row r="1046" spans="1:4">
      <c r="A1046" s="30">
        <v>1237</v>
      </c>
      <c r="B1046" s="42" t="s">
        <v>2919</v>
      </c>
      <c r="C1046" s="42" t="s">
        <v>3361</v>
      </c>
      <c r="D1046" s="57">
        <f t="shared" si="16"/>
        <v>1237</v>
      </c>
    </row>
    <row r="1047" spans="1:4">
      <c r="A1047" s="30">
        <v>1238</v>
      </c>
      <c r="B1047" s="40" t="s">
        <v>2921</v>
      </c>
      <c r="C1047" s="40" t="s">
        <v>2922</v>
      </c>
      <c r="D1047" s="57">
        <f t="shared" si="16"/>
        <v>1238</v>
      </c>
    </row>
    <row r="1048" spans="1:4">
      <c r="A1048" s="30">
        <v>1239</v>
      </c>
      <c r="B1048" s="42" t="s">
        <v>2923</v>
      </c>
      <c r="C1048" s="42" t="s">
        <v>2924</v>
      </c>
      <c r="D1048" s="57">
        <f t="shared" si="16"/>
        <v>1239</v>
      </c>
    </row>
    <row r="1049" spans="1:4">
      <c r="A1049" s="30">
        <v>1240</v>
      </c>
      <c r="B1049" s="29" t="s">
        <v>2925</v>
      </c>
      <c r="C1049" s="40" t="s">
        <v>2926</v>
      </c>
      <c r="D1049" s="57">
        <f t="shared" si="16"/>
        <v>1240</v>
      </c>
    </row>
    <row r="1050" spans="1:4">
      <c r="A1050" s="30">
        <v>1241</v>
      </c>
      <c r="B1050" s="29" t="s">
        <v>2927</v>
      </c>
      <c r="C1050" s="42" t="s">
        <v>2928</v>
      </c>
      <c r="D1050" s="57">
        <f t="shared" si="16"/>
        <v>1241</v>
      </c>
    </row>
    <row r="1051" spans="1:4">
      <c r="A1051" s="30">
        <v>1242</v>
      </c>
      <c r="B1051" s="29" t="s">
        <v>2929</v>
      </c>
      <c r="C1051" s="40" t="s">
        <v>2930</v>
      </c>
      <c r="D1051" s="57">
        <f t="shared" si="16"/>
        <v>1242</v>
      </c>
    </row>
    <row r="1052" spans="1:4">
      <c r="A1052" s="30">
        <v>1243</v>
      </c>
      <c r="B1052" s="29" t="s">
        <v>2931</v>
      </c>
      <c r="C1052" s="42" t="s">
        <v>2932</v>
      </c>
      <c r="D1052" s="57">
        <f t="shared" si="16"/>
        <v>1243</v>
      </c>
    </row>
    <row r="1053" spans="1:4">
      <c r="A1053" s="30">
        <v>1244</v>
      </c>
      <c r="B1053" s="42" t="s">
        <v>2933</v>
      </c>
      <c r="C1053" s="42" t="s">
        <v>2934</v>
      </c>
      <c r="D1053" s="57">
        <f t="shared" si="16"/>
        <v>1244</v>
      </c>
    </row>
    <row r="1054" spans="1:4">
      <c r="A1054" s="30">
        <v>1245</v>
      </c>
      <c r="B1054" s="42" t="s">
        <v>2935</v>
      </c>
      <c r="C1054" s="42" t="s">
        <v>2936</v>
      </c>
      <c r="D1054" s="57">
        <f t="shared" si="16"/>
        <v>1245</v>
      </c>
    </row>
    <row r="1055" spans="1:4">
      <c r="A1055" s="30">
        <v>1246</v>
      </c>
      <c r="B1055" s="42" t="s">
        <v>2937</v>
      </c>
      <c r="C1055" s="42" t="s">
        <v>2938</v>
      </c>
      <c r="D1055" s="57">
        <f t="shared" si="16"/>
        <v>1246</v>
      </c>
    </row>
    <row r="1056" spans="1:4">
      <c r="A1056" s="30">
        <v>1247</v>
      </c>
      <c r="B1056" s="42" t="s">
        <v>2939</v>
      </c>
      <c r="C1056" s="42" t="s">
        <v>2940</v>
      </c>
      <c r="D1056" s="57">
        <f t="shared" si="16"/>
        <v>1247</v>
      </c>
    </row>
    <row r="1057" spans="1:4">
      <c r="A1057" s="30">
        <v>1248</v>
      </c>
      <c r="B1057" s="42" t="s">
        <v>2941</v>
      </c>
      <c r="C1057" s="42" t="s">
        <v>2942</v>
      </c>
      <c r="D1057" s="57">
        <f t="shared" si="16"/>
        <v>1248</v>
      </c>
    </row>
    <row r="1058" spans="1:4">
      <c r="A1058" s="30">
        <v>1249</v>
      </c>
      <c r="B1058" s="42" t="s">
        <v>2943</v>
      </c>
      <c r="C1058" s="42" t="s">
        <v>2944</v>
      </c>
      <c r="D1058" s="57">
        <f t="shared" si="16"/>
        <v>1249</v>
      </c>
    </row>
    <row r="1059" spans="1:4">
      <c r="A1059" s="30">
        <v>1250</v>
      </c>
      <c r="B1059" s="42" t="s">
        <v>2945</v>
      </c>
      <c r="C1059" s="42" t="s">
        <v>2946</v>
      </c>
      <c r="D1059" s="57">
        <f t="shared" si="16"/>
        <v>1250</v>
      </c>
    </row>
    <row r="1060" spans="1:4">
      <c r="A1060" s="30">
        <v>1251</v>
      </c>
      <c r="B1060" s="42" t="s">
        <v>2947</v>
      </c>
      <c r="C1060" s="42" t="s">
        <v>2948</v>
      </c>
      <c r="D1060" s="57">
        <f t="shared" si="16"/>
        <v>1251</v>
      </c>
    </row>
    <row r="1061" spans="1:4">
      <c r="A1061" s="30">
        <v>1252</v>
      </c>
      <c r="B1061" s="42" t="s">
        <v>2949</v>
      </c>
      <c r="C1061" s="42" t="s">
        <v>2950</v>
      </c>
      <c r="D1061" s="57">
        <f t="shared" si="16"/>
        <v>1252</v>
      </c>
    </row>
    <row r="1062" spans="1:4">
      <c r="A1062" s="30">
        <v>1253</v>
      </c>
      <c r="B1062" s="42" t="s">
        <v>2951</v>
      </c>
      <c r="C1062" s="29" t="s">
        <v>2952</v>
      </c>
      <c r="D1062" s="57">
        <f t="shared" si="16"/>
        <v>1253</v>
      </c>
    </row>
    <row r="1063" spans="1:4">
      <c r="A1063" s="30">
        <v>1254</v>
      </c>
      <c r="B1063" s="42" t="s">
        <v>2953</v>
      </c>
      <c r="C1063" s="29" t="s">
        <v>2954</v>
      </c>
      <c r="D1063" s="57">
        <f t="shared" si="16"/>
        <v>1254</v>
      </c>
    </row>
    <row r="1064" spans="1:4">
      <c r="A1064" s="30">
        <v>1255</v>
      </c>
      <c r="B1064" s="42" t="s">
        <v>2955</v>
      </c>
      <c r="C1064" s="29" t="s">
        <v>2956</v>
      </c>
      <c r="D1064" s="57">
        <f t="shared" si="16"/>
        <v>1255</v>
      </c>
    </row>
    <row r="1065" spans="1:4">
      <c r="A1065" s="30">
        <v>1256</v>
      </c>
      <c r="B1065" s="42" t="s">
        <v>2957</v>
      </c>
      <c r="C1065" s="29" t="s">
        <v>2958</v>
      </c>
      <c r="D1065" s="57">
        <f t="shared" si="16"/>
        <v>1256</v>
      </c>
    </row>
    <row r="1066" spans="1:4">
      <c r="A1066" s="30">
        <v>1257</v>
      </c>
      <c r="B1066" s="42" t="s">
        <v>2959</v>
      </c>
      <c r="C1066" s="29" t="s">
        <v>2960</v>
      </c>
      <c r="D1066" s="57">
        <f t="shared" si="16"/>
        <v>1257</v>
      </c>
    </row>
    <row r="1067" spans="1:4">
      <c r="A1067" s="30">
        <v>1258</v>
      </c>
      <c r="B1067" s="42" t="s">
        <v>2961</v>
      </c>
      <c r="C1067" s="29" t="s">
        <v>2962</v>
      </c>
      <c r="D1067" s="57">
        <f t="shared" si="16"/>
        <v>1258</v>
      </c>
    </row>
    <row r="1068" spans="1:4">
      <c r="A1068" s="30">
        <v>1259</v>
      </c>
      <c r="B1068" s="42" t="s">
        <v>2963</v>
      </c>
      <c r="C1068" s="29" t="s">
        <v>2964</v>
      </c>
      <c r="D1068" s="57">
        <f t="shared" si="16"/>
        <v>1259</v>
      </c>
    </row>
    <row r="1069" spans="1:4">
      <c r="A1069" s="30">
        <v>1260</v>
      </c>
      <c r="B1069" s="42" t="s">
        <v>2965</v>
      </c>
      <c r="C1069" s="29" t="s">
        <v>2966</v>
      </c>
      <c r="D1069" s="57">
        <f t="shared" si="16"/>
        <v>1260</v>
      </c>
    </row>
    <row r="1070" spans="1:4">
      <c r="A1070" s="30">
        <v>1261</v>
      </c>
      <c r="B1070" s="29" t="s">
        <v>2967</v>
      </c>
      <c r="C1070" s="29" t="s">
        <v>2968</v>
      </c>
      <c r="D1070" s="57">
        <f t="shared" si="16"/>
        <v>1261</v>
      </c>
    </row>
    <row r="1071" spans="1:4">
      <c r="A1071" s="30">
        <v>1262</v>
      </c>
      <c r="B1071" s="42" t="s">
        <v>2969</v>
      </c>
      <c r="C1071" s="29" t="s">
        <v>2970</v>
      </c>
      <c r="D1071" s="57">
        <f t="shared" si="16"/>
        <v>1262</v>
      </c>
    </row>
    <row r="1072" spans="1:4">
      <c r="A1072" s="30">
        <v>1263</v>
      </c>
      <c r="B1072" s="42" t="s">
        <v>2971</v>
      </c>
      <c r="C1072" s="29" t="s">
        <v>2972</v>
      </c>
      <c r="D1072" s="57">
        <f t="shared" si="16"/>
        <v>1263</v>
      </c>
    </row>
    <row r="1073" spans="1:4">
      <c r="A1073" s="30">
        <v>1264</v>
      </c>
      <c r="B1073" s="42" t="s">
        <v>2973</v>
      </c>
      <c r="C1073" s="29" t="s">
        <v>2974</v>
      </c>
      <c r="D1073" s="57">
        <f t="shared" si="16"/>
        <v>1264</v>
      </c>
    </row>
    <row r="1074" spans="1:4">
      <c r="A1074" s="30">
        <v>1265</v>
      </c>
      <c r="B1074" s="29" t="s">
        <v>2975</v>
      </c>
      <c r="C1074" s="29" t="s">
        <v>2976</v>
      </c>
      <c r="D1074" s="57">
        <f t="shared" si="16"/>
        <v>1265</v>
      </c>
    </row>
    <row r="1075" spans="1:4">
      <c r="A1075" s="30">
        <v>1266</v>
      </c>
      <c r="B1075" s="29" t="s">
        <v>2977</v>
      </c>
      <c r="C1075" s="29" t="s">
        <v>2978</v>
      </c>
      <c r="D1075" s="57">
        <f t="shared" si="16"/>
        <v>1266</v>
      </c>
    </row>
    <row r="1076" spans="1:4">
      <c r="A1076" s="30">
        <v>1267</v>
      </c>
      <c r="B1076" s="29" t="s">
        <v>2979</v>
      </c>
      <c r="C1076" s="29" t="s">
        <v>2980</v>
      </c>
      <c r="D1076" s="57">
        <f t="shared" si="16"/>
        <v>1267</v>
      </c>
    </row>
    <row r="1077" spans="1:4">
      <c r="A1077" s="30">
        <v>1268</v>
      </c>
      <c r="B1077" s="29" t="s">
        <v>2981</v>
      </c>
      <c r="C1077" s="29" t="s">
        <v>2982</v>
      </c>
      <c r="D1077" s="57">
        <f t="shared" si="16"/>
        <v>1268</v>
      </c>
    </row>
    <row r="1078" spans="1:4">
      <c r="A1078" s="30">
        <v>1269</v>
      </c>
      <c r="B1078" s="29" t="s">
        <v>2983</v>
      </c>
      <c r="C1078" s="29" t="s">
        <v>2984</v>
      </c>
      <c r="D1078" s="57">
        <f t="shared" si="16"/>
        <v>1269</v>
      </c>
    </row>
    <row r="1079" spans="1:4">
      <c r="A1079" s="30">
        <v>1270</v>
      </c>
      <c r="B1079" s="29" t="s">
        <v>2985</v>
      </c>
      <c r="C1079" s="29" t="s">
        <v>2986</v>
      </c>
      <c r="D1079" s="57">
        <f t="shared" si="16"/>
        <v>1270</v>
      </c>
    </row>
    <row r="1080" spans="1:4">
      <c r="A1080" s="30">
        <v>1272</v>
      </c>
      <c r="B1080" s="29" t="s">
        <v>2987</v>
      </c>
      <c r="C1080" s="42" t="s">
        <v>2988</v>
      </c>
      <c r="D1080" s="57">
        <f t="shared" si="16"/>
        <v>1272</v>
      </c>
    </row>
    <row r="1081" spans="1:4">
      <c r="A1081" s="30">
        <v>1273</v>
      </c>
      <c r="B1081" s="29" t="s">
        <v>2989</v>
      </c>
      <c r="C1081" s="42" t="s">
        <v>2990</v>
      </c>
      <c r="D1081" s="57">
        <f t="shared" si="16"/>
        <v>1273</v>
      </c>
    </row>
    <row r="1082" spans="1:4">
      <c r="A1082" s="30">
        <v>1274</v>
      </c>
      <c r="B1082" s="29" t="s">
        <v>2991</v>
      </c>
      <c r="C1082" s="42" t="s">
        <v>2992</v>
      </c>
      <c r="D1082" s="57">
        <f t="shared" si="16"/>
        <v>1274</v>
      </c>
    </row>
    <row r="1083" spans="1:4">
      <c r="A1083" s="30">
        <v>1275</v>
      </c>
      <c r="B1083" s="63" t="s">
        <v>2993</v>
      </c>
      <c r="C1083" s="40" t="s">
        <v>2994</v>
      </c>
      <c r="D1083" s="57">
        <f t="shared" si="16"/>
        <v>1275</v>
      </c>
    </row>
    <row r="1084" spans="1:4">
      <c r="A1084" s="30">
        <v>1276</v>
      </c>
      <c r="B1084" s="29" t="s">
        <v>2995</v>
      </c>
      <c r="C1084" s="42" t="s">
        <v>2996</v>
      </c>
      <c r="D1084" s="57">
        <f t="shared" si="16"/>
        <v>1276</v>
      </c>
    </row>
    <row r="1085" spans="1:4">
      <c r="A1085" s="30">
        <v>1277</v>
      </c>
      <c r="B1085" s="42" t="s">
        <v>2997</v>
      </c>
      <c r="C1085" s="29" t="s">
        <v>1897</v>
      </c>
      <c r="D1085" s="57">
        <f t="shared" si="16"/>
        <v>1277</v>
      </c>
    </row>
    <row r="1086" spans="1:4">
      <c r="A1086" s="30">
        <v>1279</v>
      </c>
      <c r="B1086" s="42" t="s">
        <v>2998</v>
      </c>
      <c r="C1086" s="42" t="s">
        <v>2999</v>
      </c>
      <c r="D1086" s="57">
        <f t="shared" si="16"/>
        <v>1279</v>
      </c>
    </row>
    <row r="1087" spans="1:4">
      <c r="A1087" s="30">
        <v>1280</v>
      </c>
      <c r="B1087" s="42" t="s">
        <v>3000</v>
      </c>
      <c r="C1087" s="42" t="s">
        <v>3001</v>
      </c>
      <c r="D1087" s="57">
        <f t="shared" si="16"/>
        <v>1280</v>
      </c>
    </row>
    <row r="1088" spans="1:4">
      <c r="A1088" s="30">
        <v>1281</v>
      </c>
      <c r="B1088" s="42" t="s">
        <v>3002</v>
      </c>
      <c r="C1088" s="40" t="s">
        <v>403</v>
      </c>
      <c r="D1088" s="57">
        <f t="shared" si="16"/>
        <v>1281</v>
      </c>
    </row>
    <row r="1089" spans="1:4">
      <c r="A1089" s="30">
        <v>1282</v>
      </c>
      <c r="B1089" s="29" t="s">
        <v>3003</v>
      </c>
      <c r="C1089" s="42" t="s">
        <v>3004</v>
      </c>
      <c r="D1089" s="57">
        <f t="shared" si="16"/>
        <v>1282</v>
      </c>
    </row>
    <row r="1090" spans="1:4">
      <c r="A1090" s="30">
        <v>1283</v>
      </c>
      <c r="B1090" s="29" t="s">
        <v>3005</v>
      </c>
      <c r="C1090" s="42" t="s">
        <v>3006</v>
      </c>
      <c r="D1090" s="57">
        <f t="shared" ref="D1090:D1153" si="17">$A1090</f>
        <v>1283</v>
      </c>
    </row>
    <row r="1091" spans="1:4">
      <c r="A1091" s="30">
        <v>1284</v>
      </c>
      <c r="B1091" s="29" t="s">
        <v>3007</v>
      </c>
      <c r="C1091" s="42" t="s">
        <v>3008</v>
      </c>
      <c r="D1091" s="57">
        <f t="shared" si="17"/>
        <v>1284</v>
      </c>
    </row>
    <row r="1092" spans="1:4">
      <c r="A1092" s="30">
        <v>1285</v>
      </c>
      <c r="B1092" s="42" t="s">
        <v>3009</v>
      </c>
      <c r="C1092" s="42" t="s">
        <v>3010</v>
      </c>
      <c r="D1092" s="57">
        <f t="shared" si="17"/>
        <v>1285</v>
      </c>
    </row>
    <row r="1093" spans="1:4">
      <c r="A1093" s="30">
        <v>1286</v>
      </c>
      <c r="B1093" s="42" t="s">
        <v>3011</v>
      </c>
      <c r="C1093" s="42" t="s">
        <v>3012</v>
      </c>
      <c r="D1093" s="57">
        <f t="shared" si="17"/>
        <v>1286</v>
      </c>
    </row>
    <row r="1094" spans="1:4">
      <c r="A1094" s="30">
        <v>1287</v>
      </c>
      <c r="B1094" s="42" t="s">
        <v>3013</v>
      </c>
      <c r="C1094" s="42" t="s">
        <v>3014</v>
      </c>
      <c r="D1094" s="57">
        <f t="shared" si="17"/>
        <v>1287</v>
      </c>
    </row>
    <row r="1095" spans="1:4">
      <c r="A1095" s="30">
        <v>1288</v>
      </c>
      <c r="B1095" s="42" t="s">
        <v>3015</v>
      </c>
      <c r="C1095" s="42" t="s">
        <v>3016</v>
      </c>
      <c r="D1095" s="57">
        <f t="shared" si="17"/>
        <v>1288</v>
      </c>
    </row>
    <row r="1096" spans="1:4">
      <c r="A1096" s="30">
        <v>1289</v>
      </c>
      <c r="B1096" s="42" t="s">
        <v>3017</v>
      </c>
      <c r="C1096" s="42" t="s">
        <v>3018</v>
      </c>
      <c r="D1096" s="57">
        <f t="shared" si="17"/>
        <v>1289</v>
      </c>
    </row>
    <row r="1097" spans="1:4">
      <c r="A1097" s="30">
        <v>1290</v>
      </c>
      <c r="B1097" s="42" t="s">
        <v>3019</v>
      </c>
      <c r="C1097" s="29" t="s">
        <v>3020</v>
      </c>
      <c r="D1097" s="57">
        <f t="shared" si="17"/>
        <v>1290</v>
      </c>
    </row>
    <row r="1098" spans="1:4">
      <c r="A1098" s="30">
        <v>1291</v>
      </c>
      <c r="B1098" s="42" t="s">
        <v>3021</v>
      </c>
      <c r="C1098" s="29" t="s">
        <v>3022</v>
      </c>
      <c r="D1098" s="57">
        <f t="shared" si="17"/>
        <v>1291</v>
      </c>
    </row>
    <row r="1099" spans="1:4">
      <c r="A1099" s="30">
        <v>1292</v>
      </c>
      <c r="B1099" s="42" t="s">
        <v>3023</v>
      </c>
      <c r="C1099" s="40" t="s">
        <v>3024</v>
      </c>
      <c r="D1099" s="57">
        <f t="shared" si="17"/>
        <v>1292</v>
      </c>
    </row>
    <row r="1100" spans="1:4">
      <c r="A1100" s="30">
        <v>1293</v>
      </c>
      <c r="B1100" s="42" t="s">
        <v>3025</v>
      </c>
      <c r="C1100" s="29" t="s">
        <v>3026</v>
      </c>
      <c r="D1100" s="57">
        <f t="shared" si="17"/>
        <v>1293</v>
      </c>
    </row>
    <row r="1101" spans="1:4">
      <c r="A1101" s="30">
        <v>1294</v>
      </c>
      <c r="B1101" s="42" t="s">
        <v>3027</v>
      </c>
      <c r="C1101" s="42" t="s">
        <v>3028</v>
      </c>
      <c r="D1101" s="57">
        <f t="shared" si="17"/>
        <v>1294</v>
      </c>
    </row>
    <row r="1102" spans="1:4">
      <c r="A1102" s="30">
        <v>1295</v>
      </c>
      <c r="B1102" s="42" t="s">
        <v>3029</v>
      </c>
      <c r="C1102" s="42" t="s">
        <v>3030</v>
      </c>
      <c r="D1102" s="57">
        <f t="shared" si="17"/>
        <v>1295</v>
      </c>
    </row>
    <row r="1103" spans="1:4">
      <c r="A1103" s="30">
        <v>1296</v>
      </c>
      <c r="B1103" s="40" t="s">
        <v>3031</v>
      </c>
      <c r="C1103" s="40" t="s">
        <v>3032</v>
      </c>
      <c r="D1103" s="57">
        <f t="shared" si="17"/>
        <v>1296</v>
      </c>
    </row>
    <row r="1104" spans="1:4">
      <c r="A1104" s="30">
        <v>1297</v>
      </c>
      <c r="B1104" s="42" t="s">
        <v>3033</v>
      </c>
      <c r="C1104" s="22" t="s">
        <v>3034</v>
      </c>
      <c r="D1104" s="57">
        <f t="shared" si="17"/>
        <v>1297</v>
      </c>
    </row>
    <row r="1105" spans="1:4">
      <c r="A1105" s="30">
        <v>1298</v>
      </c>
      <c r="B1105" s="42" t="s">
        <v>3035</v>
      </c>
      <c r="C1105" s="42" t="s">
        <v>3036</v>
      </c>
      <c r="D1105" s="57">
        <f t="shared" si="17"/>
        <v>1298</v>
      </c>
    </row>
    <row r="1106" spans="1:4">
      <c r="A1106" s="30">
        <v>1300</v>
      </c>
      <c r="B1106" s="42" t="s">
        <v>3037</v>
      </c>
      <c r="C1106" s="29" t="s">
        <v>3038</v>
      </c>
      <c r="D1106" s="57">
        <f t="shared" si="17"/>
        <v>1300</v>
      </c>
    </row>
    <row r="1107" spans="1:4">
      <c r="A1107" s="30">
        <v>1301</v>
      </c>
      <c r="B1107" s="42" t="s">
        <v>3039</v>
      </c>
      <c r="C1107" s="29" t="s">
        <v>3040</v>
      </c>
      <c r="D1107" s="57">
        <f t="shared" si="17"/>
        <v>1301</v>
      </c>
    </row>
    <row r="1108" spans="1:4">
      <c r="A1108" s="30">
        <v>1302</v>
      </c>
      <c r="B1108" s="29" t="s">
        <v>3041</v>
      </c>
      <c r="C1108" s="29" t="s">
        <v>3042</v>
      </c>
      <c r="D1108" s="57">
        <f t="shared" si="17"/>
        <v>1302</v>
      </c>
    </row>
    <row r="1109" spans="1:4">
      <c r="A1109" s="30">
        <v>1304</v>
      </c>
      <c r="B1109" s="40" t="s">
        <v>3043</v>
      </c>
      <c r="C1109" s="40" t="s">
        <v>3044</v>
      </c>
      <c r="D1109" s="57">
        <f t="shared" si="17"/>
        <v>1304</v>
      </c>
    </row>
    <row r="1110" spans="1:4">
      <c r="A1110" s="30">
        <v>1305</v>
      </c>
      <c r="B1110" s="29" t="s">
        <v>3045</v>
      </c>
      <c r="C1110" s="29" t="s">
        <v>554</v>
      </c>
      <c r="D1110" s="57">
        <f t="shared" si="17"/>
        <v>1305</v>
      </c>
    </row>
    <row r="1111" spans="1:4">
      <c r="A1111" s="30">
        <v>1306</v>
      </c>
      <c r="B1111" s="42" t="s">
        <v>3046</v>
      </c>
      <c r="C1111" s="42" t="s">
        <v>3047</v>
      </c>
      <c r="D1111" s="57">
        <f t="shared" si="17"/>
        <v>1306</v>
      </c>
    </row>
    <row r="1112" spans="1:4">
      <c r="A1112" s="30">
        <v>1307</v>
      </c>
      <c r="B1112" s="42" t="s">
        <v>3048</v>
      </c>
      <c r="C1112" s="42" t="s">
        <v>3049</v>
      </c>
      <c r="D1112" s="57">
        <f t="shared" si="17"/>
        <v>1307</v>
      </c>
    </row>
    <row r="1113" spans="1:4">
      <c r="A1113" s="30">
        <v>1308</v>
      </c>
      <c r="B1113" s="42" t="s">
        <v>3050</v>
      </c>
      <c r="C1113" s="42" t="s">
        <v>3051</v>
      </c>
      <c r="D1113" s="57">
        <f t="shared" si="17"/>
        <v>1308</v>
      </c>
    </row>
    <row r="1114" spans="1:4">
      <c r="A1114" s="30">
        <v>1309</v>
      </c>
      <c r="B1114" s="42" t="s">
        <v>3052</v>
      </c>
      <c r="C1114" s="42" t="s">
        <v>3053</v>
      </c>
      <c r="D1114" s="57">
        <f t="shared" si="17"/>
        <v>1309</v>
      </c>
    </row>
    <row r="1115" spans="1:4">
      <c r="A1115" s="30">
        <v>1310</v>
      </c>
      <c r="B1115" s="42" t="s">
        <v>3054</v>
      </c>
      <c r="C1115" s="42" t="s">
        <v>3055</v>
      </c>
      <c r="D1115" s="57">
        <f t="shared" si="17"/>
        <v>1310</v>
      </c>
    </row>
    <row r="1116" spans="1:4">
      <c r="A1116" s="30">
        <v>1311</v>
      </c>
      <c r="B1116" s="29" t="s">
        <v>3056</v>
      </c>
      <c r="C1116" s="61" t="s">
        <v>1900</v>
      </c>
      <c r="D1116" s="57">
        <f t="shared" si="17"/>
        <v>1311</v>
      </c>
    </row>
    <row r="1117" spans="1:4">
      <c r="A1117" s="30">
        <v>1312</v>
      </c>
      <c r="B1117" s="42" t="s">
        <v>3057</v>
      </c>
      <c r="C1117" s="29" t="s">
        <v>3058</v>
      </c>
      <c r="D1117" s="57">
        <f t="shared" si="17"/>
        <v>1312</v>
      </c>
    </row>
    <row r="1118" spans="1:4">
      <c r="A1118" s="30">
        <v>1313</v>
      </c>
      <c r="B1118" s="42" t="s">
        <v>3059</v>
      </c>
      <c r="C1118" s="29" t="s">
        <v>3060</v>
      </c>
      <c r="D1118" s="57">
        <f t="shared" si="17"/>
        <v>1313</v>
      </c>
    </row>
    <row r="1119" spans="1:4">
      <c r="A1119" s="30">
        <v>1314</v>
      </c>
      <c r="B1119" s="29" t="s">
        <v>3061</v>
      </c>
      <c r="C1119" s="29" t="s">
        <v>3062</v>
      </c>
      <c r="D1119" s="57">
        <f t="shared" si="17"/>
        <v>1314</v>
      </c>
    </row>
    <row r="1120" spans="1:4">
      <c r="A1120" s="30">
        <v>1315</v>
      </c>
      <c r="B1120" s="29" t="s">
        <v>3063</v>
      </c>
      <c r="C1120" s="29" t="s">
        <v>3064</v>
      </c>
      <c r="D1120" s="57">
        <f t="shared" si="17"/>
        <v>1315</v>
      </c>
    </row>
    <row r="1121" spans="1:4">
      <c r="A1121" s="30">
        <v>1316</v>
      </c>
      <c r="B1121" s="29" t="s">
        <v>3065</v>
      </c>
      <c r="C1121" s="42" t="s">
        <v>3066</v>
      </c>
      <c r="D1121" s="57">
        <f t="shared" si="17"/>
        <v>1316</v>
      </c>
    </row>
    <row r="1122" spans="1:4">
      <c r="A1122" s="30">
        <v>1317</v>
      </c>
      <c r="B1122" s="42" t="s">
        <v>3067</v>
      </c>
      <c r="C1122" s="42" t="s">
        <v>3067</v>
      </c>
      <c r="D1122" s="57">
        <f t="shared" si="17"/>
        <v>1317</v>
      </c>
    </row>
    <row r="1123" spans="1:4">
      <c r="A1123" s="30">
        <v>1318</v>
      </c>
      <c r="B1123" s="29" t="s">
        <v>3068</v>
      </c>
      <c r="C1123" s="42" t="s">
        <v>3069</v>
      </c>
      <c r="D1123" s="57">
        <f t="shared" si="17"/>
        <v>1318</v>
      </c>
    </row>
    <row r="1124" spans="1:4">
      <c r="A1124" s="30">
        <v>1319</v>
      </c>
      <c r="B1124" s="29" t="s">
        <v>3070</v>
      </c>
      <c r="C1124" s="42" t="s">
        <v>3071</v>
      </c>
      <c r="D1124" s="57">
        <f t="shared" si="17"/>
        <v>1319</v>
      </c>
    </row>
    <row r="1125" spans="1:4">
      <c r="A1125" s="30">
        <v>1320</v>
      </c>
      <c r="B1125" s="42" t="s">
        <v>3072</v>
      </c>
      <c r="C1125" s="42" t="s">
        <v>3073</v>
      </c>
      <c r="D1125" s="57">
        <f t="shared" si="17"/>
        <v>1320</v>
      </c>
    </row>
    <row r="1126" spans="1:4">
      <c r="A1126" s="30">
        <v>1321</v>
      </c>
      <c r="B1126" s="42" t="s">
        <v>3074</v>
      </c>
      <c r="C1126" s="42" t="s">
        <v>3075</v>
      </c>
      <c r="D1126" s="57">
        <f t="shared" si="17"/>
        <v>1321</v>
      </c>
    </row>
    <row r="1127" spans="1:4">
      <c r="A1127" s="30">
        <v>1322</v>
      </c>
      <c r="B1127" s="29" t="s">
        <v>3076</v>
      </c>
      <c r="C1127" s="42" t="s">
        <v>3077</v>
      </c>
      <c r="D1127" s="57">
        <f t="shared" si="17"/>
        <v>1322</v>
      </c>
    </row>
    <row r="1128" spans="1:4">
      <c r="A1128" s="30">
        <v>1323</v>
      </c>
      <c r="B1128" s="42" t="s">
        <v>3078</v>
      </c>
      <c r="C1128" s="42" t="s">
        <v>3079</v>
      </c>
      <c r="D1128" s="57">
        <f t="shared" si="17"/>
        <v>1323</v>
      </c>
    </row>
    <row r="1129" spans="1:4">
      <c r="A1129" s="30">
        <v>1324</v>
      </c>
      <c r="B1129" s="42" t="s">
        <v>3080</v>
      </c>
      <c r="C1129" s="42" t="s">
        <v>3081</v>
      </c>
      <c r="D1129" s="57">
        <f t="shared" si="17"/>
        <v>1324</v>
      </c>
    </row>
    <row r="1130" spans="1:4">
      <c r="A1130" s="30">
        <v>1325</v>
      </c>
      <c r="B1130" s="42" t="s">
        <v>3082</v>
      </c>
      <c r="C1130" s="42" t="s">
        <v>3083</v>
      </c>
      <c r="D1130" s="57">
        <f t="shared" si="17"/>
        <v>1325</v>
      </c>
    </row>
    <row r="1131" spans="1:4">
      <c r="A1131" s="30">
        <v>1326</v>
      </c>
      <c r="B1131" s="42" t="s">
        <v>3084</v>
      </c>
      <c r="C1131" s="42" t="s">
        <v>3085</v>
      </c>
      <c r="D1131" s="57">
        <f t="shared" si="17"/>
        <v>1326</v>
      </c>
    </row>
    <row r="1132" spans="1:4">
      <c r="A1132" s="30">
        <v>1327</v>
      </c>
      <c r="B1132" s="42" t="s">
        <v>3086</v>
      </c>
      <c r="C1132" s="42" t="s">
        <v>3087</v>
      </c>
      <c r="D1132" s="57">
        <f t="shared" si="17"/>
        <v>1327</v>
      </c>
    </row>
    <row r="1133" spans="1:4">
      <c r="A1133" s="30">
        <v>1328</v>
      </c>
      <c r="B1133" s="42" t="s">
        <v>3088</v>
      </c>
      <c r="C1133" s="29" t="s">
        <v>3089</v>
      </c>
      <c r="D1133" s="57">
        <f t="shared" si="17"/>
        <v>1328</v>
      </c>
    </row>
    <row r="1134" spans="1:4">
      <c r="A1134" s="30">
        <v>1329</v>
      </c>
      <c r="B1134" s="42" t="s">
        <v>3090</v>
      </c>
      <c r="C1134" s="42" t="s">
        <v>3091</v>
      </c>
      <c r="D1134" s="57">
        <f t="shared" si="17"/>
        <v>1329</v>
      </c>
    </row>
    <row r="1135" spans="1:4">
      <c r="A1135" s="30">
        <v>1331</v>
      </c>
      <c r="B1135" s="42" t="s">
        <v>3092</v>
      </c>
      <c r="C1135" s="42" t="s">
        <v>3093</v>
      </c>
      <c r="D1135" s="57">
        <f t="shared" si="17"/>
        <v>1331</v>
      </c>
    </row>
    <row r="1136" spans="1:4">
      <c r="A1136" s="30">
        <v>1332</v>
      </c>
      <c r="B1136" s="42" t="s">
        <v>3094</v>
      </c>
      <c r="C1136" s="42" t="s">
        <v>3095</v>
      </c>
      <c r="D1136" s="57">
        <f t="shared" si="17"/>
        <v>1332</v>
      </c>
    </row>
    <row r="1137" spans="1:4">
      <c r="A1137" s="30">
        <v>1333</v>
      </c>
      <c r="B1137" s="40" t="s">
        <v>3096</v>
      </c>
      <c r="C1137" s="40" t="s">
        <v>3097</v>
      </c>
      <c r="D1137" s="57">
        <f t="shared" si="17"/>
        <v>1333</v>
      </c>
    </row>
    <row r="1138" spans="1:4">
      <c r="A1138" s="30">
        <v>1334</v>
      </c>
      <c r="B1138" s="42" t="s">
        <v>3098</v>
      </c>
      <c r="C1138" s="42" t="s">
        <v>3099</v>
      </c>
      <c r="D1138" s="57">
        <f t="shared" si="17"/>
        <v>1334</v>
      </c>
    </row>
    <row r="1139" spans="1:4">
      <c r="A1139" s="30">
        <v>1335</v>
      </c>
      <c r="B1139" s="42" t="s">
        <v>3100</v>
      </c>
      <c r="C1139" s="42" t="s">
        <v>3101</v>
      </c>
      <c r="D1139" s="57">
        <f t="shared" si="17"/>
        <v>1335</v>
      </c>
    </row>
    <row r="1140" spans="1:4">
      <c r="A1140" s="30">
        <v>1336</v>
      </c>
      <c r="B1140" s="42" t="s">
        <v>3102</v>
      </c>
      <c r="C1140" s="42" t="s">
        <v>3103</v>
      </c>
      <c r="D1140" s="57">
        <f t="shared" si="17"/>
        <v>1336</v>
      </c>
    </row>
    <row r="1141" spans="1:4">
      <c r="A1141" s="30">
        <v>1337</v>
      </c>
      <c r="B1141" s="42" t="s">
        <v>3104</v>
      </c>
      <c r="C1141" s="42" t="s">
        <v>3105</v>
      </c>
      <c r="D1141" s="57">
        <f t="shared" si="17"/>
        <v>1337</v>
      </c>
    </row>
    <row r="1142" spans="1:4">
      <c r="A1142" s="30">
        <v>1338</v>
      </c>
      <c r="B1142" s="42" t="s">
        <v>3106</v>
      </c>
      <c r="C1142" s="29" t="s">
        <v>3107</v>
      </c>
      <c r="D1142" s="57">
        <f t="shared" si="17"/>
        <v>1338</v>
      </c>
    </row>
    <row r="1143" spans="1:4">
      <c r="A1143" s="30">
        <v>1339</v>
      </c>
      <c r="B1143" s="42" t="s">
        <v>3108</v>
      </c>
      <c r="C1143" s="42" t="s">
        <v>3109</v>
      </c>
      <c r="D1143" s="57">
        <f t="shared" si="17"/>
        <v>1339</v>
      </c>
    </row>
    <row r="1144" spans="1:4">
      <c r="A1144" s="30">
        <v>1340</v>
      </c>
      <c r="B1144" s="42" t="s">
        <v>3110</v>
      </c>
      <c r="C1144" s="42" t="s">
        <v>3111</v>
      </c>
      <c r="D1144" s="57">
        <f t="shared" si="17"/>
        <v>1340</v>
      </c>
    </row>
    <row r="1145" spans="1:4">
      <c r="A1145" s="30">
        <v>1341</v>
      </c>
      <c r="B1145" s="29" t="s">
        <v>3112</v>
      </c>
      <c r="C1145" s="42" t="s">
        <v>3113</v>
      </c>
      <c r="D1145" s="57">
        <f t="shared" si="17"/>
        <v>1341</v>
      </c>
    </row>
    <row r="1146" spans="1:4">
      <c r="A1146" s="30">
        <v>1342</v>
      </c>
      <c r="B1146" s="42" t="s">
        <v>3114</v>
      </c>
      <c r="C1146" s="42" t="s">
        <v>3115</v>
      </c>
      <c r="D1146" s="57">
        <f t="shared" si="17"/>
        <v>1342</v>
      </c>
    </row>
    <row r="1147" spans="1:4">
      <c r="A1147" s="30">
        <v>1343</v>
      </c>
      <c r="B1147" s="42" t="s">
        <v>3116</v>
      </c>
      <c r="C1147" s="42" t="s">
        <v>3117</v>
      </c>
      <c r="D1147" s="57">
        <f t="shared" si="17"/>
        <v>1343</v>
      </c>
    </row>
    <row r="1148" spans="1:4">
      <c r="A1148" s="30">
        <v>1344</v>
      </c>
      <c r="B1148" s="42" t="s">
        <v>3118</v>
      </c>
      <c r="C1148" s="42" t="s">
        <v>3119</v>
      </c>
      <c r="D1148" s="57">
        <f t="shared" si="17"/>
        <v>1344</v>
      </c>
    </row>
    <row r="1149" spans="1:4">
      <c r="A1149" s="30">
        <v>1345</v>
      </c>
      <c r="B1149" s="42" t="s">
        <v>3120</v>
      </c>
      <c r="C1149" s="42" t="s">
        <v>3362</v>
      </c>
      <c r="D1149" s="57">
        <f t="shared" si="17"/>
        <v>1345</v>
      </c>
    </row>
    <row r="1150" spans="1:4">
      <c r="A1150" s="30">
        <v>1346</v>
      </c>
      <c r="B1150" s="29" t="s">
        <v>3121</v>
      </c>
      <c r="C1150" s="42" t="s">
        <v>3122</v>
      </c>
      <c r="D1150" s="57">
        <f t="shared" si="17"/>
        <v>1346</v>
      </c>
    </row>
    <row r="1151" spans="1:4">
      <c r="A1151" s="30">
        <v>1347</v>
      </c>
      <c r="B1151" s="42" t="s">
        <v>3123</v>
      </c>
      <c r="C1151" s="42" t="s">
        <v>3124</v>
      </c>
      <c r="D1151" s="57">
        <f t="shared" si="17"/>
        <v>1347</v>
      </c>
    </row>
    <row r="1152" spans="1:4">
      <c r="A1152" s="30">
        <v>1348</v>
      </c>
      <c r="B1152" s="42" t="s">
        <v>3125</v>
      </c>
      <c r="C1152" s="29" t="s">
        <v>3363</v>
      </c>
      <c r="D1152" s="57">
        <f t="shared" si="17"/>
        <v>1348</v>
      </c>
    </row>
    <row r="1153" spans="1:4">
      <c r="A1153" s="30">
        <v>1349</v>
      </c>
      <c r="B1153" s="42" t="s">
        <v>3126</v>
      </c>
      <c r="C1153" s="42" t="s">
        <v>3127</v>
      </c>
      <c r="D1153" s="57">
        <f t="shared" si="17"/>
        <v>1349</v>
      </c>
    </row>
    <row r="1154" spans="1:4">
      <c r="A1154" s="30">
        <v>1350</v>
      </c>
      <c r="B1154" s="42" t="s">
        <v>3128</v>
      </c>
      <c r="C1154" s="29" t="s">
        <v>3129</v>
      </c>
      <c r="D1154" s="57">
        <f t="shared" ref="D1154:D1217" si="18">$A1154</f>
        <v>1350</v>
      </c>
    </row>
    <row r="1155" spans="1:4">
      <c r="A1155" s="30">
        <v>1351</v>
      </c>
      <c r="B1155" s="58" t="s">
        <v>3130</v>
      </c>
      <c r="C1155" s="42" t="s">
        <v>3131</v>
      </c>
      <c r="D1155" s="57">
        <f t="shared" si="18"/>
        <v>1351</v>
      </c>
    </row>
    <row r="1156" spans="1:4">
      <c r="A1156" s="30">
        <v>1352</v>
      </c>
      <c r="B1156" s="29" t="s">
        <v>3132</v>
      </c>
      <c r="C1156" s="42" t="s">
        <v>3133</v>
      </c>
      <c r="D1156" s="57">
        <f t="shared" si="18"/>
        <v>1352</v>
      </c>
    </row>
    <row r="1157" spans="1:4">
      <c r="A1157" s="30">
        <v>1353</v>
      </c>
      <c r="B1157" s="29" t="s">
        <v>3134</v>
      </c>
      <c r="C1157" s="42" t="s">
        <v>3135</v>
      </c>
      <c r="D1157" s="57">
        <f t="shared" si="18"/>
        <v>1353</v>
      </c>
    </row>
    <row r="1158" spans="1:4">
      <c r="A1158" s="30">
        <v>1354</v>
      </c>
      <c r="B1158" s="42" t="s">
        <v>3136</v>
      </c>
      <c r="C1158" s="58" t="s">
        <v>3364</v>
      </c>
      <c r="D1158" s="57">
        <f t="shared" si="18"/>
        <v>1354</v>
      </c>
    </row>
    <row r="1159" spans="1:4">
      <c r="A1159" s="30">
        <v>1355</v>
      </c>
      <c r="B1159" s="42" t="s">
        <v>3365</v>
      </c>
      <c r="C1159" s="29" t="s">
        <v>3366</v>
      </c>
      <c r="D1159" s="57">
        <f t="shared" si="18"/>
        <v>1355</v>
      </c>
    </row>
    <row r="1160" spans="1:4">
      <c r="A1160" s="30">
        <v>1356</v>
      </c>
      <c r="B1160" s="29" t="s">
        <v>3137</v>
      </c>
      <c r="C1160" s="42" t="s">
        <v>3138</v>
      </c>
      <c r="D1160" s="57">
        <f t="shared" si="18"/>
        <v>1356</v>
      </c>
    </row>
    <row r="1161" spans="1:4">
      <c r="A1161" s="30">
        <v>1357</v>
      </c>
      <c r="B1161" s="42" t="s">
        <v>3139</v>
      </c>
      <c r="C1161" s="42" t="s">
        <v>3140</v>
      </c>
      <c r="D1161" s="57">
        <f t="shared" si="18"/>
        <v>1357</v>
      </c>
    </row>
    <row r="1162" spans="1:4">
      <c r="A1162" s="30">
        <v>1358</v>
      </c>
      <c r="B1162" s="29" t="s">
        <v>3141</v>
      </c>
      <c r="C1162" s="42" t="s">
        <v>3142</v>
      </c>
      <c r="D1162" s="57">
        <f t="shared" si="18"/>
        <v>1358</v>
      </c>
    </row>
    <row r="1163" spans="1:4">
      <c r="A1163" s="30">
        <v>1359</v>
      </c>
      <c r="B1163" s="29" t="s">
        <v>3143</v>
      </c>
      <c r="C1163" s="42" t="s">
        <v>3144</v>
      </c>
      <c r="D1163" s="57">
        <f t="shared" si="18"/>
        <v>1359</v>
      </c>
    </row>
    <row r="1164" spans="1:4">
      <c r="A1164" s="30">
        <v>1360</v>
      </c>
      <c r="B1164" s="42" t="s">
        <v>3145</v>
      </c>
      <c r="C1164" s="42" t="s">
        <v>3146</v>
      </c>
      <c r="D1164" s="57">
        <f t="shared" si="18"/>
        <v>1360</v>
      </c>
    </row>
    <row r="1165" spans="1:4">
      <c r="A1165" s="30">
        <v>1361</v>
      </c>
      <c r="B1165" s="42" t="s">
        <v>3147</v>
      </c>
      <c r="C1165" s="58" t="s">
        <v>3367</v>
      </c>
      <c r="D1165" s="57">
        <f t="shared" si="18"/>
        <v>1361</v>
      </c>
    </row>
    <row r="1166" spans="1:4">
      <c r="A1166" s="30">
        <v>1362</v>
      </c>
      <c r="B1166" s="42" t="s">
        <v>3148</v>
      </c>
      <c r="C1166" s="29" t="s">
        <v>3368</v>
      </c>
      <c r="D1166" s="57">
        <f t="shared" si="18"/>
        <v>1362</v>
      </c>
    </row>
    <row r="1167" spans="1:4">
      <c r="A1167" s="30">
        <v>1363</v>
      </c>
      <c r="B1167" s="42" t="s">
        <v>3149</v>
      </c>
      <c r="C1167" s="42" t="s">
        <v>3150</v>
      </c>
      <c r="D1167" s="57">
        <f t="shared" si="18"/>
        <v>1363</v>
      </c>
    </row>
    <row r="1168" spans="1:4">
      <c r="A1168" s="30">
        <v>1364</v>
      </c>
      <c r="B1168" s="42" t="s">
        <v>3151</v>
      </c>
      <c r="C1168" s="42" t="s">
        <v>3152</v>
      </c>
      <c r="D1168" s="57">
        <f t="shared" si="18"/>
        <v>1364</v>
      </c>
    </row>
    <row r="1169" spans="1:4">
      <c r="A1169" s="30">
        <v>1365</v>
      </c>
      <c r="B1169" s="42" t="s">
        <v>3153</v>
      </c>
      <c r="C1169" s="42" t="s">
        <v>3154</v>
      </c>
      <c r="D1169" s="57">
        <f t="shared" si="18"/>
        <v>1365</v>
      </c>
    </row>
    <row r="1170" spans="1:4">
      <c r="A1170" s="30">
        <v>1366</v>
      </c>
      <c r="B1170" s="42" t="s">
        <v>3155</v>
      </c>
      <c r="C1170" s="42" t="s">
        <v>3156</v>
      </c>
      <c r="D1170" s="57">
        <f t="shared" si="18"/>
        <v>1366</v>
      </c>
    </row>
    <row r="1171" spans="1:4">
      <c r="A1171" s="30">
        <v>1367</v>
      </c>
      <c r="B1171" s="29" t="s">
        <v>3157</v>
      </c>
      <c r="C1171" s="42" t="s">
        <v>3158</v>
      </c>
      <c r="D1171" s="57">
        <f t="shared" si="18"/>
        <v>1367</v>
      </c>
    </row>
    <row r="1172" spans="1:4">
      <c r="A1172" s="30">
        <v>1368</v>
      </c>
      <c r="B1172" s="42" t="s">
        <v>3159</v>
      </c>
      <c r="C1172" s="42" t="s">
        <v>3160</v>
      </c>
      <c r="D1172" s="57">
        <f t="shared" si="18"/>
        <v>1368</v>
      </c>
    </row>
    <row r="1173" spans="1:4">
      <c r="A1173" s="30">
        <v>1369</v>
      </c>
      <c r="B1173" s="41" t="s">
        <v>3161</v>
      </c>
      <c r="C1173" s="63" t="s">
        <v>3162</v>
      </c>
      <c r="D1173" s="57">
        <f t="shared" si="18"/>
        <v>1369</v>
      </c>
    </row>
    <row r="1174" spans="1:4">
      <c r="A1174" s="30">
        <v>1370</v>
      </c>
      <c r="B1174" s="42" t="s">
        <v>3163</v>
      </c>
      <c r="C1174" s="42" t="s">
        <v>3164</v>
      </c>
      <c r="D1174" s="57">
        <f t="shared" si="18"/>
        <v>1370</v>
      </c>
    </row>
    <row r="1175" spans="1:4">
      <c r="A1175" s="30">
        <v>1371</v>
      </c>
      <c r="B1175" s="42" t="s">
        <v>3165</v>
      </c>
      <c r="C1175" s="42" t="s">
        <v>3166</v>
      </c>
      <c r="D1175" s="57">
        <f t="shared" si="18"/>
        <v>1371</v>
      </c>
    </row>
    <row r="1176" spans="1:4">
      <c r="A1176" s="30">
        <v>1372</v>
      </c>
      <c r="B1176" s="41" t="s">
        <v>3167</v>
      </c>
      <c r="C1176" s="42" t="s">
        <v>3168</v>
      </c>
      <c r="D1176" s="57">
        <f t="shared" si="18"/>
        <v>1372</v>
      </c>
    </row>
    <row r="1177" spans="1:4">
      <c r="A1177" s="30">
        <v>1373</v>
      </c>
      <c r="B1177" s="41" t="s">
        <v>3169</v>
      </c>
      <c r="C1177" s="29" t="s">
        <v>3369</v>
      </c>
      <c r="D1177" s="57">
        <f t="shared" si="18"/>
        <v>1373</v>
      </c>
    </row>
    <row r="1178" spans="1:4">
      <c r="A1178" s="30">
        <v>1374</v>
      </c>
      <c r="B1178" s="41" t="s">
        <v>3170</v>
      </c>
      <c r="C1178" s="42" t="s">
        <v>3171</v>
      </c>
      <c r="D1178" s="57">
        <f t="shared" si="18"/>
        <v>1374</v>
      </c>
    </row>
    <row r="1179" spans="1:4">
      <c r="A1179" s="30">
        <v>1375</v>
      </c>
      <c r="B1179" s="42" t="s">
        <v>3172</v>
      </c>
      <c r="C1179" s="42" t="s">
        <v>3173</v>
      </c>
      <c r="D1179" s="57">
        <f t="shared" si="18"/>
        <v>1375</v>
      </c>
    </row>
    <row r="1180" spans="1:4">
      <c r="A1180" s="30">
        <v>1376</v>
      </c>
      <c r="B1180" s="42" t="s">
        <v>3174</v>
      </c>
      <c r="C1180" s="42" t="s">
        <v>3175</v>
      </c>
      <c r="D1180" s="57">
        <f t="shared" si="18"/>
        <v>1376</v>
      </c>
    </row>
    <row r="1181" spans="1:4">
      <c r="A1181" s="30">
        <v>1377</v>
      </c>
      <c r="B1181" s="42" t="s">
        <v>3176</v>
      </c>
      <c r="C1181" s="29" t="s">
        <v>3177</v>
      </c>
      <c r="D1181" s="57">
        <f t="shared" si="18"/>
        <v>1377</v>
      </c>
    </row>
    <row r="1182" spans="1:4">
      <c r="A1182" s="30">
        <v>1378</v>
      </c>
      <c r="B1182" s="42" t="s">
        <v>3178</v>
      </c>
      <c r="C1182" s="29" t="s">
        <v>3179</v>
      </c>
      <c r="D1182" s="57">
        <f t="shared" si="18"/>
        <v>1378</v>
      </c>
    </row>
    <row r="1183" spans="1:4">
      <c r="A1183" s="30">
        <v>1379</v>
      </c>
      <c r="B1183" s="42" t="s">
        <v>3180</v>
      </c>
      <c r="C1183" s="29" t="s">
        <v>3181</v>
      </c>
      <c r="D1183" s="57">
        <f t="shared" si="18"/>
        <v>1379</v>
      </c>
    </row>
    <row r="1184" spans="1:4">
      <c r="A1184" s="30">
        <v>1380</v>
      </c>
      <c r="B1184" s="37" t="s">
        <v>3182</v>
      </c>
      <c r="C1184" s="29" t="s">
        <v>3183</v>
      </c>
      <c r="D1184" s="57">
        <f t="shared" si="18"/>
        <v>1380</v>
      </c>
    </row>
    <row r="1185" spans="1:4">
      <c r="A1185" s="30">
        <v>1381</v>
      </c>
      <c r="B1185" s="37" t="s">
        <v>3184</v>
      </c>
      <c r="C1185" s="29" t="s">
        <v>3185</v>
      </c>
      <c r="D1185" s="57">
        <f t="shared" si="18"/>
        <v>1381</v>
      </c>
    </row>
    <row r="1186" spans="1:4">
      <c r="A1186" s="30">
        <v>1382</v>
      </c>
      <c r="B1186" s="37" t="s">
        <v>3186</v>
      </c>
      <c r="C1186" s="42" t="s">
        <v>3187</v>
      </c>
      <c r="D1186" s="57">
        <f t="shared" si="18"/>
        <v>1382</v>
      </c>
    </row>
    <row r="1187" spans="1:4">
      <c r="A1187" s="30">
        <v>1383</v>
      </c>
      <c r="B1187" s="41" t="s">
        <v>3188</v>
      </c>
      <c r="C1187" s="42" t="s">
        <v>3189</v>
      </c>
      <c r="D1187" s="57">
        <f t="shared" si="18"/>
        <v>1383</v>
      </c>
    </row>
    <row r="1188" spans="1:4">
      <c r="A1188" s="30">
        <v>1384</v>
      </c>
      <c r="B1188" s="37" t="s">
        <v>3190</v>
      </c>
      <c r="C1188" s="42" t="s">
        <v>3191</v>
      </c>
      <c r="D1188" s="57">
        <f t="shared" si="18"/>
        <v>1384</v>
      </c>
    </row>
    <row r="1189" spans="1:4">
      <c r="A1189" s="30">
        <v>1385</v>
      </c>
      <c r="B1189" s="37" t="s">
        <v>3192</v>
      </c>
      <c r="C1189" s="42" t="s">
        <v>3193</v>
      </c>
      <c r="D1189" s="57">
        <f t="shared" si="18"/>
        <v>1385</v>
      </c>
    </row>
    <row r="1190" spans="1:4">
      <c r="A1190" s="30">
        <v>1386</v>
      </c>
      <c r="B1190" s="40" t="s">
        <v>3194</v>
      </c>
      <c r="C1190" s="42" t="s">
        <v>3195</v>
      </c>
      <c r="D1190" s="57">
        <f t="shared" si="18"/>
        <v>1386</v>
      </c>
    </row>
    <row r="1191" spans="1:4">
      <c r="A1191" s="30">
        <v>1387</v>
      </c>
      <c r="B1191" s="37" t="s">
        <v>3196</v>
      </c>
      <c r="C1191" s="42" t="s">
        <v>3197</v>
      </c>
      <c r="D1191" s="57">
        <f t="shared" si="18"/>
        <v>1387</v>
      </c>
    </row>
    <row r="1192" spans="1:4">
      <c r="A1192" s="30">
        <v>1388</v>
      </c>
      <c r="B1192" s="41" t="s">
        <v>3370</v>
      </c>
      <c r="C1192" s="29" t="s">
        <v>3371</v>
      </c>
      <c r="D1192" s="57">
        <f t="shared" si="18"/>
        <v>1388</v>
      </c>
    </row>
    <row r="1193" spans="1:4">
      <c r="A1193" s="30">
        <v>1389</v>
      </c>
      <c r="B1193" s="37" t="s">
        <v>3198</v>
      </c>
      <c r="C1193" s="42" t="s">
        <v>3199</v>
      </c>
      <c r="D1193" s="57">
        <f t="shared" si="18"/>
        <v>1389</v>
      </c>
    </row>
    <row r="1194" spans="1:4">
      <c r="A1194" s="30">
        <v>1390</v>
      </c>
      <c r="B1194" s="42" t="s">
        <v>3200</v>
      </c>
      <c r="C1194" s="42" t="s">
        <v>3201</v>
      </c>
      <c r="D1194" s="57">
        <f t="shared" si="18"/>
        <v>1390</v>
      </c>
    </row>
    <row r="1195" spans="1:4">
      <c r="A1195" s="30">
        <v>1391</v>
      </c>
      <c r="B1195" s="37" t="s">
        <v>3202</v>
      </c>
      <c r="C1195" s="58" t="s">
        <v>3203</v>
      </c>
      <c r="D1195" s="57">
        <f t="shared" si="18"/>
        <v>1391</v>
      </c>
    </row>
    <row r="1196" spans="1:4">
      <c r="A1196" s="30">
        <v>1392</v>
      </c>
      <c r="B1196" s="37" t="s">
        <v>3204</v>
      </c>
      <c r="C1196" s="66" t="s">
        <v>3205</v>
      </c>
      <c r="D1196" s="57">
        <f t="shared" si="18"/>
        <v>1392</v>
      </c>
    </row>
    <row r="1197" spans="1:4">
      <c r="A1197" s="30">
        <v>1393</v>
      </c>
      <c r="B1197" s="42" t="s">
        <v>3206</v>
      </c>
      <c r="C1197" s="66" t="s">
        <v>3207</v>
      </c>
      <c r="D1197" s="57">
        <f t="shared" si="18"/>
        <v>1393</v>
      </c>
    </row>
    <row r="1198" spans="1:4">
      <c r="A1198" s="30">
        <v>1394</v>
      </c>
      <c r="B1198" s="37" t="s">
        <v>3208</v>
      </c>
      <c r="C1198" s="42" t="s">
        <v>3209</v>
      </c>
      <c r="D1198" s="57">
        <f t="shared" si="18"/>
        <v>1394</v>
      </c>
    </row>
    <row r="1199" spans="1:4">
      <c r="A1199" s="30">
        <v>1395</v>
      </c>
      <c r="B1199" s="42" t="s">
        <v>3210</v>
      </c>
      <c r="C1199" s="42" t="s">
        <v>3211</v>
      </c>
      <c r="D1199" s="57">
        <f t="shared" si="18"/>
        <v>1395</v>
      </c>
    </row>
    <row r="1200" spans="1:4">
      <c r="A1200" s="30">
        <v>1396</v>
      </c>
      <c r="B1200" s="29" t="s">
        <v>3212</v>
      </c>
      <c r="C1200" s="42" t="s">
        <v>3213</v>
      </c>
      <c r="D1200" s="57">
        <f t="shared" si="18"/>
        <v>1396</v>
      </c>
    </row>
    <row r="1201" spans="1:4">
      <c r="A1201" s="30">
        <v>1397</v>
      </c>
      <c r="B1201" s="42" t="s">
        <v>3214</v>
      </c>
      <c r="C1201" s="42" t="s">
        <v>3215</v>
      </c>
      <c r="D1201" s="57">
        <f t="shared" si="18"/>
        <v>1397</v>
      </c>
    </row>
    <row r="1202" spans="1:4">
      <c r="A1202" s="30">
        <v>1398</v>
      </c>
      <c r="B1202" s="42" t="s">
        <v>3216</v>
      </c>
      <c r="C1202" s="29" t="s">
        <v>3217</v>
      </c>
      <c r="D1202" s="57">
        <f t="shared" si="18"/>
        <v>1398</v>
      </c>
    </row>
    <row r="1203" spans="1:4">
      <c r="A1203" s="30">
        <v>1399</v>
      </c>
      <c r="B1203" s="37" t="s">
        <v>3218</v>
      </c>
      <c r="C1203" s="29" t="s">
        <v>3219</v>
      </c>
      <c r="D1203" s="57">
        <f t="shared" si="18"/>
        <v>1399</v>
      </c>
    </row>
    <row r="1204" spans="1:4">
      <c r="A1204" s="30">
        <v>1400</v>
      </c>
      <c r="B1204" s="42" t="s">
        <v>3220</v>
      </c>
      <c r="C1204" s="42" t="s">
        <v>3221</v>
      </c>
      <c r="D1204" s="57">
        <f t="shared" si="18"/>
        <v>1400</v>
      </c>
    </row>
    <row r="1205" spans="1:4">
      <c r="A1205" s="30">
        <v>1401</v>
      </c>
      <c r="B1205" s="42" t="s">
        <v>3222</v>
      </c>
      <c r="C1205" s="42" t="s">
        <v>3223</v>
      </c>
      <c r="D1205" s="57">
        <f t="shared" si="18"/>
        <v>1401</v>
      </c>
    </row>
    <row r="1206" spans="1:4">
      <c r="A1206" s="30">
        <v>1402</v>
      </c>
      <c r="B1206" s="29" t="s">
        <v>3224</v>
      </c>
      <c r="C1206" s="42" t="s">
        <v>3225</v>
      </c>
      <c r="D1206" s="57">
        <f t="shared" si="18"/>
        <v>1402</v>
      </c>
    </row>
    <row r="1207" spans="1:4">
      <c r="A1207" s="30">
        <v>1403</v>
      </c>
      <c r="B1207" s="42" t="s">
        <v>3226</v>
      </c>
      <c r="C1207" s="42" t="s">
        <v>3227</v>
      </c>
      <c r="D1207" s="57">
        <f t="shared" si="18"/>
        <v>1403</v>
      </c>
    </row>
    <row r="1208" spans="1:4">
      <c r="A1208" s="30">
        <v>1404</v>
      </c>
      <c r="B1208" s="42" t="s">
        <v>3228</v>
      </c>
      <c r="C1208" s="42" t="s">
        <v>3229</v>
      </c>
      <c r="D1208" s="57">
        <f t="shared" si="18"/>
        <v>1404</v>
      </c>
    </row>
    <row r="1209" spans="1:4">
      <c r="A1209" s="30">
        <v>1405</v>
      </c>
      <c r="B1209" s="42" t="s">
        <v>3230</v>
      </c>
      <c r="C1209" s="42" t="s">
        <v>3231</v>
      </c>
      <c r="D1209" s="57">
        <f t="shared" si="18"/>
        <v>1405</v>
      </c>
    </row>
    <row r="1210" spans="1:4">
      <c r="A1210" s="30">
        <v>1406</v>
      </c>
      <c r="B1210" s="42" t="s">
        <v>3232</v>
      </c>
      <c r="C1210" s="42" t="s">
        <v>3233</v>
      </c>
      <c r="D1210" s="57">
        <f t="shared" si="18"/>
        <v>1406</v>
      </c>
    </row>
    <row r="1211" spans="1:4">
      <c r="A1211" s="30">
        <v>1407</v>
      </c>
      <c r="B1211" s="42" t="s">
        <v>3234</v>
      </c>
      <c r="C1211" s="42" t="s">
        <v>3235</v>
      </c>
      <c r="D1211" s="57">
        <f t="shared" si="18"/>
        <v>1407</v>
      </c>
    </row>
    <row r="1212" spans="1:4">
      <c r="A1212" s="30">
        <v>1408</v>
      </c>
      <c r="B1212" s="42" t="s">
        <v>3236</v>
      </c>
      <c r="C1212" s="42" t="s">
        <v>2920</v>
      </c>
      <c r="D1212" s="57">
        <f t="shared" si="18"/>
        <v>1408</v>
      </c>
    </row>
    <row r="1213" spans="1:4">
      <c r="A1213" s="30">
        <v>1409</v>
      </c>
      <c r="B1213" s="42" t="s">
        <v>3237</v>
      </c>
      <c r="C1213" s="42" t="s">
        <v>3238</v>
      </c>
      <c r="D1213" s="57">
        <f t="shared" si="18"/>
        <v>1409</v>
      </c>
    </row>
    <row r="1214" spans="1:4">
      <c r="A1214" s="30">
        <v>1410</v>
      </c>
      <c r="B1214" s="42" t="s">
        <v>3239</v>
      </c>
      <c r="C1214" s="42" t="s">
        <v>3240</v>
      </c>
      <c r="D1214" s="57">
        <f t="shared" si="18"/>
        <v>1410</v>
      </c>
    </row>
    <row r="1215" spans="1:4">
      <c r="A1215" s="30">
        <v>1411</v>
      </c>
      <c r="B1215" s="42" t="s">
        <v>3241</v>
      </c>
      <c r="C1215" s="42" t="s">
        <v>3242</v>
      </c>
      <c r="D1215" s="57">
        <f t="shared" si="18"/>
        <v>1411</v>
      </c>
    </row>
    <row r="1216" spans="1:4">
      <c r="A1216" s="30">
        <v>1412</v>
      </c>
      <c r="B1216" s="42" t="s">
        <v>3243</v>
      </c>
      <c r="C1216" s="42" t="s">
        <v>3244</v>
      </c>
      <c r="D1216" s="57">
        <f t="shared" si="18"/>
        <v>1412</v>
      </c>
    </row>
    <row r="1217" spans="1:4">
      <c r="A1217" s="30">
        <v>1413</v>
      </c>
      <c r="B1217" s="42" t="s">
        <v>3245</v>
      </c>
      <c r="C1217" s="42" t="s">
        <v>3246</v>
      </c>
      <c r="D1217" s="57">
        <f t="shared" si="18"/>
        <v>1413</v>
      </c>
    </row>
    <row r="1218" spans="1:4">
      <c r="A1218" s="30">
        <v>1414</v>
      </c>
      <c r="B1218" s="42" t="s">
        <v>3247</v>
      </c>
      <c r="C1218" s="42" t="s">
        <v>3248</v>
      </c>
      <c r="D1218" s="57">
        <f t="shared" ref="D1218:D1281" si="19">$A1218</f>
        <v>1414</v>
      </c>
    </row>
    <row r="1219" spans="1:4">
      <c r="A1219" s="30">
        <v>1415</v>
      </c>
      <c r="B1219" s="29" t="s">
        <v>3249</v>
      </c>
      <c r="C1219" s="29" t="s">
        <v>3250</v>
      </c>
      <c r="D1219" s="57">
        <f t="shared" si="19"/>
        <v>1415</v>
      </c>
    </row>
    <row r="1220" spans="1:4">
      <c r="A1220" s="30">
        <v>1416</v>
      </c>
      <c r="B1220" s="42" t="s">
        <v>3251</v>
      </c>
      <c r="C1220" s="42" t="s">
        <v>3252</v>
      </c>
      <c r="D1220" s="57">
        <f t="shared" si="19"/>
        <v>1416</v>
      </c>
    </row>
    <row r="1221" spans="1:4">
      <c r="A1221" s="30">
        <v>1417</v>
      </c>
      <c r="B1221" s="42" t="s">
        <v>3253</v>
      </c>
      <c r="C1221" s="42" t="s">
        <v>3254</v>
      </c>
      <c r="D1221" s="57">
        <f t="shared" si="19"/>
        <v>1417</v>
      </c>
    </row>
    <row r="1222" spans="1:4">
      <c r="A1222" s="30">
        <v>1418</v>
      </c>
      <c r="B1222" s="42" t="s">
        <v>3255</v>
      </c>
      <c r="C1222" s="42" t="s">
        <v>3256</v>
      </c>
      <c r="D1222" s="57">
        <f t="shared" si="19"/>
        <v>1418</v>
      </c>
    </row>
    <row r="1223" spans="1:4">
      <c r="A1223" s="30">
        <v>1419</v>
      </c>
      <c r="B1223" s="42" t="s">
        <v>3257</v>
      </c>
      <c r="C1223" s="29" t="s">
        <v>2526</v>
      </c>
      <c r="D1223" s="57">
        <f t="shared" si="19"/>
        <v>1419</v>
      </c>
    </row>
    <row r="1224" spans="1:4">
      <c r="A1224" s="30">
        <v>1420</v>
      </c>
      <c r="B1224" s="40" t="s">
        <v>1126</v>
      </c>
      <c r="C1224" s="29" t="s">
        <v>1871</v>
      </c>
      <c r="D1224" s="57">
        <f t="shared" si="19"/>
        <v>1420</v>
      </c>
    </row>
    <row r="1225" spans="1:4">
      <c r="A1225" s="30">
        <v>1421</v>
      </c>
      <c r="B1225" s="61" t="s">
        <v>3900</v>
      </c>
      <c r="C1225" s="61" t="s">
        <v>3901</v>
      </c>
      <c r="D1225" s="57">
        <f t="shared" si="19"/>
        <v>1421</v>
      </c>
    </row>
    <row r="1226" spans="1:4">
      <c r="A1226" s="30">
        <v>1422</v>
      </c>
      <c r="B1226" s="42" t="s">
        <v>5266</v>
      </c>
      <c r="C1226" s="29" t="s">
        <v>5265</v>
      </c>
      <c r="D1226" s="57">
        <f t="shared" si="19"/>
        <v>1422</v>
      </c>
    </row>
    <row r="1227" spans="1:4">
      <c r="A1227" s="30">
        <v>1423</v>
      </c>
      <c r="B1227" s="42" t="s">
        <v>3372</v>
      </c>
      <c r="D1227" s="57">
        <f t="shared" si="19"/>
        <v>1423</v>
      </c>
    </row>
    <row r="1228" spans="1:4">
      <c r="A1228" s="30">
        <v>1424</v>
      </c>
      <c r="B1228" s="42" t="s">
        <v>3372</v>
      </c>
      <c r="D1228" s="57">
        <f t="shared" si="19"/>
        <v>1424</v>
      </c>
    </row>
    <row r="1229" spans="1:4">
      <c r="A1229" s="30">
        <v>1425</v>
      </c>
      <c r="B1229" s="42" t="s">
        <v>3372</v>
      </c>
      <c r="D1229" s="57">
        <f t="shared" si="19"/>
        <v>1425</v>
      </c>
    </row>
    <row r="1230" spans="1:4">
      <c r="A1230" s="30">
        <v>1426</v>
      </c>
      <c r="B1230" s="42" t="s">
        <v>3372</v>
      </c>
      <c r="D1230" s="57">
        <f t="shared" si="19"/>
        <v>1426</v>
      </c>
    </row>
    <row r="1231" spans="1:4">
      <c r="A1231" s="30">
        <v>1427</v>
      </c>
      <c r="B1231" s="42" t="s">
        <v>3372</v>
      </c>
      <c r="D1231" s="57">
        <f t="shared" si="19"/>
        <v>1427</v>
      </c>
    </row>
    <row r="1232" spans="1:4">
      <c r="A1232" s="30">
        <v>1428</v>
      </c>
      <c r="B1232" s="42" t="s">
        <v>3372</v>
      </c>
      <c r="D1232" s="57">
        <f t="shared" si="19"/>
        <v>1428</v>
      </c>
    </row>
    <row r="1233" spans="1:4">
      <c r="A1233" s="30">
        <v>1429</v>
      </c>
      <c r="B1233" s="42" t="s">
        <v>3372</v>
      </c>
      <c r="D1233" s="57">
        <f t="shared" si="19"/>
        <v>1429</v>
      </c>
    </row>
    <row r="1234" spans="1:4">
      <c r="A1234" s="30">
        <v>1430</v>
      </c>
      <c r="B1234" s="42" t="s">
        <v>3372</v>
      </c>
      <c r="D1234" s="57">
        <f t="shared" si="19"/>
        <v>1430</v>
      </c>
    </row>
    <row r="1235" spans="1:4">
      <c r="A1235" s="30">
        <v>1431</v>
      </c>
      <c r="B1235" s="42" t="s">
        <v>3372</v>
      </c>
      <c r="D1235" s="57">
        <f t="shared" si="19"/>
        <v>1431</v>
      </c>
    </row>
    <row r="1236" spans="1:4">
      <c r="A1236" s="30">
        <v>1432</v>
      </c>
      <c r="B1236" s="42" t="s">
        <v>3372</v>
      </c>
      <c r="D1236" s="57">
        <f t="shared" si="19"/>
        <v>1432</v>
      </c>
    </row>
    <row r="1237" spans="1:4">
      <c r="A1237" s="30">
        <v>1433</v>
      </c>
      <c r="B1237" s="42" t="s">
        <v>3372</v>
      </c>
      <c r="D1237" s="57">
        <f t="shared" si="19"/>
        <v>1433</v>
      </c>
    </row>
    <row r="1238" spans="1:4">
      <c r="A1238" s="30">
        <v>1434</v>
      </c>
      <c r="B1238" s="42" t="s">
        <v>3372</v>
      </c>
      <c r="D1238" s="57">
        <f t="shared" si="19"/>
        <v>1434</v>
      </c>
    </row>
    <row r="1239" spans="1:4">
      <c r="A1239" s="30">
        <v>1435</v>
      </c>
      <c r="B1239" s="42" t="s">
        <v>3372</v>
      </c>
      <c r="D1239" s="57">
        <f t="shared" si="19"/>
        <v>1435</v>
      </c>
    </row>
    <row r="1240" spans="1:4">
      <c r="A1240" s="30">
        <v>1436</v>
      </c>
      <c r="B1240" s="42" t="s">
        <v>3372</v>
      </c>
      <c r="D1240" s="57">
        <f t="shared" si="19"/>
        <v>1436</v>
      </c>
    </row>
    <row r="1241" spans="1:4">
      <c r="A1241" s="30">
        <v>1437</v>
      </c>
      <c r="B1241" s="42" t="s">
        <v>3372</v>
      </c>
      <c r="D1241" s="57">
        <f t="shared" si="19"/>
        <v>1437</v>
      </c>
    </row>
    <row r="1242" spans="1:4">
      <c r="A1242" s="30">
        <v>1438</v>
      </c>
      <c r="B1242" s="42" t="s">
        <v>3372</v>
      </c>
      <c r="D1242" s="57">
        <f t="shared" si="19"/>
        <v>1438</v>
      </c>
    </row>
    <row r="1243" spans="1:4">
      <c r="A1243" s="30">
        <v>1439</v>
      </c>
      <c r="B1243" s="42" t="s">
        <v>3372</v>
      </c>
      <c r="D1243" s="57">
        <f t="shared" si="19"/>
        <v>1439</v>
      </c>
    </row>
    <row r="1244" spans="1:4">
      <c r="A1244" s="30">
        <v>1440</v>
      </c>
      <c r="B1244" s="42" t="s">
        <v>3372</v>
      </c>
      <c r="D1244" s="57">
        <f t="shared" si="19"/>
        <v>1440</v>
      </c>
    </row>
    <row r="1245" spans="1:4">
      <c r="A1245" s="30">
        <v>1441</v>
      </c>
      <c r="B1245" s="42" t="s">
        <v>3372</v>
      </c>
      <c r="D1245" s="57">
        <f t="shared" si="19"/>
        <v>1441</v>
      </c>
    </row>
    <row r="1246" spans="1:4">
      <c r="A1246" s="30">
        <v>1442</v>
      </c>
      <c r="B1246" s="42" t="s">
        <v>3372</v>
      </c>
      <c r="D1246" s="57">
        <f t="shared" si="19"/>
        <v>1442</v>
      </c>
    </row>
    <row r="1247" spans="1:4">
      <c r="A1247" s="30">
        <v>1443</v>
      </c>
      <c r="B1247" s="42" t="s">
        <v>3372</v>
      </c>
      <c r="D1247" s="57">
        <f t="shared" si="19"/>
        <v>1443</v>
      </c>
    </row>
    <row r="1248" spans="1:4">
      <c r="A1248" s="30">
        <v>1444</v>
      </c>
      <c r="B1248" s="42" t="s">
        <v>3372</v>
      </c>
      <c r="D1248" s="57">
        <f t="shared" si="19"/>
        <v>1444</v>
      </c>
    </row>
    <row r="1249" spans="1:4">
      <c r="A1249" s="30">
        <v>1445</v>
      </c>
      <c r="B1249" s="42" t="s">
        <v>3372</v>
      </c>
      <c r="D1249" s="57">
        <f t="shared" si="19"/>
        <v>1445</v>
      </c>
    </row>
    <row r="1250" spans="1:4">
      <c r="A1250" s="30">
        <v>1446</v>
      </c>
      <c r="B1250" s="42" t="s">
        <v>3372</v>
      </c>
      <c r="D1250" s="57">
        <f t="shared" si="19"/>
        <v>1446</v>
      </c>
    </row>
    <row r="1251" spans="1:4">
      <c r="A1251" s="30">
        <v>1447</v>
      </c>
      <c r="B1251" s="42" t="s">
        <v>3372</v>
      </c>
      <c r="D1251" s="57">
        <f t="shared" si="19"/>
        <v>1447</v>
      </c>
    </row>
    <row r="1252" spans="1:4">
      <c r="A1252" s="30">
        <v>1448</v>
      </c>
      <c r="B1252" s="42" t="s">
        <v>3372</v>
      </c>
      <c r="D1252" s="57">
        <f t="shared" si="19"/>
        <v>1448</v>
      </c>
    </row>
    <row r="1253" spans="1:4">
      <c r="A1253" s="30">
        <v>1449</v>
      </c>
      <c r="B1253" s="42" t="s">
        <v>3372</v>
      </c>
      <c r="D1253" s="57">
        <f t="shared" si="19"/>
        <v>1449</v>
      </c>
    </row>
    <row r="1254" spans="1:4">
      <c r="A1254" s="30">
        <v>1450</v>
      </c>
      <c r="B1254" s="42" t="s">
        <v>3372</v>
      </c>
      <c r="D1254" s="57">
        <f t="shared" si="19"/>
        <v>1450</v>
      </c>
    </row>
    <row r="1255" spans="1:4">
      <c r="A1255" s="30">
        <v>1451</v>
      </c>
      <c r="B1255" s="42" t="s">
        <v>3372</v>
      </c>
      <c r="D1255" s="57">
        <f t="shared" si="19"/>
        <v>1451</v>
      </c>
    </row>
    <row r="1256" spans="1:4">
      <c r="A1256" s="30">
        <v>1452</v>
      </c>
      <c r="B1256" s="42" t="s">
        <v>3372</v>
      </c>
      <c r="D1256" s="57">
        <f t="shared" si="19"/>
        <v>1452</v>
      </c>
    </row>
    <row r="1257" spans="1:4">
      <c r="A1257" s="30">
        <v>1453</v>
      </c>
      <c r="B1257" s="42" t="s">
        <v>3372</v>
      </c>
      <c r="D1257" s="57">
        <f t="shared" si="19"/>
        <v>1453</v>
      </c>
    </row>
    <row r="1258" spans="1:4">
      <c r="A1258" s="30">
        <v>1454</v>
      </c>
      <c r="B1258" s="42" t="s">
        <v>3372</v>
      </c>
      <c r="D1258" s="57">
        <f t="shared" si="19"/>
        <v>1454</v>
      </c>
    </row>
    <row r="1259" spans="1:4">
      <c r="A1259" s="30">
        <v>1455</v>
      </c>
      <c r="B1259" s="42" t="s">
        <v>3372</v>
      </c>
      <c r="D1259" s="57">
        <f t="shared" si="19"/>
        <v>1455</v>
      </c>
    </row>
    <row r="1260" spans="1:4">
      <c r="A1260" s="30">
        <v>1456</v>
      </c>
      <c r="B1260" s="42" t="s">
        <v>3372</v>
      </c>
      <c r="D1260" s="57">
        <f t="shared" si="19"/>
        <v>1456</v>
      </c>
    </row>
    <row r="1261" spans="1:4">
      <c r="A1261" s="30">
        <v>1457</v>
      </c>
      <c r="B1261" s="42" t="s">
        <v>3372</v>
      </c>
      <c r="D1261" s="57">
        <f t="shared" si="19"/>
        <v>1457</v>
      </c>
    </row>
    <row r="1262" spans="1:4">
      <c r="A1262" s="30">
        <v>1458</v>
      </c>
      <c r="B1262" s="42" t="s">
        <v>3372</v>
      </c>
      <c r="D1262" s="57">
        <f t="shared" si="19"/>
        <v>1458</v>
      </c>
    </row>
    <row r="1263" spans="1:4">
      <c r="A1263" s="30">
        <v>1459</v>
      </c>
      <c r="B1263" s="42" t="s">
        <v>3372</v>
      </c>
      <c r="D1263" s="57">
        <f t="shared" si="19"/>
        <v>1459</v>
      </c>
    </row>
    <row r="1264" spans="1:4">
      <c r="A1264" s="30">
        <v>1460</v>
      </c>
      <c r="B1264" s="42" t="s">
        <v>3372</v>
      </c>
      <c r="D1264" s="57">
        <f t="shared" si="19"/>
        <v>1460</v>
      </c>
    </row>
    <row r="1265" spans="1:4">
      <c r="A1265" s="30">
        <v>1461</v>
      </c>
      <c r="B1265" s="42" t="s">
        <v>3372</v>
      </c>
      <c r="D1265" s="57">
        <f t="shared" si="19"/>
        <v>1461</v>
      </c>
    </row>
    <row r="1266" spans="1:4">
      <c r="A1266" s="30">
        <v>1462</v>
      </c>
      <c r="B1266" s="42" t="s">
        <v>3372</v>
      </c>
      <c r="D1266" s="57">
        <f t="shared" si="19"/>
        <v>1462</v>
      </c>
    </row>
    <row r="1267" spans="1:4">
      <c r="A1267" s="30">
        <v>1463</v>
      </c>
      <c r="B1267" s="42" t="s">
        <v>3372</v>
      </c>
      <c r="D1267" s="57">
        <f t="shared" si="19"/>
        <v>1463</v>
      </c>
    </row>
    <row r="1268" spans="1:4">
      <c r="A1268" s="30">
        <v>1464</v>
      </c>
      <c r="B1268" s="42" t="s">
        <v>3372</v>
      </c>
      <c r="D1268" s="57">
        <f t="shared" si="19"/>
        <v>1464</v>
      </c>
    </row>
    <row r="1269" spans="1:4">
      <c r="A1269" s="30">
        <v>1465</v>
      </c>
      <c r="B1269" s="42" t="s">
        <v>3372</v>
      </c>
      <c r="D1269" s="57">
        <f t="shared" si="19"/>
        <v>1465</v>
      </c>
    </row>
    <row r="1270" spans="1:4">
      <c r="A1270" s="30">
        <v>1466</v>
      </c>
      <c r="B1270" s="42" t="s">
        <v>3372</v>
      </c>
      <c r="D1270" s="57">
        <f t="shared" si="19"/>
        <v>1466</v>
      </c>
    </row>
    <row r="1271" spans="1:4">
      <c r="A1271" s="30">
        <v>1467</v>
      </c>
      <c r="B1271" s="42" t="s">
        <v>3372</v>
      </c>
      <c r="D1271" s="57">
        <f t="shared" si="19"/>
        <v>1467</v>
      </c>
    </row>
    <row r="1272" spans="1:4">
      <c r="A1272" s="30">
        <v>1468</v>
      </c>
      <c r="B1272" s="42" t="s">
        <v>3372</v>
      </c>
      <c r="D1272" s="57">
        <f t="shared" si="19"/>
        <v>1468</v>
      </c>
    </row>
    <row r="1273" spans="1:4">
      <c r="A1273" s="30">
        <v>1469</v>
      </c>
      <c r="B1273" s="42" t="s">
        <v>3372</v>
      </c>
      <c r="D1273" s="57">
        <f t="shared" si="19"/>
        <v>1469</v>
      </c>
    </row>
    <row r="1274" spans="1:4">
      <c r="A1274" s="30">
        <v>1470</v>
      </c>
      <c r="B1274" s="42" t="s">
        <v>3372</v>
      </c>
      <c r="D1274" s="57">
        <f t="shared" si="19"/>
        <v>1470</v>
      </c>
    </row>
    <row r="1275" spans="1:4">
      <c r="A1275" s="30">
        <v>1471</v>
      </c>
      <c r="B1275" s="42" t="s">
        <v>3372</v>
      </c>
      <c r="D1275" s="57">
        <f t="shared" si="19"/>
        <v>1471</v>
      </c>
    </row>
    <row r="1276" spans="1:4">
      <c r="A1276" s="30">
        <v>1472</v>
      </c>
      <c r="B1276" s="42" t="s">
        <v>3372</v>
      </c>
      <c r="D1276" s="57">
        <f t="shared" si="19"/>
        <v>1472</v>
      </c>
    </row>
    <row r="1277" spans="1:4">
      <c r="A1277" s="30">
        <v>1473</v>
      </c>
      <c r="B1277" s="42" t="s">
        <v>3372</v>
      </c>
      <c r="D1277" s="57">
        <f t="shared" si="19"/>
        <v>1473</v>
      </c>
    </row>
    <row r="1278" spans="1:4">
      <c r="A1278" s="30">
        <v>1474</v>
      </c>
      <c r="B1278" s="42" t="s">
        <v>3372</v>
      </c>
      <c r="D1278" s="57">
        <f t="shared" si="19"/>
        <v>1474</v>
      </c>
    </row>
    <row r="1279" spans="1:4">
      <c r="A1279" s="30">
        <v>1475</v>
      </c>
      <c r="B1279" s="42" t="s">
        <v>3372</v>
      </c>
      <c r="D1279" s="57">
        <f t="shared" si="19"/>
        <v>1475</v>
      </c>
    </row>
    <row r="1280" spans="1:4">
      <c r="A1280" s="30">
        <v>1476</v>
      </c>
      <c r="B1280" s="42" t="s">
        <v>3372</v>
      </c>
      <c r="D1280" s="57">
        <f t="shared" si="19"/>
        <v>1476</v>
      </c>
    </row>
    <row r="1281" spans="1:4">
      <c r="A1281" s="30">
        <v>1477</v>
      </c>
      <c r="B1281" s="42" t="s">
        <v>3372</v>
      </c>
      <c r="D1281" s="57">
        <f t="shared" si="19"/>
        <v>1477</v>
      </c>
    </row>
    <row r="1282" spans="1:4">
      <c r="A1282" s="30">
        <v>1478</v>
      </c>
      <c r="B1282" s="42" t="s">
        <v>3372</v>
      </c>
      <c r="D1282" s="57">
        <f t="shared" ref="D1282:D1345" si="20">$A1282</f>
        <v>1478</v>
      </c>
    </row>
    <row r="1283" spans="1:4">
      <c r="A1283" s="30">
        <v>1479</v>
      </c>
      <c r="B1283" s="42" t="s">
        <v>3372</v>
      </c>
      <c r="D1283" s="57">
        <f t="shared" si="20"/>
        <v>1479</v>
      </c>
    </row>
    <row r="1284" spans="1:4">
      <c r="A1284" s="30">
        <v>1480</v>
      </c>
      <c r="B1284" s="42" t="s">
        <v>3372</v>
      </c>
      <c r="D1284" s="57">
        <f t="shared" si="20"/>
        <v>1480</v>
      </c>
    </row>
    <row r="1285" spans="1:4">
      <c r="A1285" s="30">
        <v>1481</v>
      </c>
      <c r="B1285" s="42" t="s">
        <v>3372</v>
      </c>
      <c r="D1285" s="57">
        <f t="shared" si="20"/>
        <v>1481</v>
      </c>
    </row>
    <row r="1286" spans="1:4">
      <c r="A1286" s="30">
        <v>1482</v>
      </c>
      <c r="B1286" s="42" t="s">
        <v>3372</v>
      </c>
      <c r="D1286" s="57">
        <f t="shared" si="20"/>
        <v>1482</v>
      </c>
    </row>
    <row r="1287" spans="1:4">
      <c r="A1287" s="30">
        <v>1483</v>
      </c>
      <c r="B1287" s="42" t="s">
        <v>3372</v>
      </c>
      <c r="D1287" s="57">
        <f t="shared" si="20"/>
        <v>1483</v>
      </c>
    </row>
    <row r="1288" spans="1:4">
      <c r="A1288" s="30">
        <v>1484</v>
      </c>
      <c r="B1288" s="42" t="s">
        <v>3372</v>
      </c>
      <c r="D1288" s="57">
        <f t="shared" si="20"/>
        <v>1484</v>
      </c>
    </row>
    <row r="1289" spans="1:4">
      <c r="A1289" s="30">
        <v>1485</v>
      </c>
      <c r="B1289" s="42" t="s">
        <v>3372</v>
      </c>
      <c r="D1289" s="57">
        <f t="shared" si="20"/>
        <v>1485</v>
      </c>
    </row>
    <row r="1290" spans="1:4">
      <c r="A1290" s="30">
        <v>1486</v>
      </c>
      <c r="B1290" s="42" t="s">
        <v>3372</v>
      </c>
      <c r="D1290" s="57">
        <f t="shared" si="20"/>
        <v>1486</v>
      </c>
    </row>
    <row r="1291" spans="1:4">
      <c r="A1291" s="30">
        <v>1487</v>
      </c>
      <c r="B1291" s="42" t="s">
        <v>3372</v>
      </c>
      <c r="D1291" s="57">
        <f t="shared" si="20"/>
        <v>1487</v>
      </c>
    </row>
    <row r="1292" spans="1:4">
      <c r="A1292" s="30">
        <v>1488</v>
      </c>
      <c r="B1292" s="42" t="s">
        <v>3372</v>
      </c>
      <c r="D1292" s="57">
        <f t="shared" si="20"/>
        <v>1488</v>
      </c>
    </row>
    <row r="1293" spans="1:4">
      <c r="A1293" s="30">
        <v>1489</v>
      </c>
      <c r="B1293" s="42" t="s">
        <v>3372</v>
      </c>
      <c r="D1293" s="57">
        <f t="shared" si="20"/>
        <v>1489</v>
      </c>
    </row>
    <row r="1294" spans="1:4">
      <c r="A1294" s="30">
        <v>1490</v>
      </c>
      <c r="B1294" s="42" t="s">
        <v>3372</v>
      </c>
      <c r="D1294" s="57">
        <f t="shared" si="20"/>
        <v>1490</v>
      </c>
    </row>
    <row r="1295" spans="1:4">
      <c r="A1295" s="30">
        <v>1491</v>
      </c>
      <c r="B1295" s="42" t="s">
        <v>3372</v>
      </c>
      <c r="D1295" s="57">
        <f t="shared" si="20"/>
        <v>1491</v>
      </c>
    </row>
    <row r="1296" spans="1:4">
      <c r="A1296" s="30">
        <v>1492</v>
      </c>
      <c r="B1296" s="42" t="s">
        <v>3372</v>
      </c>
      <c r="D1296" s="57">
        <f t="shared" si="20"/>
        <v>1492</v>
      </c>
    </row>
    <row r="1297" spans="1:4">
      <c r="A1297" s="30">
        <v>1493</v>
      </c>
      <c r="B1297" s="42" t="s">
        <v>3372</v>
      </c>
      <c r="D1297" s="57">
        <f t="shared" si="20"/>
        <v>1493</v>
      </c>
    </row>
    <row r="1298" spans="1:4">
      <c r="A1298" s="30">
        <v>1494</v>
      </c>
      <c r="B1298" s="42" t="s">
        <v>3372</v>
      </c>
      <c r="D1298" s="57">
        <f t="shared" si="20"/>
        <v>1494</v>
      </c>
    </row>
    <row r="1299" spans="1:4">
      <c r="A1299" s="30">
        <v>1495</v>
      </c>
      <c r="B1299" s="42" t="s">
        <v>3372</v>
      </c>
      <c r="D1299" s="57">
        <f t="shared" si="20"/>
        <v>1495</v>
      </c>
    </row>
    <row r="1300" spans="1:4">
      <c r="A1300" s="30">
        <v>1496</v>
      </c>
      <c r="B1300" s="42" t="s">
        <v>3372</v>
      </c>
      <c r="D1300" s="57">
        <f t="shared" si="20"/>
        <v>1496</v>
      </c>
    </row>
    <row r="1301" spans="1:4">
      <c r="A1301" s="30">
        <v>1497</v>
      </c>
      <c r="B1301" s="42" t="s">
        <v>3372</v>
      </c>
      <c r="D1301" s="57">
        <f t="shared" si="20"/>
        <v>1497</v>
      </c>
    </row>
    <row r="1302" spans="1:4">
      <c r="A1302" s="30">
        <v>1498</v>
      </c>
      <c r="B1302" s="42" t="s">
        <v>3372</v>
      </c>
      <c r="D1302" s="57">
        <f t="shared" si="20"/>
        <v>1498</v>
      </c>
    </row>
    <row r="1303" spans="1:4">
      <c r="A1303" s="30">
        <v>1499</v>
      </c>
      <c r="B1303" s="42" t="s">
        <v>3372</v>
      </c>
      <c r="D1303" s="57">
        <f t="shared" si="20"/>
        <v>1499</v>
      </c>
    </row>
    <row r="1304" spans="1:4">
      <c r="A1304" s="30">
        <v>1500</v>
      </c>
      <c r="B1304" s="42" t="s">
        <v>3372</v>
      </c>
      <c r="D1304" s="57">
        <f t="shared" si="20"/>
        <v>1500</v>
      </c>
    </row>
    <row r="1305" spans="1:4">
      <c r="A1305" s="30">
        <v>1501</v>
      </c>
      <c r="B1305" s="42" t="s">
        <v>3372</v>
      </c>
      <c r="D1305" s="57">
        <f t="shared" si="20"/>
        <v>1501</v>
      </c>
    </row>
    <row r="1306" spans="1:4">
      <c r="A1306" s="30">
        <v>1502</v>
      </c>
      <c r="B1306" s="42" t="s">
        <v>3372</v>
      </c>
      <c r="D1306" s="57">
        <f t="shared" si="20"/>
        <v>1502</v>
      </c>
    </row>
    <row r="1307" spans="1:4">
      <c r="A1307" s="30">
        <v>1503</v>
      </c>
      <c r="B1307" s="42" t="s">
        <v>3372</v>
      </c>
      <c r="D1307" s="57">
        <f t="shared" si="20"/>
        <v>1503</v>
      </c>
    </row>
    <row r="1308" spans="1:4">
      <c r="A1308" s="30">
        <v>1504</v>
      </c>
      <c r="B1308" s="42" t="s">
        <v>3372</v>
      </c>
      <c r="D1308" s="57">
        <f t="shared" si="20"/>
        <v>1504</v>
      </c>
    </row>
    <row r="1309" spans="1:4">
      <c r="A1309" s="30">
        <v>1505</v>
      </c>
      <c r="B1309" s="42" t="s">
        <v>3372</v>
      </c>
      <c r="D1309" s="57">
        <f t="shared" si="20"/>
        <v>1505</v>
      </c>
    </row>
    <row r="1310" spans="1:4">
      <c r="A1310" s="30">
        <v>1506</v>
      </c>
      <c r="B1310" s="42" t="s">
        <v>3372</v>
      </c>
      <c r="D1310" s="57">
        <f t="shared" si="20"/>
        <v>1506</v>
      </c>
    </row>
    <row r="1311" spans="1:4">
      <c r="A1311" s="30">
        <v>1507</v>
      </c>
      <c r="B1311" s="42" t="s">
        <v>3372</v>
      </c>
      <c r="D1311" s="57">
        <f t="shared" si="20"/>
        <v>1507</v>
      </c>
    </row>
    <row r="1312" spans="1:4">
      <c r="A1312" s="30">
        <v>1508</v>
      </c>
      <c r="B1312" s="42" t="s">
        <v>3372</v>
      </c>
      <c r="D1312" s="57">
        <f t="shared" si="20"/>
        <v>1508</v>
      </c>
    </row>
    <row r="1313" spans="1:4">
      <c r="A1313" s="30">
        <v>1509</v>
      </c>
      <c r="B1313" s="42" t="s">
        <v>3372</v>
      </c>
      <c r="D1313" s="57">
        <f t="shared" si="20"/>
        <v>1509</v>
      </c>
    </row>
    <row r="1314" spans="1:4">
      <c r="A1314" s="30">
        <v>1510</v>
      </c>
      <c r="B1314" s="42" t="s">
        <v>3372</v>
      </c>
      <c r="D1314" s="57">
        <f t="shared" si="20"/>
        <v>1510</v>
      </c>
    </row>
    <row r="1315" spans="1:4">
      <c r="A1315" s="30">
        <v>1511</v>
      </c>
      <c r="B1315" s="42" t="s">
        <v>3372</v>
      </c>
      <c r="D1315" s="57">
        <f t="shared" si="20"/>
        <v>1511</v>
      </c>
    </row>
    <row r="1316" spans="1:4">
      <c r="A1316" s="30">
        <v>1512</v>
      </c>
      <c r="B1316" s="42" t="s">
        <v>3372</v>
      </c>
      <c r="D1316" s="57">
        <f t="shared" si="20"/>
        <v>1512</v>
      </c>
    </row>
    <row r="1317" spans="1:4">
      <c r="A1317" s="30">
        <v>1513</v>
      </c>
      <c r="B1317" s="42" t="s">
        <v>3372</v>
      </c>
      <c r="D1317" s="57">
        <f t="shared" si="20"/>
        <v>1513</v>
      </c>
    </row>
    <row r="1318" spans="1:4">
      <c r="A1318" s="30">
        <v>1514</v>
      </c>
      <c r="B1318" s="42" t="s">
        <v>3372</v>
      </c>
      <c r="D1318" s="57">
        <f t="shared" si="20"/>
        <v>1514</v>
      </c>
    </row>
    <row r="1319" spans="1:4">
      <c r="A1319" s="30">
        <v>1515</v>
      </c>
      <c r="B1319" s="42" t="s">
        <v>3372</v>
      </c>
      <c r="D1319" s="57">
        <f t="shared" si="20"/>
        <v>1515</v>
      </c>
    </row>
    <row r="1320" spans="1:4">
      <c r="A1320" s="30">
        <v>1516</v>
      </c>
      <c r="B1320" s="42" t="s">
        <v>3372</v>
      </c>
      <c r="D1320" s="57">
        <f t="shared" si="20"/>
        <v>1516</v>
      </c>
    </row>
    <row r="1321" spans="1:4">
      <c r="A1321" s="30">
        <v>1517</v>
      </c>
      <c r="B1321" s="42" t="s">
        <v>3372</v>
      </c>
      <c r="D1321" s="57">
        <f t="shared" si="20"/>
        <v>1517</v>
      </c>
    </row>
    <row r="1322" spans="1:4">
      <c r="A1322" s="30">
        <v>1518</v>
      </c>
      <c r="B1322" s="42" t="s">
        <v>3372</v>
      </c>
      <c r="D1322" s="57">
        <f t="shared" si="20"/>
        <v>1518</v>
      </c>
    </row>
    <row r="1323" spans="1:4">
      <c r="A1323" s="30">
        <v>1519</v>
      </c>
      <c r="B1323" s="42" t="s">
        <v>3372</v>
      </c>
      <c r="D1323" s="57">
        <f t="shared" si="20"/>
        <v>1519</v>
      </c>
    </row>
    <row r="1324" spans="1:4">
      <c r="A1324" s="30">
        <v>1520</v>
      </c>
      <c r="B1324" s="42" t="s">
        <v>3372</v>
      </c>
      <c r="D1324" s="57">
        <f t="shared" si="20"/>
        <v>1520</v>
      </c>
    </row>
    <row r="1325" spans="1:4">
      <c r="A1325" s="30">
        <v>1521</v>
      </c>
      <c r="B1325" s="42" t="s">
        <v>3372</v>
      </c>
      <c r="D1325" s="57">
        <f t="shared" si="20"/>
        <v>1521</v>
      </c>
    </row>
    <row r="1326" spans="1:4">
      <c r="A1326" s="30">
        <v>1522</v>
      </c>
      <c r="B1326" s="42" t="s">
        <v>3372</v>
      </c>
      <c r="D1326" s="57">
        <f t="shared" si="20"/>
        <v>1522</v>
      </c>
    </row>
    <row r="1327" spans="1:4">
      <c r="A1327" s="30">
        <v>1523</v>
      </c>
      <c r="B1327" s="42" t="s">
        <v>3372</v>
      </c>
      <c r="D1327" s="57">
        <f t="shared" si="20"/>
        <v>1523</v>
      </c>
    </row>
    <row r="1328" spans="1:4">
      <c r="A1328" s="30">
        <v>1524</v>
      </c>
      <c r="B1328" s="42" t="s">
        <v>3372</v>
      </c>
      <c r="D1328" s="57">
        <f t="shared" si="20"/>
        <v>1524</v>
      </c>
    </row>
    <row r="1329" spans="1:4">
      <c r="A1329" s="30">
        <v>1525</v>
      </c>
      <c r="B1329" s="42" t="s">
        <v>3372</v>
      </c>
      <c r="D1329" s="57">
        <f t="shared" si="20"/>
        <v>1525</v>
      </c>
    </row>
    <row r="1330" spans="1:4">
      <c r="A1330" s="30">
        <v>1526</v>
      </c>
      <c r="B1330" s="42" t="s">
        <v>3372</v>
      </c>
      <c r="D1330" s="57">
        <f t="shared" si="20"/>
        <v>1526</v>
      </c>
    </row>
    <row r="1331" spans="1:4">
      <c r="A1331" s="30">
        <v>1527</v>
      </c>
      <c r="B1331" s="42" t="s">
        <v>3372</v>
      </c>
      <c r="D1331" s="57">
        <f t="shared" si="20"/>
        <v>1527</v>
      </c>
    </row>
    <row r="1332" spans="1:4">
      <c r="A1332" s="30">
        <v>1528</v>
      </c>
      <c r="B1332" s="42" t="s">
        <v>3372</v>
      </c>
      <c r="D1332" s="57">
        <f t="shared" si="20"/>
        <v>1528</v>
      </c>
    </row>
    <row r="1333" spans="1:4">
      <c r="A1333" s="30">
        <v>1529</v>
      </c>
      <c r="B1333" s="42" t="s">
        <v>3372</v>
      </c>
      <c r="D1333" s="57">
        <f t="shared" si="20"/>
        <v>1529</v>
      </c>
    </row>
    <row r="1334" spans="1:4">
      <c r="A1334" s="30">
        <v>1530</v>
      </c>
      <c r="B1334" s="42" t="s">
        <v>3372</v>
      </c>
      <c r="D1334" s="57">
        <f t="shared" si="20"/>
        <v>1530</v>
      </c>
    </row>
    <row r="1335" spans="1:4">
      <c r="A1335" s="30">
        <v>1531</v>
      </c>
      <c r="B1335" s="42" t="s">
        <v>3372</v>
      </c>
      <c r="D1335" s="57">
        <f t="shared" si="20"/>
        <v>1531</v>
      </c>
    </row>
    <row r="1336" spans="1:4">
      <c r="A1336" s="30">
        <v>1532</v>
      </c>
      <c r="B1336" s="42" t="s">
        <v>3372</v>
      </c>
      <c r="D1336" s="57">
        <f t="shared" si="20"/>
        <v>1532</v>
      </c>
    </row>
    <row r="1337" spans="1:4">
      <c r="A1337" s="30">
        <v>1533</v>
      </c>
      <c r="B1337" s="42" t="s">
        <v>3372</v>
      </c>
      <c r="D1337" s="57">
        <f t="shared" si="20"/>
        <v>1533</v>
      </c>
    </row>
    <row r="1338" spans="1:4">
      <c r="A1338" s="30">
        <v>1534</v>
      </c>
      <c r="B1338" s="42" t="s">
        <v>3372</v>
      </c>
      <c r="D1338" s="57">
        <f t="shared" si="20"/>
        <v>1534</v>
      </c>
    </row>
    <row r="1339" spans="1:4">
      <c r="A1339" s="30">
        <v>1535</v>
      </c>
      <c r="B1339" s="42" t="s">
        <v>3372</v>
      </c>
      <c r="D1339" s="57">
        <f t="shared" si="20"/>
        <v>1535</v>
      </c>
    </row>
    <row r="1340" spans="1:4">
      <c r="A1340" s="30">
        <v>1536</v>
      </c>
      <c r="B1340" s="42" t="s">
        <v>3372</v>
      </c>
      <c r="D1340" s="57">
        <f t="shared" si="20"/>
        <v>1536</v>
      </c>
    </row>
    <row r="1341" spans="1:4">
      <c r="A1341" s="30">
        <v>1537</v>
      </c>
      <c r="B1341" s="42" t="s">
        <v>3372</v>
      </c>
      <c r="D1341" s="57">
        <f t="shared" si="20"/>
        <v>1537</v>
      </c>
    </row>
    <row r="1342" spans="1:4">
      <c r="A1342" s="30">
        <v>1538</v>
      </c>
      <c r="B1342" s="42" t="s">
        <v>3372</v>
      </c>
      <c r="D1342" s="57">
        <f t="shared" si="20"/>
        <v>1538</v>
      </c>
    </row>
    <row r="1343" spans="1:4">
      <c r="A1343" s="30">
        <v>1539</v>
      </c>
      <c r="B1343" s="42" t="s">
        <v>3372</v>
      </c>
      <c r="D1343" s="57">
        <f t="shared" si="20"/>
        <v>1539</v>
      </c>
    </row>
    <row r="1344" spans="1:4">
      <c r="A1344" s="30">
        <v>1540</v>
      </c>
      <c r="B1344" s="42" t="s">
        <v>3372</v>
      </c>
      <c r="D1344" s="57">
        <f t="shared" si="20"/>
        <v>1540</v>
      </c>
    </row>
    <row r="1345" spans="1:4">
      <c r="A1345" s="30">
        <v>1541</v>
      </c>
      <c r="B1345" s="42" t="s">
        <v>3372</v>
      </c>
      <c r="D1345" s="57">
        <f t="shared" si="20"/>
        <v>1541</v>
      </c>
    </row>
    <row r="1346" spans="1:4">
      <c r="A1346" s="30">
        <v>1542</v>
      </c>
      <c r="B1346" s="42" t="s">
        <v>3372</v>
      </c>
      <c r="D1346" s="57">
        <f t="shared" ref="D1346:D1409" si="21">$A1346</f>
        <v>1542</v>
      </c>
    </row>
    <row r="1347" spans="1:4">
      <c r="A1347" s="30">
        <v>1543</v>
      </c>
      <c r="B1347" s="42" t="s">
        <v>3372</v>
      </c>
      <c r="D1347" s="57">
        <f t="shared" si="21"/>
        <v>1543</v>
      </c>
    </row>
    <row r="1348" spans="1:4">
      <c r="A1348" s="30">
        <v>1544</v>
      </c>
      <c r="B1348" s="42" t="s">
        <v>3372</v>
      </c>
      <c r="D1348" s="57">
        <f t="shared" si="21"/>
        <v>1544</v>
      </c>
    </row>
    <row r="1349" spans="1:4">
      <c r="A1349" s="30">
        <v>1545</v>
      </c>
      <c r="B1349" s="42" t="s">
        <v>3372</v>
      </c>
      <c r="D1349" s="57">
        <f t="shared" si="21"/>
        <v>1545</v>
      </c>
    </row>
    <row r="1350" spans="1:4">
      <c r="A1350" s="30">
        <v>1546</v>
      </c>
      <c r="B1350" s="42" t="s">
        <v>3372</v>
      </c>
      <c r="D1350" s="57">
        <f t="shared" si="21"/>
        <v>1546</v>
      </c>
    </row>
    <row r="1351" spans="1:4">
      <c r="A1351" s="30">
        <v>1547</v>
      </c>
      <c r="B1351" s="42" t="s">
        <v>3372</v>
      </c>
      <c r="D1351" s="57">
        <f t="shared" si="21"/>
        <v>1547</v>
      </c>
    </row>
    <row r="1352" spans="1:4">
      <c r="A1352" s="30">
        <v>1548</v>
      </c>
      <c r="B1352" s="42" t="s">
        <v>3372</v>
      </c>
      <c r="D1352" s="57">
        <f t="shared" si="21"/>
        <v>1548</v>
      </c>
    </row>
    <row r="1353" spans="1:4">
      <c r="A1353" s="30">
        <v>1549</v>
      </c>
      <c r="B1353" s="42" t="s">
        <v>3372</v>
      </c>
      <c r="D1353" s="57">
        <f t="shared" si="21"/>
        <v>1549</v>
      </c>
    </row>
    <row r="1354" spans="1:4">
      <c r="A1354" s="30">
        <v>1550</v>
      </c>
      <c r="B1354" s="42" t="s">
        <v>3372</v>
      </c>
      <c r="D1354" s="57">
        <f t="shared" si="21"/>
        <v>1550</v>
      </c>
    </row>
    <row r="1355" spans="1:4">
      <c r="A1355" s="30">
        <v>1551</v>
      </c>
      <c r="B1355" s="42" t="s">
        <v>3372</v>
      </c>
      <c r="D1355" s="57">
        <f t="shared" si="21"/>
        <v>1551</v>
      </c>
    </row>
    <row r="1356" spans="1:4">
      <c r="A1356" s="30">
        <v>1552</v>
      </c>
      <c r="B1356" s="42" t="s">
        <v>3372</v>
      </c>
      <c r="D1356" s="57">
        <f t="shared" si="21"/>
        <v>1552</v>
      </c>
    </row>
    <row r="1357" spans="1:4">
      <c r="A1357" s="30">
        <v>1553</v>
      </c>
      <c r="B1357" s="42" t="s">
        <v>3372</v>
      </c>
      <c r="D1357" s="57">
        <f t="shared" si="21"/>
        <v>1553</v>
      </c>
    </row>
    <row r="1358" spans="1:4">
      <c r="A1358" s="30">
        <v>1554</v>
      </c>
      <c r="B1358" s="42" t="s">
        <v>3372</v>
      </c>
      <c r="D1358" s="57">
        <f t="shared" si="21"/>
        <v>1554</v>
      </c>
    </row>
    <row r="1359" spans="1:4">
      <c r="A1359" s="30">
        <v>1555</v>
      </c>
      <c r="B1359" s="42" t="s">
        <v>3372</v>
      </c>
      <c r="D1359" s="57">
        <f t="shared" si="21"/>
        <v>1555</v>
      </c>
    </row>
    <row r="1360" spans="1:4">
      <c r="A1360" s="30">
        <v>1556</v>
      </c>
      <c r="B1360" s="42" t="s">
        <v>3372</v>
      </c>
      <c r="D1360" s="57">
        <f t="shared" si="21"/>
        <v>1556</v>
      </c>
    </row>
    <row r="1361" spans="1:4">
      <c r="A1361" s="30">
        <v>1557</v>
      </c>
      <c r="B1361" s="42" t="s">
        <v>3372</v>
      </c>
      <c r="D1361" s="57">
        <f t="shared" si="21"/>
        <v>1557</v>
      </c>
    </row>
    <row r="1362" spans="1:4">
      <c r="A1362" s="30">
        <v>1558</v>
      </c>
      <c r="B1362" s="42" t="s">
        <v>3372</v>
      </c>
      <c r="D1362" s="57">
        <f t="shared" si="21"/>
        <v>1558</v>
      </c>
    </row>
    <row r="1363" spans="1:4">
      <c r="A1363" s="30">
        <v>1559</v>
      </c>
      <c r="B1363" s="42" t="s">
        <v>3372</v>
      </c>
      <c r="D1363" s="57">
        <f t="shared" si="21"/>
        <v>1559</v>
      </c>
    </row>
    <row r="1364" spans="1:4">
      <c r="A1364" s="30">
        <v>1560</v>
      </c>
      <c r="B1364" s="42" t="s">
        <v>3372</v>
      </c>
      <c r="D1364" s="57">
        <f t="shared" si="21"/>
        <v>1560</v>
      </c>
    </row>
    <row r="1365" spans="1:4">
      <c r="A1365" s="30">
        <v>1561</v>
      </c>
      <c r="B1365" s="42" t="s">
        <v>3372</v>
      </c>
      <c r="D1365" s="57">
        <f t="shared" si="21"/>
        <v>1561</v>
      </c>
    </row>
    <row r="1366" spans="1:4">
      <c r="A1366" s="30">
        <v>1562</v>
      </c>
      <c r="B1366" s="42" t="s">
        <v>3372</v>
      </c>
      <c r="D1366" s="57">
        <f t="shared" si="21"/>
        <v>1562</v>
      </c>
    </row>
    <row r="1367" spans="1:4">
      <c r="A1367" s="30">
        <v>1563</v>
      </c>
      <c r="B1367" s="42" t="s">
        <v>3372</v>
      </c>
      <c r="D1367" s="57">
        <f t="shared" si="21"/>
        <v>1563</v>
      </c>
    </row>
    <row r="1368" spans="1:4">
      <c r="A1368" s="30">
        <v>1564</v>
      </c>
      <c r="B1368" s="42" t="s">
        <v>3372</v>
      </c>
      <c r="D1368" s="57">
        <f t="shared" si="21"/>
        <v>1564</v>
      </c>
    </row>
    <row r="1369" spans="1:4">
      <c r="A1369" s="30">
        <v>1565</v>
      </c>
      <c r="B1369" s="42" t="s">
        <v>3372</v>
      </c>
      <c r="D1369" s="57">
        <f t="shared" si="21"/>
        <v>1565</v>
      </c>
    </row>
    <row r="1370" spans="1:4">
      <c r="A1370" s="30">
        <v>1566</v>
      </c>
      <c r="B1370" s="42" t="s">
        <v>3372</v>
      </c>
      <c r="D1370" s="57">
        <f t="shared" si="21"/>
        <v>1566</v>
      </c>
    </row>
    <row r="1371" spans="1:4">
      <c r="A1371" s="30">
        <v>1567</v>
      </c>
      <c r="B1371" s="42" t="s">
        <v>3372</v>
      </c>
      <c r="D1371" s="57">
        <f t="shared" si="21"/>
        <v>1567</v>
      </c>
    </row>
    <row r="1372" spans="1:4">
      <c r="A1372" s="30">
        <v>1568</v>
      </c>
      <c r="B1372" s="42" t="s">
        <v>3372</v>
      </c>
      <c r="D1372" s="57">
        <f t="shared" si="21"/>
        <v>1568</v>
      </c>
    </row>
    <row r="1373" spans="1:4">
      <c r="A1373" s="30">
        <v>1569</v>
      </c>
      <c r="B1373" s="42" t="s">
        <v>3372</v>
      </c>
      <c r="D1373" s="57">
        <f t="shared" si="21"/>
        <v>1569</v>
      </c>
    </row>
    <row r="1374" spans="1:4">
      <c r="A1374" s="30">
        <v>1570</v>
      </c>
      <c r="B1374" s="42" t="s">
        <v>3372</v>
      </c>
      <c r="D1374" s="57">
        <f t="shared" si="21"/>
        <v>1570</v>
      </c>
    </row>
    <row r="1375" spans="1:4">
      <c r="A1375" s="30">
        <v>1571</v>
      </c>
      <c r="B1375" s="42" t="s">
        <v>3372</v>
      </c>
      <c r="D1375" s="57">
        <f t="shared" si="21"/>
        <v>1571</v>
      </c>
    </row>
    <row r="1376" spans="1:4">
      <c r="A1376" s="30">
        <v>1572</v>
      </c>
      <c r="B1376" s="42" t="s">
        <v>3372</v>
      </c>
      <c r="D1376" s="57">
        <f t="shared" si="21"/>
        <v>1572</v>
      </c>
    </row>
    <row r="1377" spans="1:4">
      <c r="A1377" s="30">
        <v>1573</v>
      </c>
      <c r="B1377" s="42" t="s">
        <v>3372</v>
      </c>
      <c r="D1377" s="57">
        <f t="shared" si="21"/>
        <v>1573</v>
      </c>
    </row>
    <row r="1378" spans="1:4">
      <c r="A1378" s="30">
        <v>1574</v>
      </c>
      <c r="B1378" s="42" t="s">
        <v>3372</v>
      </c>
      <c r="D1378" s="57">
        <f t="shared" si="21"/>
        <v>1574</v>
      </c>
    </row>
    <row r="1379" spans="1:4">
      <c r="A1379" s="30">
        <v>1575</v>
      </c>
      <c r="B1379" s="42" t="s">
        <v>3372</v>
      </c>
      <c r="D1379" s="57">
        <f t="shared" si="21"/>
        <v>1575</v>
      </c>
    </row>
    <row r="1380" spans="1:4">
      <c r="A1380" s="30">
        <v>1576</v>
      </c>
      <c r="B1380" s="42" t="s">
        <v>3372</v>
      </c>
      <c r="D1380" s="57">
        <f t="shared" si="21"/>
        <v>1576</v>
      </c>
    </row>
    <row r="1381" spans="1:4">
      <c r="A1381" s="30">
        <v>1577</v>
      </c>
      <c r="B1381" s="42" t="s">
        <v>3372</v>
      </c>
      <c r="D1381" s="57">
        <f t="shared" si="21"/>
        <v>1577</v>
      </c>
    </row>
    <row r="1382" spans="1:4">
      <c r="A1382" s="30">
        <v>1578</v>
      </c>
      <c r="B1382" s="42" t="s">
        <v>3372</v>
      </c>
      <c r="D1382" s="57">
        <f t="shared" si="21"/>
        <v>1578</v>
      </c>
    </row>
    <row r="1383" spans="1:4">
      <c r="A1383" s="30">
        <v>1579</v>
      </c>
      <c r="B1383" s="42" t="s">
        <v>3372</v>
      </c>
      <c r="D1383" s="57">
        <f t="shared" si="21"/>
        <v>1579</v>
      </c>
    </row>
    <row r="1384" spans="1:4">
      <c r="A1384" s="30">
        <v>1580</v>
      </c>
      <c r="B1384" s="42" t="s">
        <v>3372</v>
      </c>
      <c r="D1384" s="57">
        <f t="shared" si="21"/>
        <v>1580</v>
      </c>
    </row>
    <row r="1385" spans="1:4">
      <c r="A1385" s="30">
        <v>1581</v>
      </c>
      <c r="B1385" s="42" t="s">
        <v>3372</v>
      </c>
      <c r="D1385" s="57">
        <f t="shared" si="21"/>
        <v>1581</v>
      </c>
    </row>
    <row r="1386" spans="1:4">
      <c r="A1386" s="30">
        <v>1582</v>
      </c>
      <c r="B1386" s="42" t="s">
        <v>3372</v>
      </c>
      <c r="D1386" s="57">
        <f t="shared" si="21"/>
        <v>1582</v>
      </c>
    </row>
    <row r="1387" spans="1:4">
      <c r="A1387" s="30">
        <v>1583</v>
      </c>
      <c r="B1387" s="42" t="s">
        <v>3372</v>
      </c>
      <c r="D1387" s="57">
        <f t="shared" si="21"/>
        <v>1583</v>
      </c>
    </row>
    <row r="1388" spans="1:4">
      <c r="A1388" s="30">
        <v>1584</v>
      </c>
      <c r="B1388" s="42" t="s">
        <v>3372</v>
      </c>
      <c r="D1388" s="57">
        <f t="shared" si="21"/>
        <v>1584</v>
      </c>
    </row>
    <row r="1389" spans="1:4">
      <c r="A1389" s="30">
        <v>1585</v>
      </c>
      <c r="B1389" s="42" t="s">
        <v>3372</v>
      </c>
      <c r="D1389" s="57">
        <f t="shared" si="21"/>
        <v>1585</v>
      </c>
    </row>
    <row r="1390" spans="1:4">
      <c r="A1390" s="30">
        <v>1586</v>
      </c>
      <c r="B1390" s="42" t="s">
        <v>3372</v>
      </c>
      <c r="D1390" s="57">
        <f t="shared" si="21"/>
        <v>1586</v>
      </c>
    </row>
    <row r="1391" spans="1:4">
      <c r="A1391" s="30">
        <v>1587</v>
      </c>
      <c r="B1391" s="42" t="s">
        <v>3372</v>
      </c>
      <c r="D1391" s="57">
        <f t="shared" si="21"/>
        <v>1587</v>
      </c>
    </row>
    <row r="1392" spans="1:4">
      <c r="A1392" s="30">
        <v>1588</v>
      </c>
      <c r="B1392" s="42" t="s">
        <v>3372</v>
      </c>
      <c r="D1392" s="57">
        <f t="shared" si="21"/>
        <v>1588</v>
      </c>
    </row>
    <row r="1393" spans="1:4">
      <c r="A1393" s="30">
        <v>1589</v>
      </c>
      <c r="B1393" s="42" t="s">
        <v>3372</v>
      </c>
      <c r="D1393" s="57">
        <f t="shared" si="21"/>
        <v>1589</v>
      </c>
    </row>
    <row r="1394" spans="1:4">
      <c r="A1394" s="30">
        <v>1590</v>
      </c>
      <c r="B1394" s="42" t="s">
        <v>3372</v>
      </c>
      <c r="D1394" s="57">
        <f t="shared" si="21"/>
        <v>1590</v>
      </c>
    </row>
    <row r="1395" spans="1:4">
      <c r="A1395" s="30">
        <v>1591</v>
      </c>
      <c r="B1395" s="42" t="s">
        <v>3372</v>
      </c>
      <c r="D1395" s="57">
        <f t="shared" si="21"/>
        <v>1591</v>
      </c>
    </row>
    <row r="1396" spans="1:4">
      <c r="A1396" s="30">
        <v>1592</v>
      </c>
      <c r="B1396" s="42" t="s">
        <v>3372</v>
      </c>
      <c r="D1396" s="57">
        <f t="shared" si="21"/>
        <v>1592</v>
      </c>
    </row>
    <row r="1397" spans="1:4">
      <c r="A1397" s="30">
        <v>1593</v>
      </c>
      <c r="B1397" s="42" t="s">
        <v>3372</v>
      </c>
      <c r="D1397" s="57">
        <f t="shared" si="21"/>
        <v>1593</v>
      </c>
    </row>
    <row r="1398" spans="1:4">
      <c r="A1398" s="30">
        <v>1594</v>
      </c>
      <c r="B1398" s="42" t="s">
        <v>3372</v>
      </c>
      <c r="D1398" s="57">
        <f t="shared" si="21"/>
        <v>1594</v>
      </c>
    </row>
    <row r="1399" spans="1:4">
      <c r="A1399" s="30">
        <v>1595</v>
      </c>
      <c r="B1399" s="42" t="s">
        <v>3372</v>
      </c>
      <c r="D1399" s="57">
        <f t="shared" si="21"/>
        <v>1595</v>
      </c>
    </row>
    <row r="1400" spans="1:4">
      <c r="A1400" s="30">
        <v>1596</v>
      </c>
      <c r="B1400" s="42" t="s">
        <v>3372</v>
      </c>
      <c r="D1400" s="57">
        <f t="shared" si="21"/>
        <v>1596</v>
      </c>
    </row>
    <row r="1401" spans="1:4">
      <c r="A1401" s="30">
        <v>1597</v>
      </c>
      <c r="B1401" s="42" t="s">
        <v>3372</v>
      </c>
      <c r="D1401" s="57">
        <f t="shared" si="21"/>
        <v>1597</v>
      </c>
    </row>
    <row r="1402" spans="1:4">
      <c r="A1402" s="30">
        <v>1598</v>
      </c>
      <c r="B1402" s="42" t="s">
        <v>3372</v>
      </c>
      <c r="D1402" s="57">
        <f t="shared" si="21"/>
        <v>1598</v>
      </c>
    </row>
    <row r="1403" spans="1:4">
      <c r="A1403" s="30">
        <v>1599</v>
      </c>
      <c r="B1403" s="42" t="s">
        <v>3372</v>
      </c>
      <c r="D1403" s="57">
        <f t="shared" si="21"/>
        <v>1599</v>
      </c>
    </row>
    <row r="1404" spans="1:4">
      <c r="A1404" s="30">
        <v>1600</v>
      </c>
      <c r="B1404" s="42" t="s">
        <v>3372</v>
      </c>
      <c r="D1404" s="57">
        <f t="shared" si="21"/>
        <v>1600</v>
      </c>
    </row>
    <row r="1405" spans="1:4">
      <c r="A1405" s="30">
        <v>1601</v>
      </c>
      <c r="B1405" s="42" t="s">
        <v>3372</v>
      </c>
      <c r="D1405" s="57">
        <f t="shared" si="21"/>
        <v>1601</v>
      </c>
    </row>
    <row r="1406" spans="1:4">
      <c r="A1406" s="30">
        <v>1602</v>
      </c>
      <c r="B1406" s="42" t="s">
        <v>3372</v>
      </c>
      <c r="D1406" s="57">
        <f t="shared" si="21"/>
        <v>1602</v>
      </c>
    </row>
    <row r="1407" spans="1:4">
      <c r="A1407" s="30">
        <v>1603</v>
      </c>
      <c r="B1407" s="42" t="s">
        <v>3372</v>
      </c>
      <c r="D1407" s="57">
        <f t="shared" si="21"/>
        <v>1603</v>
      </c>
    </row>
    <row r="1408" spans="1:4">
      <c r="A1408" s="30">
        <v>1604</v>
      </c>
      <c r="B1408" s="42" t="s">
        <v>3372</v>
      </c>
      <c r="D1408" s="57">
        <f t="shared" si="21"/>
        <v>1604</v>
      </c>
    </row>
    <row r="1409" spans="1:4">
      <c r="A1409" s="30">
        <v>1605</v>
      </c>
      <c r="B1409" s="42" t="s">
        <v>3372</v>
      </c>
      <c r="D1409" s="57">
        <f t="shared" si="21"/>
        <v>1605</v>
      </c>
    </row>
    <row r="1410" spans="1:4">
      <c r="A1410" s="30">
        <v>1606</v>
      </c>
      <c r="B1410" s="42" t="s">
        <v>3372</v>
      </c>
      <c r="D1410" s="57">
        <f t="shared" ref="D1410:D1436" si="22">$A1410</f>
        <v>1606</v>
      </c>
    </row>
    <row r="1411" spans="1:4">
      <c r="A1411" s="30">
        <v>1607</v>
      </c>
      <c r="B1411" s="42" t="s">
        <v>3372</v>
      </c>
      <c r="D1411" s="57">
        <f t="shared" si="22"/>
        <v>1607</v>
      </c>
    </row>
    <row r="1412" spans="1:4">
      <c r="A1412" s="30">
        <v>1608</v>
      </c>
      <c r="B1412" s="42" t="s">
        <v>3372</v>
      </c>
      <c r="D1412" s="57">
        <f t="shared" si="22"/>
        <v>1608</v>
      </c>
    </row>
    <row r="1413" spans="1:4">
      <c r="A1413" s="30">
        <v>1609</v>
      </c>
      <c r="B1413" s="42" t="s">
        <v>3372</v>
      </c>
      <c r="D1413" s="57">
        <f t="shared" si="22"/>
        <v>1609</v>
      </c>
    </row>
    <row r="1414" spans="1:4">
      <c r="A1414" s="30">
        <v>1610</v>
      </c>
      <c r="B1414" s="42" t="s">
        <v>3372</v>
      </c>
      <c r="D1414" s="57">
        <f t="shared" si="22"/>
        <v>1610</v>
      </c>
    </row>
    <row r="1415" spans="1:4">
      <c r="A1415" s="30">
        <v>1611</v>
      </c>
      <c r="B1415" s="42" t="s">
        <v>3372</v>
      </c>
      <c r="D1415" s="57">
        <f t="shared" si="22"/>
        <v>1611</v>
      </c>
    </row>
    <row r="1416" spans="1:4">
      <c r="A1416" s="30">
        <v>1612</v>
      </c>
      <c r="B1416" s="42" t="s">
        <v>3372</v>
      </c>
      <c r="D1416" s="57">
        <f t="shared" si="22"/>
        <v>1612</v>
      </c>
    </row>
    <row r="1417" spans="1:4">
      <c r="A1417" s="30">
        <v>1613</v>
      </c>
      <c r="B1417" s="42" t="s">
        <v>3372</v>
      </c>
      <c r="D1417" s="57">
        <f t="shared" si="22"/>
        <v>1613</v>
      </c>
    </row>
    <row r="1418" spans="1:4">
      <c r="A1418" s="30">
        <v>1614</v>
      </c>
      <c r="B1418" s="42" t="s">
        <v>3372</v>
      </c>
      <c r="D1418" s="57">
        <f t="shared" si="22"/>
        <v>1614</v>
      </c>
    </row>
    <row r="1419" spans="1:4">
      <c r="A1419" s="30">
        <v>1615</v>
      </c>
      <c r="B1419" s="42" t="s">
        <v>3372</v>
      </c>
      <c r="D1419" s="57">
        <f t="shared" si="22"/>
        <v>1615</v>
      </c>
    </row>
    <row r="1420" spans="1:4">
      <c r="A1420" s="30">
        <v>1616</v>
      </c>
      <c r="B1420" s="42" t="s">
        <v>3372</v>
      </c>
      <c r="D1420" s="57">
        <f t="shared" si="22"/>
        <v>1616</v>
      </c>
    </row>
    <row r="1421" spans="1:4">
      <c r="A1421" s="30">
        <v>1617</v>
      </c>
      <c r="B1421" s="42" t="s">
        <v>3372</v>
      </c>
      <c r="D1421" s="57">
        <f t="shared" si="22"/>
        <v>1617</v>
      </c>
    </row>
    <row r="1422" spans="1:4">
      <c r="A1422" s="30">
        <v>1618</v>
      </c>
      <c r="B1422" s="42" t="s">
        <v>3372</v>
      </c>
      <c r="D1422" s="57">
        <f t="shared" si="22"/>
        <v>1618</v>
      </c>
    </row>
    <row r="1423" spans="1:4">
      <c r="A1423" s="30">
        <v>1619</v>
      </c>
      <c r="B1423" s="42" t="s">
        <v>3372</v>
      </c>
      <c r="D1423" s="57">
        <f t="shared" si="22"/>
        <v>1619</v>
      </c>
    </row>
    <row r="1424" spans="1:4">
      <c r="A1424" s="30">
        <v>1620</v>
      </c>
      <c r="B1424" s="42" t="s">
        <v>3372</v>
      </c>
      <c r="D1424" s="57">
        <f t="shared" si="22"/>
        <v>1620</v>
      </c>
    </row>
    <row r="1425" spans="1:4">
      <c r="A1425" s="30">
        <v>1621</v>
      </c>
      <c r="B1425" s="42" t="s">
        <v>3372</v>
      </c>
      <c r="D1425" s="57">
        <f t="shared" si="22"/>
        <v>1621</v>
      </c>
    </row>
    <row r="1426" spans="1:4">
      <c r="A1426" s="30">
        <v>1622</v>
      </c>
      <c r="B1426" s="42" t="s">
        <v>3372</v>
      </c>
      <c r="D1426" s="57">
        <f t="shared" si="22"/>
        <v>1622</v>
      </c>
    </row>
    <row r="1427" spans="1:4">
      <c r="A1427" s="30">
        <v>1623</v>
      </c>
      <c r="B1427" s="42" t="s">
        <v>3372</v>
      </c>
      <c r="D1427" s="57">
        <f t="shared" si="22"/>
        <v>1623</v>
      </c>
    </row>
    <row r="1428" spans="1:4">
      <c r="A1428" s="30">
        <v>1624</v>
      </c>
      <c r="B1428" s="42" t="s">
        <v>3372</v>
      </c>
      <c r="D1428" s="57">
        <f t="shared" si="22"/>
        <v>1624</v>
      </c>
    </row>
    <row r="1429" spans="1:4">
      <c r="A1429" s="30">
        <v>1625</v>
      </c>
      <c r="B1429" s="42" t="s">
        <v>3372</v>
      </c>
      <c r="D1429" s="57">
        <f t="shared" si="22"/>
        <v>1625</v>
      </c>
    </row>
    <row r="1430" spans="1:4">
      <c r="A1430" s="30">
        <v>1626</v>
      </c>
      <c r="B1430" s="42" t="s">
        <v>3372</v>
      </c>
      <c r="D1430" s="57">
        <f t="shared" si="22"/>
        <v>1626</v>
      </c>
    </row>
    <row r="1431" spans="1:4">
      <c r="A1431" s="30">
        <v>1627</v>
      </c>
      <c r="B1431" s="42" t="s">
        <v>3372</v>
      </c>
      <c r="D1431" s="57">
        <f t="shared" si="22"/>
        <v>1627</v>
      </c>
    </row>
    <row r="1432" spans="1:4">
      <c r="A1432" s="30">
        <v>1628</v>
      </c>
      <c r="B1432" s="42" t="s">
        <v>3372</v>
      </c>
      <c r="D1432" s="57">
        <f t="shared" si="22"/>
        <v>1628</v>
      </c>
    </row>
    <row r="1433" spans="1:4">
      <c r="A1433" s="30">
        <v>1629</v>
      </c>
      <c r="B1433" s="42" t="s">
        <v>3372</v>
      </c>
      <c r="D1433" s="57">
        <f t="shared" si="22"/>
        <v>1629</v>
      </c>
    </row>
    <row r="1434" spans="1:4">
      <c r="A1434" s="30">
        <v>1630</v>
      </c>
      <c r="B1434" s="42" t="s">
        <v>3372</v>
      </c>
      <c r="D1434" s="57">
        <f t="shared" si="22"/>
        <v>1630</v>
      </c>
    </row>
    <row r="1435" spans="1:4">
      <c r="A1435" s="30">
        <v>1631</v>
      </c>
      <c r="B1435" s="42" t="s">
        <v>3372</v>
      </c>
      <c r="D1435" s="57">
        <f t="shared" si="22"/>
        <v>1631</v>
      </c>
    </row>
    <row r="1436" spans="1:4">
      <c r="A1436" s="30">
        <v>1632</v>
      </c>
      <c r="B1436" s="42" t="s">
        <v>3372</v>
      </c>
      <c r="D1436" s="57">
        <f t="shared" si="22"/>
        <v>1632</v>
      </c>
    </row>
  </sheetData>
  <hyperlinks>
    <hyperlink ref="C406" r:id="rId1" display="http://www.pantene.co.th/"/>
    <hyperlink ref="B789" r:id="rId2" display="https://www.facebook.com/pages/%E0%B9%82%E0%B8%AD%E0%B9%80%E0%B8%8A%E0%B8%B5%E0%B9%88%E0%B8%A2%E0%B8%99-%E0%B8%AD%E0%B8%B2%E0%B8%9A%E0%B8%AD%E0%B8%9A%E0%B8%99%E0%B8%A7%E0%B8%94/304604679572499"/>
    <hyperlink ref="B1155" r:id="rId3" display="http://www.tops.co.th/p/MuesliCereal/Sanitarium-Weet-Bix-Wild-Berry-500g"/>
    <hyperlink ref="C1195" r:id="rId4" display="http://www.wellhealthshop.com/product/1107/norita-by-oho-punim-%E0%B9%82%E0%B8%99%E0%B8%A3%E0%B8%B4%E0%B8%95%E0%B9%89%E0%B8%B2-%E0%B8%9A%E0%B8%B2%E0%B8%A2-%E0%B9%82%E0%B8%AD%E0%B9%89%E0%B9%82%E0%B8%AB-%E0%B8%9B%E0%B8%B9%E0%B8%99%E0%B8%B4%E0%B9%88%E0%B8%A1-%E0%B8%A5%E0%B8%94%E0%B8%99%E0%B9%89%E0%B8%B3%E0%B8%AB%E0%B8%99%E0%B8%B1%E0%B8%81-%E0%B8%AA%E0%B8%B9%E0%B8%95%E0%B8%A3%E0%B8%81%E0%B8%A5%E0%B8%B2%E0%B8%87%E0%B8%84%E0%B8%B7%E0%B8%99"/>
    <hyperlink ref="B107" r:id="rId5" display="http://wd40thailand.com/WD-40"/>
    <hyperlink ref="C1158" r:id="rId6" display="http://www.lazada.co.th/purina-one/"/>
    <hyperlink ref="C806" r:id="rId7" display="https://postjung.com/movie/show.php?id=728"/>
    <hyperlink ref="C1165" r:id="rId8" display="http://www.dognjoy.com/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9DAF8"/>
  </sheetPr>
  <dimension ref="A1:M20"/>
  <sheetViews>
    <sheetView workbookViewId="0">
      <selection activeCell="E12" sqref="E12"/>
    </sheetView>
  </sheetViews>
  <sheetFormatPr defaultColWidth="14.42578125" defaultRowHeight="15.75" customHeight="1"/>
  <cols>
    <col min="1" max="1" width="7.85546875" customWidth="1"/>
    <col min="2" max="2" width="21.42578125" customWidth="1"/>
    <col min="3" max="3" width="15.42578125" customWidth="1"/>
    <col min="4" max="4" width="11.42578125" customWidth="1"/>
    <col min="5" max="5" width="29.42578125" customWidth="1"/>
    <col min="6" max="6" width="19.42578125" customWidth="1"/>
    <col min="7" max="7" width="11.42578125" customWidth="1"/>
    <col min="8" max="8" width="29.42578125" customWidth="1"/>
    <col min="9" max="9" width="19.42578125" customWidth="1"/>
    <col min="11" max="11" width="6" customWidth="1"/>
  </cols>
  <sheetData>
    <row r="1" spans="1:13" ht="15.75" customHeight="1">
      <c r="A1" s="20" t="s">
        <v>1389</v>
      </c>
      <c r="B1" s="21" t="s">
        <v>1390</v>
      </c>
      <c r="C1" s="21" t="s">
        <v>1391</v>
      </c>
      <c r="D1" s="20" t="s">
        <v>1392</v>
      </c>
      <c r="E1" s="21" t="s">
        <v>1393</v>
      </c>
      <c r="F1" s="21" t="s">
        <v>1394</v>
      </c>
      <c r="G1" s="20" t="s">
        <v>1395</v>
      </c>
      <c r="H1" s="21" t="s">
        <v>1396</v>
      </c>
      <c r="I1" s="21" t="s">
        <v>1397</v>
      </c>
      <c r="J1" s="22" t="s">
        <v>71</v>
      </c>
      <c r="K1" s="22"/>
      <c r="L1" s="23"/>
      <c r="M1" s="23"/>
    </row>
    <row r="2" spans="1:13" ht="15.75" customHeight="1">
      <c r="A2" s="24">
        <v>1</v>
      </c>
      <c r="B2" s="25" t="s">
        <v>1398</v>
      </c>
      <c r="C2" s="25" t="s">
        <v>1399</v>
      </c>
      <c r="D2" s="23"/>
      <c r="E2" s="36"/>
      <c r="F2" s="26"/>
      <c r="G2" s="27"/>
      <c r="H2" s="29"/>
      <c r="I2" s="26"/>
      <c r="J2" s="36" t="str">
        <f t="shared" ref="J2:J7" si="0">A2&amp;"-"&amp;B2</f>
        <v>1-Coffee Shop</v>
      </c>
      <c r="K2" s="30">
        <f t="shared" ref="K2:K7" si="1">A2</f>
        <v>1</v>
      </c>
      <c r="L2" s="23"/>
      <c r="M2" s="23"/>
    </row>
    <row r="3" spans="1:13" ht="15.75" customHeight="1">
      <c r="A3" s="24">
        <v>2</v>
      </c>
      <c r="B3" s="25" t="s">
        <v>1400</v>
      </c>
      <c r="C3" s="25" t="s">
        <v>1401</v>
      </c>
      <c r="D3" s="23"/>
      <c r="E3" s="36"/>
      <c r="F3" s="26"/>
      <c r="G3" s="27"/>
      <c r="H3" s="29"/>
      <c r="I3" s="26"/>
      <c r="J3" s="36" t="str">
        <f t="shared" si="0"/>
        <v>2-Retailer</v>
      </c>
      <c r="K3" s="30">
        <f t="shared" si="1"/>
        <v>2</v>
      </c>
      <c r="L3" s="23"/>
      <c r="M3" s="23"/>
    </row>
    <row r="4" spans="1:13" ht="15.75" customHeight="1">
      <c r="A4" s="24">
        <v>3</v>
      </c>
      <c r="B4" s="25" t="s">
        <v>1402</v>
      </c>
      <c r="C4" s="25" t="s">
        <v>1403</v>
      </c>
      <c r="D4" s="23"/>
      <c r="E4" s="36"/>
      <c r="F4" s="26"/>
      <c r="G4" s="27"/>
      <c r="H4" s="29"/>
      <c r="I4" s="26"/>
      <c r="J4" s="36" t="str">
        <f t="shared" si="0"/>
        <v>3-Hotel</v>
      </c>
      <c r="K4" s="30">
        <f t="shared" si="1"/>
        <v>3</v>
      </c>
      <c r="L4" s="23"/>
      <c r="M4" s="23"/>
    </row>
    <row r="5" spans="1:13" ht="15.75" customHeight="1">
      <c r="A5" s="24">
        <v>4</v>
      </c>
      <c r="B5" s="25" t="s">
        <v>1404</v>
      </c>
      <c r="C5" s="25" t="s">
        <v>1405</v>
      </c>
      <c r="D5" s="23"/>
      <c r="E5" s="36"/>
      <c r="F5" s="26"/>
      <c r="G5" s="27"/>
      <c r="H5" s="29"/>
      <c r="I5" s="26"/>
      <c r="J5" s="36" t="str">
        <f t="shared" si="0"/>
        <v>4-Restaurant</v>
      </c>
      <c r="K5" s="30">
        <f t="shared" si="1"/>
        <v>4</v>
      </c>
      <c r="L5" s="23"/>
      <c r="M5" s="23"/>
    </row>
    <row r="6" spans="1:13" ht="15.75" customHeight="1">
      <c r="A6" s="24">
        <v>5</v>
      </c>
      <c r="B6" s="25" t="s">
        <v>1406</v>
      </c>
      <c r="C6" s="25" t="s">
        <v>1407</v>
      </c>
      <c r="D6" s="23"/>
      <c r="E6" s="36"/>
      <c r="F6" s="26"/>
      <c r="G6" s="27"/>
      <c r="H6" s="29"/>
      <c r="I6" s="26"/>
      <c r="J6" s="36" t="str">
        <f t="shared" si="0"/>
        <v>5-Other</v>
      </c>
      <c r="K6" s="30">
        <f t="shared" si="1"/>
        <v>5</v>
      </c>
      <c r="L6" s="23"/>
      <c r="M6" s="23"/>
    </row>
    <row r="7" spans="1:13" ht="15.75" customHeight="1">
      <c r="A7" s="24">
        <v>6</v>
      </c>
      <c r="B7" s="25" t="s">
        <v>1408</v>
      </c>
      <c r="C7" s="25" t="s">
        <v>1409</v>
      </c>
      <c r="D7" s="23"/>
      <c r="E7" s="36"/>
      <c r="F7" s="26"/>
      <c r="G7" s="27"/>
      <c r="H7" s="29"/>
      <c r="I7" s="26"/>
      <c r="J7" s="36" t="str">
        <f t="shared" si="0"/>
        <v>6-Bakery shop</v>
      </c>
      <c r="K7" s="30">
        <f t="shared" si="1"/>
        <v>6</v>
      </c>
      <c r="L7" s="23"/>
      <c r="M7" s="23"/>
    </row>
    <row r="8" spans="1:13" ht="15.75" customHeight="1">
      <c r="A8" s="27"/>
      <c r="B8" s="29"/>
      <c r="C8" s="26"/>
      <c r="D8" s="27"/>
      <c r="E8" s="29"/>
      <c r="F8" s="26"/>
      <c r="G8" s="27"/>
      <c r="H8" s="29"/>
      <c r="I8" s="26"/>
      <c r="J8" s="36"/>
      <c r="K8" s="36"/>
      <c r="L8" s="23"/>
      <c r="M8" s="23"/>
    </row>
    <row r="9" spans="1:13" ht="15.75" customHeight="1">
      <c r="A9" s="27"/>
      <c r="B9" s="29"/>
      <c r="C9" s="26"/>
      <c r="D9" s="27"/>
      <c r="E9" s="29"/>
      <c r="F9" s="26"/>
      <c r="G9" s="27"/>
      <c r="H9" s="29"/>
      <c r="I9" s="26"/>
      <c r="J9" s="23"/>
      <c r="K9" s="23"/>
      <c r="L9" s="23"/>
      <c r="M9" s="23"/>
    </row>
    <row r="10" spans="1:13" ht="15.75" customHeight="1">
      <c r="A10" s="27"/>
      <c r="B10" s="29"/>
      <c r="C10" s="26"/>
      <c r="D10" s="27"/>
      <c r="E10" s="29"/>
      <c r="F10" s="26"/>
      <c r="G10" s="27"/>
      <c r="H10" s="29"/>
      <c r="I10" s="26"/>
      <c r="J10" s="23"/>
      <c r="K10" s="23"/>
      <c r="L10" s="23"/>
      <c r="M10" s="23"/>
    </row>
    <row r="11" spans="1:13" ht="15.75" customHeight="1">
      <c r="A11" s="27"/>
      <c r="B11" s="29"/>
      <c r="C11" s="26"/>
      <c r="D11" s="27"/>
      <c r="E11" s="29"/>
      <c r="F11" s="26"/>
      <c r="G11" s="27"/>
      <c r="H11" s="29"/>
      <c r="I11" s="26"/>
      <c r="J11" s="23"/>
      <c r="K11" s="23"/>
      <c r="L11" s="23"/>
      <c r="M11" s="23"/>
    </row>
    <row r="12" spans="1:13" ht="15.75" customHeight="1">
      <c r="A12" s="27"/>
      <c r="B12" s="29"/>
      <c r="C12" s="26"/>
      <c r="D12" s="27"/>
      <c r="E12" s="29"/>
      <c r="F12" s="26"/>
      <c r="G12" s="27"/>
      <c r="H12" s="29"/>
      <c r="I12" s="26"/>
      <c r="J12" s="23"/>
      <c r="K12" s="23"/>
      <c r="L12" s="23"/>
      <c r="M12" s="23"/>
    </row>
    <row r="13" spans="1:13" ht="15.75" customHeight="1">
      <c r="A13" s="27"/>
      <c r="B13" s="29"/>
      <c r="C13" s="26"/>
      <c r="D13" s="27"/>
      <c r="E13" s="29"/>
      <c r="F13" s="26"/>
      <c r="G13" s="27"/>
      <c r="H13" s="29"/>
      <c r="I13" s="26"/>
      <c r="J13" s="23"/>
      <c r="K13" s="23"/>
      <c r="L13" s="23"/>
      <c r="M13" s="23"/>
    </row>
    <row r="14" spans="1:13" ht="15.75" customHeight="1">
      <c r="A14" s="27"/>
      <c r="B14" s="29"/>
      <c r="C14" s="26"/>
      <c r="D14" s="27"/>
      <c r="E14" s="29"/>
      <c r="F14" s="26"/>
      <c r="G14" s="27"/>
      <c r="H14" s="29"/>
      <c r="I14" s="26"/>
      <c r="J14" s="23"/>
      <c r="K14" s="23"/>
      <c r="L14" s="23"/>
      <c r="M14" s="23"/>
    </row>
    <row r="15" spans="1:13" ht="15.75" customHeight="1">
      <c r="A15" s="27"/>
      <c r="B15" s="29"/>
      <c r="C15" s="26"/>
      <c r="D15" s="27"/>
      <c r="E15" s="29"/>
      <c r="F15" s="26"/>
      <c r="G15" s="27"/>
      <c r="H15" s="29"/>
      <c r="I15" s="26"/>
      <c r="J15" s="23"/>
      <c r="K15" s="23"/>
      <c r="L15" s="23"/>
      <c r="M15" s="23"/>
    </row>
    <row r="16" spans="1:13" ht="15.75" customHeight="1">
      <c r="A16" s="27"/>
      <c r="B16" s="29"/>
      <c r="C16" s="26"/>
      <c r="D16" s="27"/>
      <c r="E16" s="29"/>
      <c r="F16" s="26"/>
      <c r="G16" s="27"/>
      <c r="H16" s="29"/>
      <c r="I16" s="26"/>
      <c r="J16" s="23"/>
      <c r="K16" s="23"/>
      <c r="L16" s="23"/>
      <c r="M16" s="23"/>
    </row>
    <row r="17" spans="1:13" ht="15.75" customHeight="1">
      <c r="A17" s="27"/>
      <c r="B17" s="29"/>
      <c r="C17" s="26"/>
      <c r="D17" s="27"/>
      <c r="E17" s="29"/>
      <c r="F17" s="26"/>
      <c r="G17" s="27"/>
      <c r="H17" s="29"/>
      <c r="I17" s="26"/>
      <c r="J17" s="23"/>
      <c r="K17" s="23"/>
      <c r="L17" s="23"/>
      <c r="M17" s="23"/>
    </row>
    <row r="18" spans="1:13" ht="15.75" customHeight="1">
      <c r="A18" s="27"/>
      <c r="B18" s="29"/>
      <c r="C18" s="26"/>
      <c r="D18" s="27"/>
      <c r="E18" s="29"/>
      <c r="F18" s="26"/>
      <c r="G18" s="27"/>
      <c r="H18" s="29"/>
      <c r="I18" s="26"/>
      <c r="J18" s="23"/>
      <c r="K18" s="23"/>
      <c r="L18" s="23"/>
      <c r="M18" s="23"/>
    </row>
    <row r="19" spans="1:13" ht="15.75" customHeight="1">
      <c r="A19" s="27"/>
      <c r="B19" s="29"/>
      <c r="C19" s="26"/>
      <c r="D19" s="27"/>
      <c r="E19" s="29"/>
      <c r="F19" s="26"/>
      <c r="G19" s="27"/>
      <c r="H19" s="29"/>
      <c r="I19" s="26"/>
      <c r="J19" s="23"/>
      <c r="K19" s="23"/>
      <c r="L19" s="23"/>
      <c r="M19" s="23"/>
    </row>
    <row r="20" spans="1:13" ht="15.75" customHeight="1">
      <c r="A20" s="27"/>
      <c r="B20" s="29"/>
      <c r="C20" s="26"/>
      <c r="D20" s="27"/>
      <c r="E20" s="29"/>
      <c r="F20" s="26"/>
      <c r="G20" s="27"/>
      <c r="H20" s="29"/>
      <c r="I20" s="26"/>
      <c r="J20" s="23"/>
      <c r="K20" s="23"/>
      <c r="L20" s="23"/>
      <c r="M20" s="23"/>
    </row>
  </sheetData>
  <pageMargins left="0" right="0" top="0" bottom="0" header="0" footer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9DAF8"/>
  </sheetPr>
  <dimension ref="A1:P170"/>
  <sheetViews>
    <sheetView topLeftCell="I1" workbookViewId="0">
      <pane ySplit="1" topLeftCell="A5" activePane="bottomLeft" state="frozen"/>
      <selection pane="bottomLeft" activeCell="F19" sqref="F19"/>
    </sheetView>
  </sheetViews>
  <sheetFormatPr defaultColWidth="14.42578125" defaultRowHeight="15.75" customHeight="1"/>
  <cols>
    <col min="1" max="1" width="10" style="43" customWidth="1"/>
    <col min="2" max="2" width="24.42578125" style="43" customWidth="1"/>
    <col min="3" max="3" width="23.28515625" style="43" customWidth="1"/>
    <col min="4" max="4" width="13.42578125" style="43" customWidth="1"/>
    <col min="5" max="5" width="25.28515625" style="43" customWidth="1"/>
    <col min="6" max="6" width="46" style="43" customWidth="1"/>
    <col min="7" max="7" width="12.28515625" style="43" customWidth="1"/>
    <col min="8" max="8" width="34.7109375" style="43" customWidth="1"/>
    <col min="9" max="9" width="34.28515625" style="43" customWidth="1"/>
    <col min="10" max="10" width="27" style="43" customWidth="1"/>
    <col min="11" max="11" width="28.42578125" style="43" customWidth="1"/>
    <col min="12" max="12" width="28.85546875" style="43" customWidth="1"/>
    <col min="13" max="16" width="8.42578125" style="43" customWidth="1"/>
    <col min="17" max="16384" width="14.42578125" style="43"/>
  </cols>
  <sheetData>
    <row r="1" spans="1:16" ht="15.75" customHeight="1">
      <c r="A1" s="72" t="s">
        <v>1389</v>
      </c>
      <c r="B1" s="73" t="s">
        <v>1390</v>
      </c>
      <c r="C1" s="73" t="s">
        <v>1391</v>
      </c>
      <c r="D1" s="72" t="s">
        <v>1392</v>
      </c>
      <c r="E1" s="73" t="s">
        <v>1393</v>
      </c>
      <c r="F1" s="73" t="s">
        <v>1394</v>
      </c>
      <c r="G1" s="72" t="s">
        <v>1395</v>
      </c>
      <c r="H1" s="73" t="s">
        <v>1396</v>
      </c>
      <c r="I1" s="73" t="s">
        <v>1397</v>
      </c>
      <c r="J1" s="74" t="s">
        <v>87</v>
      </c>
      <c r="K1" s="74" t="s">
        <v>5269</v>
      </c>
      <c r="L1" s="74" t="s">
        <v>5270</v>
      </c>
      <c r="M1" s="74" t="s">
        <v>5271</v>
      </c>
      <c r="N1" s="74" t="s">
        <v>5272</v>
      </c>
      <c r="O1" s="74" t="s">
        <v>5273</v>
      </c>
      <c r="P1" s="74" t="s">
        <v>5274</v>
      </c>
    </row>
    <row r="2" spans="1:16" ht="15.75" customHeight="1">
      <c r="A2" s="75">
        <v>1</v>
      </c>
      <c r="B2" s="76" t="s">
        <v>1410</v>
      </c>
      <c r="C2" s="76" t="s">
        <v>1411</v>
      </c>
      <c r="D2" s="75">
        <v>7</v>
      </c>
      <c r="E2" s="76" t="s">
        <v>1412</v>
      </c>
      <c r="F2" s="76" t="s">
        <v>1413</v>
      </c>
      <c r="G2" s="75">
        <v>44</v>
      </c>
      <c r="H2" s="76" t="s">
        <v>1414</v>
      </c>
      <c r="I2" s="76" t="s">
        <v>1415</v>
      </c>
      <c r="J2" s="74" t="str">
        <f t="shared" ref="J2:J168" si="0">G2&amp;"-"&amp;H2</f>
        <v>44-Party Utensils</v>
      </c>
      <c r="K2" s="74" t="str">
        <f t="shared" ref="K2:K168" si="1">D2&amp;"-"&amp;E2</f>
        <v>7-Households Product</v>
      </c>
      <c r="L2" s="74" t="str">
        <f t="shared" ref="L2:L168" si="2">A2&amp;"-"&amp;B2</f>
        <v>1-Households</v>
      </c>
      <c r="M2" s="77">
        <f t="shared" ref="M2:M168" si="3">A2</f>
        <v>1</v>
      </c>
      <c r="N2" s="77">
        <f t="shared" ref="N2:N168" si="4">D2</f>
        <v>7</v>
      </c>
      <c r="O2" s="77">
        <f t="shared" ref="O2:O168" si="5">G2</f>
        <v>44</v>
      </c>
      <c r="P2" s="77" t="str">
        <f t="shared" ref="P2:P168" si="6">M2&amp;"|"&amp;N2&amp;"|"&amp;O2</f>
        <v>1|7|44</v>
      </c>
    </row>
    <row r="3" spans="1:16" ht="15.75" customHeight="1">
      <c r="A3" s="75">
        <v>1</v>
      </c>
      <c r="B3" s="76" t="s">
        <v>1410</v>
      </c>
      <c r="C3" s="76" t="s">
        <v>1411</v>
      </c>
      <c r="D3" s="75">
        <v>7</v>
      </c>
      <c r="E3" s="76" t="s">
        <v>1412</v>
      </c>
      <c r="F3" s="76" t="s">
        <v>1413</v>
      </c>
      <c r="G3" s="75">
        <v>45</v>
      </c>
      <c r="H3" s="76" t="s">
        <v>1416</v>
      </c>
      <c r="I3" s="76" t="s">
        <v>1417</v>
      </c>
      <c r="J3" s="74" t="str">
        <f t="shared" si="0"/>
        <v>45-Eating Utensils</v>
      </c>
      <c r="K3" s="74" t="str">
        <f t="shared" si="1"/>
        <v>7-Households Product</v>
      </c>
      <c r="L3" s="74" t="str">
        <f t="shared" si="2"/>
        <v>1-Households</v>
      </c>
      <c r="M3" s="77">
        <f t="shared" si="3"/>
        <v>1</v>
      </c>
      <c r="N3" s="77">
        <f t="shared" si="4"/>
        <v>7</v>
      </c>
      <c r="O3" s="77">
        <f t="shared" si="5"/>
        <v>45</v>
      </c>
      <c r="P3" s="77" t="str">
        <f t="shared" si="6"/>
        <v>1|7|45</v>
      </c>
    </row>
    <row r="4" spans="1:16" ht="15.75" customHeight="1">
      <c r="A4" s="75">
        <v>1</v>
      </c>
      <c r="B4" s="76" t="s">
        <v>1410</v>
      </c>
      <c r="C4" s="76" t="s">
        <v>1411</v>
      </c>
      <c r="D4" s="75">
        <v>7</v>
      </c>
      <c r="E4" s="76" t="s">
        <v>1412</v>
      </c>
      <c r="F4" s="76" t="s">
        <v>1413</v>
      </c>
      <c r="G4" s="75">
        <v>46</v>
      </c>
      <c r="H4" s="76" t="s">
        <v>1418</v>
      </c>
      <c r="I4" s="76" t="s">
        <v>1419</v>
      </c>
      <c r="J4" s="74" t="str">
        <f t="shared" si="0"/>
        <v>46-Plastic bags / Elastic / Zipped bag</v>
      </c>
      <c r="K4" s="74" t="str">
        <f t="shared" si="1"/>
        <v>7-Households Product</v>
      </c>
      <c r="L4" s="74" t="str">
        <f t="shared" si="2"/>
        <v>1-Households</v>
      </c>
      <c r="M4" s="77">
        <f t="shared" si="3"/>
        <v>1</v>
      </c>
      <c r="N4" s="77">
        <f t="shared" si="4"/>
        <v>7</v>
      </c>
      <c r="O4" s="77">
        <f t="shared" si="5"/>
        <v>46</v>
      </c>
      <c r="P4" s="77" t="str">
        <f t="shared" si="6"/>
        <v>1|7|46</v>
      </c>
    </row>
    <row r="5" spans="1:16" ht="15.75" customHeight="1">
      <c r="A5" s="75">
        <v>1</v>
      </c>
      <c r="B5" s="76" t="s">
        <v>1410</v>
      </c>
      <c r="C5" s="76" t="s">
        <v>1411</v>
      </c>
      <c r="D5" s="75">
        <v>7</v>
      </c>
      <c r="E5" s="76" t="s">
        <v>1412</v>
      </c>
      <c r="F5" s="76" t="s">
        <v>1413</v>
      </c>
      <c r="G5" s="75">
        <v>47</v>
      </c>
      <c r="H5" s="76" t="s">
        <v>1420</v>
      </c>
      <c r="I5" s="76" t="s">
        <v>1421</v>
      </c>
      <c r="J5" s="74" t="str">
        <f t="shared" si="0"/>
        <v>47-Cooking Utensils</v>
      </c>
      <c r="K5" s="74" t="str">
        <f t="shared" si="1"/>
        <v>7-Households Product</v>
      </c>
      <c r="L5" s="74" t="str">
        <f t="shared" si="2"/>
        <v>1-Households</v>
      </c>
      <c r="M5" s="77">
        <f t="shared" si="3"/>
        <v>1</v>
      </c>
      <c r="N5" s="77">
        <f t="shared" si="4"/>
        <v>7</v>
      </c>
      <c r="O5" s="77">
        <f t="shared" si="5"/>
        <v>47</v>
      </c>
      <c r="P5" s="77" t="str">
        <f t="shared" si="6"/>
        <v>1|7|47</v>
      </c>
    </row>
    <row r="6" spans="1:16" ht="15.75" customHeight="1">
      <c r="A6" s="75">
        <v>1</v>
      </c>
      <c r="B6" s="76" t="s">
        <v>1410</v>
      </c>
      <c r="C6" s="76" t="s">
        <v>1411</v>
      </c>
      <c r="D6" s="75">
        <v>7</v>
      </c>
      <c r="E6" s="76" t="s">
        <v>1412</v>
      </c>
      <c r="F6" s="76" t="s">
        <v>1413</v>
      </c>
      <c r="G6" s="75">
        <v>48</v>
      </c>
      <c r="H6" s="76" t="s">
        <v>1422</v>
      </c>
      <c r="I6" s="76" t="s">
        <v>1423</v>
      </c>
      <c r="J6" s="74" t="str">
        <f t="shared" si="0"/>
        <v>48-Table Utensils</v>
      </c>
      <c r="K6" s="74" t="str">
        <f t="shared" si="1"/>
        <v>7-Households Product</v>
      </c>
      <c r="L6" s="74" t="str">
        <f t="shared" si="2"/>
        <v>1-Households</v>
      </c>
      <c r="M6" s="77">
        <f t="shared" si="3"/>
        <v>1</v>
      </c>
      <c r="N6" s="77">
        <f t="shared" si="4"/>
        <v>7</v>
      </c>
      <c r="O6" s="77">
        <f t="shared" si="5"/>
        <v>48</v>
      </c>
      <c r="P6" s="77" t="str">
        <f t="shared" si="6"/>
        <v>1|7|48</v>
      </c>
    </row>
    <row r="7" spans="1:16" ht="15.75" customHeight="1">
      <c r="A7" s="75">
        <v>1</v>
      </c>
      <c r="B7" s="76" t="s">
        <v>1410</v>
      </c>
      <c r="C7" s="76" t="s">
        <v>1411</v>
      </c>
      <c r="D7" s="75">
        <v>8</v>
      </c>
      <c r="E7" s="76" t="s">
        <v>1424</v>
      </c>
      <c r="F7" s="76" t="s">
        <v>1425</v>
      </c>
      <c r="G7" s="75">
        <v>49</v>
      </c>
      <c r="H7" s="76" t="s">
        <v>1426</v>
      </c>
      <c r="I7" s="76" t="s">
        <v>1427</v>
      </c>
      <c r="J7" s="74" t="str">
        <f t="shared" si="0"/>
        <v>49-Sponge</v>
      </c>
      <c r="K7" s="74" t="str">
        <f t="shared" si="1"/>
        <v>8-Washing &amp; Cleaning</v>
      </c>
      <c r="L7" s="74" t="str">
        <f t="shared" si="2"/>
        <v>1-Households</v>
      </c>
      <c r="M7" s="77">
        <f t="shared" si="3"/>
        <v>1</v>
      </c>
      <c r="N7" s="77">
        <f t="shared" si="4"/>
        <v>8</v>
      </c>
      <c r="O7" s="77">
        <f t="shared" si="5"/>
        <v>49</v>
      </c>
      <c r="P7" s="77" t="str">
        <f t="shared" si="6"/>
        <v>1|8|49</v>
      </c>
    </row>
    <row r="8" spans="1:16" ht="15.75" customHeight="1">
      <c r="A8" s="75">
        <v>1</v>
      </c>
      <c r="B8" s="76" t="s">
        <v>1410</v>
      </c>
      <c r="C8" s="76" t="s">
        <v>1411</v>
      </c>
      <c r="D8" s="75">
        <v>8</v>
      </c>
      <c r="E8" s="76" t="s">
        <v>1424</v>
      </c>
      <c r="F8" s="76" t="s">
        <v>1425</v>
      </c>
      <c r="G8" s="75">
        <v>50</v>
      </c>
      <c r="H8" s="76" t="s">
        <v>1428</v>
      </c>
      <c r="I8" s="76" t="s">
        <v>1429</v>
      </c>
      <c r="J8" s="74" t="str">
        <f t="shared" si="0"/>
        <v>50-Garbage Bag</v>
      </c>
      <c r="K8" s="74" t="str">
        <f t="shared" si="1"/>
        <v>8-Washing &amp; Cleaning</v>
      </c>
      <c r="L8" s="74" t="str">
        <f t="shared" si="2"/>
        <v>1-Households</v>
      </c>
      <c r="M8" s="77">
        <f t="shared" si="3"/>
        <v>1</v>
      </c>
      <c r="N8" s="77">
        <f t="shared" si="4"/>
        <v>8</v>
      </c>
      <c r="O8" s="77">
        <f t="shared" si="5"/>
        <v>50</v>
      </c>
      <c r="P8" s="77" t="str">
        <f t="shared" si="6"/>
        <v>1|8|50</v>
      </c>
    </row>
    <row r="9" spans="1:16" ht="15.75" customHeight="1">
      <c r="A9" s="75">
        <v>1</v>
      </c>
      <c r="B9" s="76" t="s">
        <v>1410</v>
      </c>
      <c r="C9" s="76" t="s">
        <v>1411</v>
      </c>
      <c r="D9" s="75">
        <v>8</v>
      </c>
      <c r="E9" s="76" t="s">
        <v>1424</v>
      </c>
      <c r="F9" s="76" t="s">
        <v>1425</v>
      </c>
      <c r="G9" s="75">
        <v>51</v>
      </c>
      <c r="H9" s="76" t="s">
        <v>1430</v>
      </c>
      <c r="I9" s="76" t="s">
        <v>1431</v>
      </c>
      <c r="J9" s="74" t="str">
        <f t="shared" si="0"/>
        <v>51-Basket</v>
      </c>
      <c r="K9" s="74" t="str">
        <f t="shared" si="1"/>
        <v>8-Washing &amp; Cleaning</v>
      </c>
      <c r="L9" s="74" t="str">
        <f t="shared" si="2"/>
        <v>1-Households</v>
      </c>
      <c r="M9" s="77">
        <f t="shared" si="3"/>
        <v>1</v>
      </c>
      <c r="N9" s="77">
        <f t="shared" si="4"/>
        <v>8</v>
      </c>
      <c r="O9" s="77">
        <f t="shared" si="5"/>
        <v>51</v>
      </c>
      <c r="P9" s="77" t="str">
        <f t="shared" si="6"/>
        <v>1|8|51</v>
      </c>
    </row>
    <row r="10" spans="1:16" ht="15.75" customHeight="1">
      <c r="A10" s="75">
        <v>1</v>
      </c>
      <c r="B10" s="76" t="s">
        <v>1410</v>
      </c>
      <c r="C10" s="76" t="s">
        <v>1411</v>
      </c>
      <c r="D10" s="75">
        <v>8</v>
      </c>
      <c r="E10" s="76" t="s">
        <v>1424</v>
      </c>
      <c r="F10" s="76" t="s">
        <v>1425</v>
      </c>
      <c r="G10" s="75">
        <v>52</v>
      </c>
      <c r="H10" s="76" t="s">
        <v>1432</v>
      </c>
      <c r="I10" s="76" t="s">
        <v>1433</v>
      </c>
      <c r="J10" s="74" t="str">
        <f t="shared" si="0"/>
        <v>52-Broom / Dust Pan and brushes</v>
      </c>
      <c r="K10" s="74" t="str">
        <f t="shared" si="1"/>
        <v>8-Washing &amp; Cleaning</v>
      </c>
      <c r="L10" s="74" t="str">
        <f t="shared" si="2"/>
        <v>1-Households</v>
      </c>
      <c r="M10" s="77">
        <f t="shared" si="3"/>
        <v>1</v>
      </c>
      <c r="N10" s="77">
        <f t="shared" si="4"/>
        <v>8</v>
      </c>
      <c r="O10" s="77">
        <f t="shared" si="5"/>
        <v>52</v>
      </c>
      <c r="P10" s="77" t="str">
        <f t="shared" si="6"/>
        <v>1|8|52</v>
      </c>
    </row>
    <row r="11" spans="1:16" ht="15.75" customHeight="1">
      <c r="A11" s="75">
        <v>1</v>
      </c>
      <c r="B11" s="76" t="s">
        <v>1410</v>
      </c>
      <c r="C11" s="76" t="s">
        <v>1411</v>
      </c>
      <c r="D11" s="75">
        <v>8</v>
      </c>
      <c r="E11" s="76" t="s">
        <v>1424</v>
      </c>
      <c r="F11" s="76" t="s">
        <v>1425</v>
      </c>
      <c r="G11" s="75">
        <v>53</v>
      </c>
      <c r="H11" s="76" t="s">
        <v>1434</v>
      </c>
      <c r="I11" s="76" t="s">
        <v>1435</v>
      </c>
      <c r="J11" s="74" t="str">
        <f t="shared" si="0"/>
        <v>53-Mop / Spin Mop</v>
      </c>
      <c r="K11" s="74" t="str">
        <f t="shared" si="1"/>
        <v>8-Washing &amp; Cleaning</v>
      </c>
      <c r="L11" s="74" t="str">
        <f t="shared" si="2"/>
        <v>1-Households</v>
      </c>
      <c r="M11" s="77">
        <f t="shared" si="3"/>
        <v>1</v>
      </c>
      <c r="N11" s="77">
        <f t="shared" si="4"/>
        <v>8</v>
      </c>
      <c r="O11" s="77">
        <f t="shared" si="5"/>
        <v>53</v>
      </c>
      <c r="P11" s="77" t="str">
        <f t="shared" si="6"/>
        <v>1|8|53</v>
      </c>
    </row>
    <row r="12" spans="1:16" ht="15.75" customHeight="1">
      <c r="A12" s="75">
        <v>1</v>
      </c>
      <c r="B12" s="76" t="s">
        <v>1410</v>
      </c>
      <c r="C12" s="76" t="s">
        <v>1411</v>
      </c>
      <c r="D12" s="75">
        <v>8</v>
      </c>
      <c r="E12" s="76" t="s">
        <v>1424</v>
      </c>
      <c r="F12" s="76" t="s">
        <v>1425</v>
      </c>
      <c r="G12" s="75">
        <v>54</v>
      </c>
      <c r="H12" s="76" t="s">
        <v>1436</v>
      </c>
      <c r="I12" s="76" t="s">
        <v>1437</v>
      </c>
      <c r="J12" s="74" t="str">
        <f t="shared" si="0"/>
        <v>54-Others</v>
      </c>
      <c r="K12" s="74" t="str">
        <f t="shared" si="1"/>
        <v>8-Washing &amp; Cleaning</v>
      </c>
      <c r="L12" s="74" t="str">
        <f t="shared" si="2"/>
        <v>1-Households</v>
      </c>
      <c r="M12" s="77">
        <f t="shared" si="3"/>
        <v>1</v>
      </c>
      <c r="N12" s="77">
        <f t="shared" si="4"/>
        <v>8</v>
      </c>
      <c r="O12" s="77">
        <f t="shared" si="5"/>
        <v>54</v>
      </c>
      <c r="P12" s="77" t="str">
        <f t="shared" si="6"/>
        <v>1|8|54</v>
      </c>
    </row>
    <row r="13" spans="1:16" ht="15.75" customHeight="1">
      <c r="A13" s="75">
        <v>1</v>
      </c>
      <c r="B13" s="76" t="s">
        <v>1410</v>
      </c>
      <c r="C13" s="76" t="s">
        <v>1411</v>
      </c>
      <c r="D13" s="75">
        <v>9</v>
      </c>
      <c r="E13" s="76" t="s">
        <v>1438</v>
      </c>
      <c r="F13" s="76" t="s">
        <v>1439</v>
      </c>
      <c r="G13" s="75">
        <v>55</v>
      </c>
      <c r="H13" s="76" t="s">
        <v>1440</v>
      </c>
      <c r="I13" s="76" t="s">
        <v>173</v>
      </c>
      <c r="J13" s="74" t="str">
        <f t="shared" si="0"/>
        <v>55-Powder Detergent</v>
      </c>
      <c r="K13" s="74" t="str">
        <f t="shared" si="1"/>
        <v>9-Laundry</v>
      </c>
      <c r="L13" s="74" t="str">
        <f t="shared" si="2"/>
        <v>1-Households</v>
      </c>
      <c r="M13" s="77">
        <f t="shared" si="3"/>
        <v>1</v>
      </c>
      <c r="N13" s="77">
        <f t="shared" si="4"/>
        <v>9</v>
      </c>
      <c r="O13" s="77">
        <f t="shared" si="5"/>
        <v>55</v>
      </c>
      <c r="P13" s="77" t="str">
        <f t="shared" si="6"/>
        <v>1|9|55</v>
      </c>
    </row>
    <row r="14" spans="1:16" ht="15.75" customHeight="1">
      <c r="A14" s="75">
        <v>1</v>
      </c>
      <c r="B14" s="76" t="s">
        <v>1410</v>
      </c>
      <c r="C14" s="76" t="s">
        <v>1411</v>
      </c>
      <c r="D14" s="75">
        <v>9</v>
      </c>
      <c r="E14" s="76" t="s">
        <v>1438</v>
      </c>
      <c r="F14" s="76" t="s">
        <v>1439</v>
      </c>
      <c r="G14" s="75">
        <v>56</v>
      </c>
      <c r="H14" s="76" t="s">
        <v>1441</v>
      </c>
      <c r="I14" s="76" t="s">
        <v>1442</v>
      </c>
      <c r="J14" s="74" t="str">
        <f t="shared" si="0"/>
        <v>56-Laundry Detergent</v>
      </c>
      <c r="K14" s="74" t="str">
        <f t="shared" si="1"/>
        <v>9-Laundry</v>
      </c>
      <c r="L14" s="74" t="str">
        <f t="shared" si="2"/>
        <v>1-Households</v>
      </c>
      <c r="M14" s="77">
        <f t="shared" si="3"/>
        <v>1</v>
      </c>
      <c r="N14" s="77">
        <f t="shared" si="4"/>
        <v>9</v>
      </c>
      <c r="O14" s="77">
        <f t="shared" si="5"/>
        <v>56</v>
      </c>
      <c r="P14" s="77" t="str">
        <f t="shared" si="6"/>
        <v>1|9|56</v>
      </c>
    </row>
    <row r="15" spans="1:16" ht="15.75" customHeight="1">
      <c r="A15" s="75">
        <v>1</v>
      </c>
      <c r="B15" s="76" t="s">
        <v>1410</v>
      </c>
      <c r="C15" s="76" t="s">
        <v>1411</v>
      </c>
      <c r="D15" s="75">
        <v>9</v>
      </c>
      <c r="E15" s="76" t="s">
        <v>1438</v>
      </c>
      <c r="F15" s="76" t="s">
        <v>1439</v>
      </c>
      <c r="G15" s="75">
        <v>57</v>
      </c>
      <c r="H15" s="76" t="s">
        <v>134</v>
      </c>
      <c r="I15" s="76" t="s">
        <v>133</v>
      </c>
      <c r="J15" s="74" t="str">
        <f t="shared" si="0"/>
        <v>57-Fabric Softener</v>
      </c>
      <c r="K15" s="74" t="str">
        <f t="shared" si="1"/>
        <v>9-Laundry</v>
      </c>
      <c r="L15" s="74" t="str">
        <f t="shared" si="2"/>
        <v>1-Households</v>
      </c>
      <c r="M15" s="77">
        <f t="shared" si="3"/>
        <v>1</v>
      </c>
      <c r="N15" s="77">
        <f t="shared" si="4"/>
        <v>9</v>
      </c>
      <c r="O15" s="77">
        <f t="shared" si="5"/>
        <v>57</v>
      </c>
      <c r="P15" s="77" t="str">
        <f t="shared" si="6"/>
        <v>1|9|57</v>
      </c>
    </row>
    <row r="16" spans="1:16" ht="15.75" customHeight="1">
      <c r="A16" s="75">
        <v>1</v>
      </c>
      <c r="B16" s="76" t="s">
        <v>1410</v>
      </c>
      <c r="C16" s="76" t="s">
        <v>1411</v>
      </c>
      <c r="D16" s="75">
        <v>9</v>
      </c>
      <c r="E16" s="76" t="s">
        <v>1438</v>
      </c>
      <c r="F16" s="76" t="s">
        <v>1439</v>
      </c>
      <c r="G16" s="75">
        <v>58</v>
      </c>
      <c r="H16" s="76" t="s">
        <v>1443</v>
      </c>
      <c r="I16" s="76" t="s">
        <v>1444</v>
      </c>
      <c r="J16" s="74" t="str">
        <f t="shared" si="0"/>
        <v>58-Easy Ironing</v>
      </c>
      <c r="K16" s="74" t="str">
        <f t="shared" si="1"/>
        <v>9-Laundry</v>
      </c>
      <c r="L16" s="74" t="str">
        <f t="shared" si="2"/>
        <v>1-Households</v>
      </c>
      <c r="M16" s="77">
        <f t="shared" si="3"/>
        <v>1</v>
      </c>
      <c r="N16" s="77">
        <f t="shared" si="4"/>
        <v>9</v>
      </c>
      <c r="O16" s="77">
        <f t="shared" si="5"/>
        <v>58</v>
      </c>
      <c r="P16" s="77" t="str">
        <f t="shared" si="6"/>
        <v>1|9|58</v>
      </c>
    </row>
    <row r="17" spans="1:16" ht="15.75" customHeight="1">
      <c r="A17" s="75">
        <v>1</v>
      </c>
      <c r="B17" s="76" t="s">
        <v>1410</v>
      </c>
      <c r="C17" s="76" t="s">
        <v>1411</v>
      </c>
      <c r="D17" s="75">
        <v>9</v>
      </c>
      <c r="E17" s="76" t="s">
        <v>1438</v>
      </c>
      <c r="F17" s="76" t="s">
        <v>1439</v>
      </c>
      <c r="G17" s="75">
        <v>59</v>
      </c>
      <c r="H17" s="76" t="s">
        <v>1445</v>
      </c>
      <c r="I17" s="76" t="s">
        <v>1446</v>
      </c>
      <c r="J17" s="74" t="str">
        <f t="shared" si="0"/>
        <v>59-Bleach / Stain Removal</v>
      </c>
      <c r="K17" s="74" t="str">
        <f t="shared" si="1"/>
        <v>9-Laundry</v>
      </c>
      <c r="L17" s="74" t="str">
        <f t="shared" si="2"/>
        <v>1-Households</v>
      </c>
      <c r="M17" s="77">
        <f t="shared" si="3"/>
        <v>1</v>
      </c>
      <c r="N17" s="77">
        <f t="shared" si="4"/>
        <v>9</v>
      </c>
      <c r="O17" s="77">
        <f t="shared" si="5"/>
        <v>59</v>
      </c>
      <c r="P17" s="77" t="str">
        <f t="shared" si="6"/>
        <v>1|9|59</v>
      </c>
    </row>
    <row r="18" spans="1:16" ht="15.75" customHeight="1">
      <c r="A18" s="75">
        <v>1</v>
      </c>
      <c r="B18" s="76" t="s">
        <v>1410</v>
      </c>
      <c r="C18" s="76" t="s">
        <v>1411</v>
      </c>
      <c r="D18" s="75">
        <v>9</v>
      </c>
      <c r="E18" s="76" t="s">
        <v>1438</v>
      </c>
      <c r="F18" s="76" t="s">
        <v>1439</v>
      </c>
      <c r="G18" s="75">
        <v>60</v>
      </c>
      <c r="H18" s="76" t="s">
        <v>1447</v>
      </c>
      <c r="I18" s="76" t="s">
        <v>1448</v>
      </c>
      <c r="J18" s="74" t="str">
        <f t="shared" si="0"/>
        <v>60-Iron board</v>
      </c>
      <c r="K18" s="74" t="str">
        <f t="shared" si="1"/>
        <v>9-Laundry</v>
      </c>
      <c r="L18" s="74" t="str">
        <f t="shared" si="2"/>
        <v>1-Households</v>
      </c>
      <c r="M18" s="77">
        <f t="shared" si="3"/>
        <v>1</v>
      </c>
      <c r="N18" s="77">
        <f t="shared" si="4"/>
        <v>9</v>
      </c>
      <c r="O18" s="77">
        <f t="shared" si="5"/>
        <v>60</v>
      </c>
      <c r="P18" s="77" t="str">
        <f t="shared" si="6"/>
        <v>1|9|60</v>
      </c>
    </row>
    <row r="19" spans="1:16" ht="15.75" customHeight="1">
      <c r="A19" s="75">
        <v>1</v>
      </c>
      <c r="B19" s="76" t="s">
        <v>1410</v>
      </c>
      <c r="C19" s="76" t="s">
        <v>1411</v>
      </c>
      <c r="D19" s="75">
        <v>9</v>
      </c>
      <c r="E19" s="76" t="s">
        <v>1438</v>
      </c>
      <c r="F19" s="76" t="s">
        <v>1439</v>
      </c>
      <c r="G19" s="75">
        <v>61</v>
      </c>
      <c r="H19" s="76" t="s">
        <v>1449</v>
      </c>
      <c r="I19" s="76" t="s">
        <v>1450</v>
      </c>
      <c r="J19" s="74" t="str">
        <f t="shared" si="0"/>
        <v>61-Clothes dryer / Hanger</v>
      </c>
      <c r="K19" s="74" t="str">
        <f t="shared" si="1"/>
        <v>9-Laundry</v>
      </c>
      <c r="L19" s="74" t="str">
        <f t="shared" si="2"/>
        <v>1-Households</v>
      </c>
      <c r="M19" s="77">
        <f t="shared" si="3"/>
        <v>1</v>
      </c>
      <c r="N19" s="77">
        <f t="shared" si="4"/>
        <v>9</v>
      </c>
      <c r="O19" s="77">
        <f t="shared" si="5"/>
        <v>61</v>
      </c>
      <c r="P19" s="77" t="str">
        <f t="shared" si="6"/>
        <v>1|9|61</v>
      </c>
    </row>
    <row r="20" spans="1:16" ht="15.75" customHeight="1">
      <c r="A20" s="75">
        <v>1</v>
      </c>
      <c r="B20" s="76" t="s">
        <v>1410</v>
      </c>
      <c r="C20" s="76" t="s">
        <v>1411</v>
      </c>
      <c r="D20" s="75">
        <v>9</v>
      </c>
      <c r="E20" s="76" t="s">
        <v>1438</v>
      </c>
      <c r="F20" s="76" t="s">
        <v>1439</v>
      </c>
      <c r="G20" s="75">
        <v>62</v>
      </c>
      <c r="H20" s="76" t="s">
        <v>1451</v>
      </c>
      <c r="I20" s="76" t="s">
        <v>1452</v>
      </c>
      <c r="J20" s="74" t="str">
        <f t="shared" si="0"/>
        <v>62-Others Laundry</v>
      </c>
      <c r="K20" s="74" t="str">
        <f t="shared" si="1"/>
        <v>9-Laundry</v>
      </c>
      <c r="L20" s="74" t="str">
        <f t="shared" si="2"/>
        <v>1-Households</v>
      </c>
      <c r="M20" s="77">
        <f t="shared" si="3"/>
        <v>1</v>
      </c>
      <c r="N20" s="77">
        <f t="shared" si="4"/>
        <v>9</v>
      </c>
      <c r="O20" s="77">
        <f t="shared" si="5"/>
        <v>62</v>
      </c>
      <c r="P20" s="77" t="str">
        <f t="shared" si="6"/>
        <v>1|9|62</v>
      </c>
    </row>
    <row r="21" spans="1:16" ht="15.75" customHeight="1">
      <c r="A21" s="75">
        <v>1</v>
      </c>
      <c r="B21" s="76" t="s">
        <v>1410</v>
      </c>
      <c r="C21" s="76" t="s">
        <v>1411</v>
      </c>
      <c r="D21" s="75">
        <v>10</v>
      </c>
      <c r="E21" s="76" t="s">
        <v>1453</v>
      </c>
      <c r="F21" s="76" t="s">
        <v>1454</v>
      </c>
      <c r="G21" s="75">
        <v>63</v>
      </c>
      <c r="H21" s="76" t="s">
        <v>1455</v>
      </c>
      <c r="I21" s="76" t="s">
        <v>1456</v>
      </c>
      <c r="J21" s="74" t="str">
        <f t="shared" si="0"/>
        <v>63-Air Refresher</v>
      </c>
      <c r="K21" s="74" t="str">
        <f t="shared" si="1"/>
        <v>10-Home Frangnance</v>
      </c>
      <c r="L21" s="74" t="str">
        <f t="shared" si="2"/>
        <v>1-Households</v>
      </c>
      <c r="M21" s="77">
        <f t="shared" si="3"/>
        <v>1</v>
      </c>
      <c r="N21" s="77">
        <f t="shared" si="4"/>
        <v>10</v>
      </c>
      <c r="O21" s="77">
        <f t="shared" si="5"/>
        <v>63</v>
      </c>
      <c r="P21" s="77" t="str">
        <f t="shared" si="6"/>
        <v>1|10|63</v>
      </c>
    </row>
    <row r="22" spans="1:16" ht="15.75" customHeight="1">
      <c r="A22" s="75">
        <v>1</v>
      </c>
      <c r="B22" s="76" t="s">
        <v>1410</v>
      </c>
      <c r="C22" s="76" t="s">
        <v>1411</v>
      </c>
      <c r="D22" s="75">
        <v>10</v>
      </c>
      <c r="E22" s="76" t="s">
        <v>1453</v>
      </c>
      <c r="F22" s="76" t="s">
        <v>1454</v>
      </c>
      <c r="G22" s="75">
        <v>64</v>
      </c>
      <c r="H22" s="76" t="s">
        <v>1457</v>
      </c>
      <c r="I22" s="76" t="s">
        <v>1458</v>
      </c>
      <c r="J22" s="74" t="str">
        <f t="shared" si="0"/>
        <v>64-Insect Killer</v>
      </c>
      <c r="K22" s="74" t="str">
        <f t="shared" si="1"/>
        <v>10-Home Frangnance</v>
      </c>
      <c r="L22" s="74" t="str">
        <f t="shared" si="2"/>
        <v>1-Households</v>
      </c>
      <c r="M22" s="77">
        <f t="shared" si="3"/>
        <v>1</v>
      </c>
      <c r="N22" s="77">
        <f t="shared" si="4"/>
        <v>10</v>
      </c>
      <c r="O22" s="77">
        <f t="shared" si="5"/>
        <v>64</v>
      </c>
      <c r="P22" s="77" t="str">
        <f t="shared" si="6"/>
        <v>1|10|64</v>
      </c>
    </row>
    <row r="23" spans="1:16" ht="15.75" customHeight="1">
      <c r="A23" s="75">
        <v>1</v>
      </c>
      <c r="B23" s="76" t="s">
        <v>1410</v>
      </c>
      <c r="C23" s="76" t="s">
        <v>1411</v>
      </c>
      <c r="D23" s="75">
        <v>10</v>
      </c>
      <c r="E23" s="76" t="s">
        <v>1453</v>
      </c>
      <c r="F23" s="76" t="s">
        <v>1454</v>
      </c>
      <c r="G23" s="75">
        <v>65</v>
      </c>
      <c r="H23" s="76" t="s">
        <v>1459</v>
      </c>
      <c r="I23" s="76" t="s">
        <v>1437</v>
      </c>
      <c r="J23" s="74" t="str">
        <f t="shared" si="0"/>
        <v>65-Other household</v>
      </c>
      <c r="K23" s="74" t="str">
        <f t="shared" si="1"/>
        <v>10-Home Frangnance</v>
      </c>
      <c r="L23" s="74" t="str">
        <f t="shared" si="2"/>
        <v>1-Households</v>
      </c>
      <c r="M23" s="77">
        <f t="shared" si="3"/>
        <v>1</v>
      </c>
      <c r="N23" s="77">
        <f t="shared" si="4"/>
        <v>10</v>
      </c>
      <c r="O23" s="77">
        <f t="shared" si="5"/>
        <v>65</v>
      </c>
      <c r="P23" s="77" t="str">
        <f t="shared" si="6"/>
        <v>1|10|65</v>
      </c>
    </row>
    <row r="24" spans="1:16" ht="15.75" customHeight="1">
      <c r="A24" s="75">
        <v>1</v>
      </c>
      <c r="B24" s="76" t="s">
        <v>1410</v>
      </c>
      <c r="C24" s="76" t="s">
        <v>1411</v>
      </c>
      <c r="D24" s="75">
        <v>11</v>
      </c>
      <c r="E24" s="76" t="s">
        <v>1460</v>
      </c>
      <c r="F24" s="76" t="s">
        <v>176</v>
      </c>
      <c r="G24" s="75">
        <v>66</v>
      </c>
      <c r="H24" s="76" t="s">
        <v>1461</v>
      </c>
      <c r="I24" s="76" t="s">
        <v>176</v>
      </c>
      <c r="J24" s="74" t="str">
        <f t="shared" si="0"/>
        <v>66-Toilet Roll</v>
      </c>
      <c r="K24" s="74" t="str">
        <f t="shared" si="1"/>
        <v>11-Tissue &amp; Papers</v>
      </c>
      <c r="L24" s="74" t="str">
        <f t="shared" si="2"/>
        <v>1-Households</v>
      </c>
      <c r="M24" s="77">
        <f t="shared" si="3"/>
        <v>1</v>
      </c>
      <c r="N24" s="77">
        <f t="shared" si="4"/>
        <v>11</v>
      </c>
      <c r="O24" s="77">
        <f t="shared" si="5"/>
        <v>66</v>
      </c>
      <c r="P24" s="77" t="str">
        <f t="shared" si="6"/>
        <v>1|11|66</v>
      </c>
    </row>
    <row r="25" spans="1:16" ht="15.75" customHeight="1">
      <c r="A25" s="75">
        <v>1</v>
      </c>
      <c r="B25" s="76" t="s">
        <v>1410</v>
      </c>
      <c r="C25" s="76" t="s">
        <v>1411</v>
      </c>
      <c r="D25" s="75">
        <v>11</v>
      </c>
      <c r="E25" s="76" t="s">
        <v>1460</v>
      </c>
      <c r="F25" s="76" t="s">
        <v>176</v>
      </c>
      <c r="G25" s="75">
        <v>67</v>
      </c>
      <c r="H25" s="76" t="s">
        <v>1462</v>
      </c>
      <c r="I25" s="76" t="s">
        <v>206</v>
      </c>
      <c r="J25" s="74" t="str">
        <f t="shared" si="0"/>
        <v>67-Facial Tissues</v>
      </c>
      <c r="K25" s="74" t="str">
        <f t="shared" si="1"/>
        <v>11-Tissue &amp; Papers</v>
      </c>
      <c r="L25" s="74" t="str">
        <f t="shared" si="2"/>
        <v>1-Households</v>
      </c>
      <c r="M25" s="77">
        <f t="shared" si="3"/>
        <v>1</v>
      </c>
      <c r="N25" s="77">
        <f t="shared" si="4"/>
        <v>11</v>
      </c>
      <c r="O25" s="77">
        <f t="shared" si="5"/>
        <v>67</v>
      </c>
      <c r="P25" s="77" t="str">
        <f t="shared" si="6"/>
        <v>1|11|67</v>
      </c>
    </row>
    <row r="26" spans="1:16" ht="15.75" customHeight="1">
      <c r="A26" s="75">
        <v>1</v>
      </c>
      <c r="B26" s="76" t="s">
        <v>1410</v>
      </c>
      <c r="C26" s="76" t="s">
        <v>1411</v>
      </c>
      <c r="D26" s="75">
        <v>11</v>
      </c>
      <c r="E26" s="76" t="s">
        <v>1460</v>
      </c>
      <c r="F26" s="76" t="s">
        <v>176</v>
      </c>
      <c r="G26" s="75">
        <v>68</v>
      </c>
      <c r="H26" s="76" t="s">
        <v>1463</v>
      </c>
      <c r="I26" s="76" t="s">
        <v>1464</v>
      </c>
      <c r="J26" s="74" t="str">
        <f t="shared" si="0"/>
        <v>68-Wet wipes</v>
      </c>
      <c r="K26" s="74" t="str">
        <f t="shared" si="1"/>
        <v>11-Tissue &amp; Papers</v>
      </c>
      <c r="L26" s="74" t="str">
        <f t="shared" si="2"/>
        <v>1-Households</v>
      </c>
      <c r="M26" s="77">
        <f t="shared" si="3"/>
        <v>1</v>
      </c>
      <c r="N26" s="77">
        <f t="shared" si="4"/>
        <v>11</v>
      </c>
      <c r="O26" s="77">
        <f t="shared" si="5"/>
        <v>68</v>
      </c>
      <c r="P26" s="77" t="str">
        <f t="shared" si="6"/>
        <v>1|11|68</v>
      </c>
    </row>
    <row r="27" spans="1:16" ht="15.75" customHeight="1">
      <c r="A27" s="75">
        <v>1</v>
      </c>
      <c r="B27" s="76" t="s">
        <v>1410</v>
      </c>
      <c r="C27" s="76" t="s">
        <v>1411</v>
      </c>
      <c r="D27" s="75">
        <v>12</v>
      </c>
      <c r="E27" s="76" t="s">
        <v>1465</v>
      </c>
      <c r="F27" s="76" t="s">
        <v>1466</v>
      </c>
      <c r="G27" s="75">
        <v>69</v>
      </c>
      <c r="H27" s="76" t="s">
        <v>1467</v>
      </c>
      <c r="I27" s="76" t="s">
        <v>1468</v>
      </c>
      <c r="J27" s="74" t="str">
        <f t="shared" si="0"/>
        <v>69-Floor care</v>
      </c>
      <c r="K27" s="74" t="str">
        <f t="shared" si="1"/>
        <v>12-Cleaning</v>
      </c>
      <c r="L27" s="74" t="str">
        <f t="shared" si="2"/>
        <v>1-Households</v>
      </c>
      <c r="M27" s="77">
        <f t="shared" si="3"/>
        <v>1</v>
      </c>
      <c r="N27" s="77">
        <f t="shared" si="4"/>
        <v>12</v>
      </c>
      <c r="O27" s="77">
        <f t="shared" si="5"/>
        <v>69</v>
      </c>
      <c r="P27" s="77" t="str">
        <f t="shared" si="6"/>
        <v>1|12|69</v>
      </c>
    </row>
    <row r="28" spans="1:16" ht="15.75" customHeight="1">
      <c r="A28" s="75">
        <v>1</v>
      </c>
      <c r="B28" s="76" t="s">
        <v>1410</v>
      </c>
      <c r="C28" s="76" t="s">
        <v>1411</v>
      </c>
      <c r="D28" s="75">
        <v>12</v>
      </c>
      <c r="E28" s="76" t="s">
        <v>1465</v>
      </c>
      <c r="F28" s="76" t="s">
        <v>1466</v>
      </c>
      <c r="G28" s="75">
        <v>70</v>
      </c>
      <c r="H28" s="76" t="s">
        <v>1469</v>
      </c>
      <c r="I28" s="76" t="s">
        <v>1470</v>
      </c>
      <c r="J28" s="74" t="str">
        <f t="shared" si="0"/>
        <v>70-Mirror &amp; Glass stain remover</v>
      </c>
      <c r="K28" s="74" t="str">
        <f t="shared" si="1"/>
        <v>12-Cleaning</v>
      </c>
      <c r="L28" s="74" t="str">
        <f t="shared" si="2"/>
        <v>1-Households</v>
      </c>
      <c r="M28" s="77">
        <f t="shared" si="3"/>
        <v>1</v>
      </c>
      <c r="N28" s="77">
        <f t="shared" si="4"/>
        <v>12</v>
      </c>
      <c r="O28" s="77">
        <f t="shared" si="5"/>
        <v>70</v>
      </c>
      <c r="P28" s="77" t="str">
        <f t="shared" si="6"/>
        <v>1|12|70</v>
      </c>
    </row>
    <row r="29" spans="1:16" ht="15.75" customHeight="1">
      <c r="A29" s="75">
        <v>1</v>
      </c>
      <c r="B29" s="76" t="s">
        <v>1410</v>
      </c>
      <c r="C29" s="76" t="s">
        <v>1411</v>
      </c>
      <c r="D29" s="75">
        <v>12</v>
      </c>
      <c r="E29" s="76" t="s">
        <v>1465</v>
      </c>
      <c r="F29" s="76" t="s">
        <v>1466</v>
      </c>
      <c r="G29" s="75">
        <v>71</v>
      </c>
      <c r="H29" s="76" t="s">
        <v>1471</v>
      </c>
      <c r="I29" s="76" t="s">
        <v>1472</v>
      </c>
      <c r="J29" s="74" t="str">
        <f t="shared" si="0"/>
        <v>71-All cleaner</v>
      </c>
      <c r="K29" s="74" t="str">
        <f t="shared" si="1"/>
        <v>12-Cleaning</v>
      </c>
      <c r="L29" s="74" t="str">
        <f t="shared" si="2"/>
        <v>1-Households</v>
      </c>
      <c r="M29" s="77">
        <f t="shared" si="3"/>
        <v>1</v>
      </c>
      <c r="N29" s="77">
        <f t="shared" si="4"/>
        <v>12</v>
      </c>
      <c r="O29" s="77">
        <f t="shared" si="5"/>
        <v>71</v>
      </c>
      <c r="P29" s="77" t="str">
        <f t="shared" si="6"/>
        <v>1|12|71</v>
      </c>
    </row>
    <row r="30" spans="1:16" ht="15.75" customHeight="1">
      <c r="A30" s="75">
        <v>1</v>
      </c>
      <c r="B30" s="76" t="s">
        <v>1410</v>
      </c>
      <c r="C30" s="76" t="s">
        <v>1411</v>
      </c>
      <c r="D30" s="75">
        <v>12</v>
      </c>
      <c r="E30" s="76" t="s">
        <v>1465</v>
      </c>
      <c r="F30" s="76" t="s">
        <v>1466</v>
      </c>
      <c r="G30" s="75">
        <v>72</v>
      </c>
      <c r="H30" s="76" t="s">
        <v>1473</v>
      </c>
      <c r="I30" s="76" t="s">
        <v>1474</v>
      </c>
      <c r="J30" s="74" t="str">
        <f t="shared" si="0"/>
        <v>72-Toilet Bowl Cleaner</v>
      </c>
      <c r="K30" s="74" t="str">
        <f t="shared" si="1"/>
        <v>12-Cleaning</v>
      </c>
      <c r="L30" s="74" t="str">
        <f t="shared" si="2"/>
        <v>1-Households</v>
      </c>
      <c r="M30" s="77">
        <f t="shared" si="3"/>
        <v>1</v>
      </c>
      <c r="N30" s="77">
        <f t="shared" si="4"/>
        <v>12</v>
      </c>
      <c r="O30" s="77">
        <f t="shared" si="5"/>
        <v>72</v>
      </c>
      <c r="P30" s="77" t="str">
        <f t="shared" si="6"/>
        <v>1|12|72</v>
      </c>
    </row>
    <row r="31" spans="1:16" ht="15.75" customHeight="1">
      <c r="A31" s="75">
        <v>1</v>
      </c>
      <c r="B31" s="76" t="s">
        <v>1410</v>
      </c>
      <c r="C31" s="76" t="s">
        <v>1411</v>
      </c>
      <c r="D31" s="75">
        <v>12</v>
      </c>
      <c r="E31" s="76" t="s">
        <v>1465</v>
      </c>
      <c r="F31" s="76" t="s">
        <v>1466</v>
      </c>
      <c r="G31" s="75">
        <v>73</v>
      </c>
      <c r="H31" s="76" t="s">
        <v>1475</v>
      </c>
      <c r="I31" s="76" t="s">
        <v>1476</v>
      </c>
      <c r="J31" s="74" t="str">
        <f t="shared" si="0"/>
        <v>73-Drain Declogger</v>
      </c>
      <c r="K31" s="74" t="str">
        <f t="shared" si="1"/>
        <v>12-Cleaning</v>
      </c>
      <c r="L31" s="74" t="str">
        <f t="shared" si="2"/>
        <v>1-Households</v>
      </c>
      <c r="M31" s="77">
        <f t="shared" si="3"/>
        <v>1</v>
      </c>
      <c r="N31" s="77">
        <f t="shared" si="4"/>
        <v>12</v>
      </c>
      <c r="O31" s="77">
        <f t="shared" si="5"/>
        <v>73</v>
      </c>
      <c r="P31" s="77" t="str">
        <f t="shared" si="6"/>
        <v>1|12|73</v>
      </c>
    </row>
    <row r="32" spans="1:16" ht="15.75" customHeight="1">
      <c r="A32" s="75">
        <v>1</v>
      </c>
      <c r="B32" s="76" t="s">
        <v>1410</v>
      </c>
      <c r="C32" s="76" t="s">
        <v>1411</v>
      </c>
      <c r="D32" s="75">
        <v>12</v>
      </c>
      <c r="E32" s="76" t="s">
        <v>1465</v>
      </c>
      <c r="F32" s="76" t="s">
        <v>1466</v>
      </c>
      <c r="G32" s="75">
        <v>74</v>
      </c>
      <c r="H32" s="76" t="s">
        <v>1477</v>
      </c>
      <c r="I32" s="76" t="s">
        <v>170</v>
      </c>
      <c r="J32" s="74" t="str">
        <f t="shared" si="0"/>
        <v>74-Dish Washer</v>
      </c>
      <c r="K32" s="74" t="str">
        <f t="shared" si="1"/>
        <v>12-Cleaning</v>
      </c>
      <c r="L32" s="74" t="str">
        <f t="shared" si="2"/>
        <v>1-Households</v>
      </c>
      <c r="M32" s="77">
        <f t="shared" si="3"/>
        <v>1</v>
      </c>
      <c r="N32" s="77">
        <f t="shared" si="4"/>
        <v>12</v>
      </c>
      <c r="O32" s="77">
        <f t="shared" si="5"/>
        <v>74</v>
      </c>
      <c r="P32" s="77" t="str">
        <f t="shared" si="6"/>
        <v>1|12|74</v>
      </c>
    </row>
    <row r="33" spans="1:16" ht="15.75" customHeight="1">
      <c r="A33" s="75">
        <v>1</v>
      </c>
      <c r="B33" s="76" t="s">
        <v>1410</v>
      </c>
      <c r="C33" s="76" t="s">
        <v>1411</v>
      </c>
      <c r="D33" s="75">
        <v>13</v>
      </c>
      <c r="E33" s="76" t="s">
        <v>1478</v>
      </c>
      <c r="F33" s="76" t="s">
        <v>1479</v>
      </c>
      <c r="G33" s="75">
        <v>75</v>
      </c>
      <c r="H33" s="76" t="s">
        <v>1480</v>
      </c>
      <c r="I33" s="76" t="s">
        <v>1481</v>
      </c>
      <c r="J33" s="74" t="str">
        <f t="shared" si="0"/>
        <v>75-Bedding sheet / set / Blanket</v>
      </c>
      <c r="K33" s="74" t="str">
        <f t="shared" si="1"/>
        <v>13-Bedding</v>
      </c>
      <c r="L33" s="74" t="str">
        <f t="shared" si="2"/>
        <v>1-Households</v>
      </c>
      <c r="M33" s="77">
        <f t="shared" si="3"/>
        <v>1</v>
      </c>
      <c r="N33" s="77">
        <f t="shared" si="4"/>
        <v>13</v>
      </c>
      <c r="O33" s="77">
        <f t="shared" si="5"/>
        <v>75</v>
      </c>
      <c r="P33" s="77" t="str">
        <f t="shared" si="6"/>
        <v>1|13|75</v>
      </c>
    </row>
    <row r="34" spans="1:16" ht="15.75" customHeight="1">
      <c r="A34" s="75">
        <v>1</v>
      </c>
      <c r="B34" s="76" t="s">
        <v>1410</v>
      </c>
      <c r="C34" s="76" t="s">
        <v>1411</v>
      </c>
      <c r="D34" s="75">
        <v>13</v>
      </c>
      <c r="E34" s="76" t="s">
        <v>1478</v>
      </c>
      <c r="F34" s="76" t="s">
        <v>1479</v>
      </c>
      <c r="G34" s="75">
        <v>76</v>
      </c>
      <c r="H34" s="76" t="s">
        <v>1482</v>
      </c>
      <c r="I34" s="76" t="s">
        <v>1483</v>
      </c>
      <c r="J34" s="74" t="str">
        <f t="shared" si="0"/>
        <v>76-Towel</v>
      </c>
      <c r="K34" s="74" t="str">
        <f t="shared" si="1"/>
        <v>13-Bedding</v>
      </c>
      <c r="L34" s="74" t="str">
        <f t="shared" si="2"/>
        <v>1-Households</v>
      </c>
      <c r="M34" s="77">
        <f t="shared" si="3"/>
        <v>1</v>
      </c>
      <c r="N34" s="77">
        <f t="shared" si="4"/>
        <v>13</v>
      </c>
      <c r="O34" s="77">
        <f t="shared" si="5"/>
        <v>76</v>
      </c>
      <c r="P34" s="77" t="str">
        <f t="shared" si="6"/>
        <v>1|13|76</v>
      </c>
    </row>
    <row r="35" spans="1:16" ht="15.75" customHeight="1">
      <c r="A35" s="75">
        <v>1</v>
      </c>
      <c r="B35" s="76" t="s">
        <v>1410</v>
      </c>
      <c r="C35" s="76" t="s">
        <v>1411</v>
      </c>
      <c r="D35" s="75">
        <v>14</v>
      </c>
      <c r="E35" s="76" t="s">
        <v>1484</v>
      </c>
      <c r="F35" s="76" t="s">
        <v>1485</v>
      </c>
      <c r="G35" s="75">
        <v>77</v>
      </c>
      <c r="H35" s="76" t="s">
        <v>1486</v>
      </c>
      <c r="I35" s="76" t="s">
        <v>1487</v>
      </c>
      <c r="J35" s="74" t="str">
        <f t="shared" si="0"/>
        <v>77-Wardrobe / Chairs / Sofa</v>
      </c>
      <c r="K35" s="74" t="str">
        <f t="shared" si="1"/>
        <v>14-Furniture / Storage</v>
      </c>
      <c r="L35" s="74" t="str">
        <f t="shared" si="2"/>
        <v>1-Households</v>
      </c>
      <c r="M35" s="77">
        <f t="shared" si="3"/>
        <v>1</v>
      </c>
      <c r="N35" s="77">
        <f t="shared" si="4"/>
        <v>14</v>
      </c>
      <c r="O35" s="77">
        <f t="shared" si="5"/>
        <v>77</v>
      </c>
      <c r="P35" s="77" t="str">
        <f t="shared" si="6"/>
        <v>1|14|77</v>
      </c>
    </row>
    <row r="36" spans="1:16" ht="15.75" customHeight="1">
      <c r="A36" s="75">
        <v>1</v>
      </c>
      <c r="B36" s="76" t="s">
        <v>1410</v>
      </c>
      <c r="C36" s="76" t="s">
        <v>1411</v>
      </c>
      <c r="D36" s="75">
        <v>14</v>
      </c>
      <c r="E36" s="76" t="s">
        <v>1484</v>
      </c>
      <c r="F36" s="76" t="s">
        <v>1485</v>
      </c>
      <c r="G36" s="75">
        <v>78</v>
      </c>
      <c r="H36" s="76" t="s">
        <v>1488</v>
      </c>
      <c r="I36" s="76" t="s">
        <v>1489</v>
      </c>
      <c r="J36" s="74" t="str">
        <f t="shared" si="0"/>
        <v>78-Shelf / Display Shelf / Shoe Shelf</v>
      </c>
      <c r="K36" s="74" t="str">
        <f t="shared" si="1"/>
        <v>14-Furniture / Storage</v>
      </c>
      <c r="L36" s="74" t="str">
        <f t="shared" si="2"/>
        <v>1-Households</v>
      </c>
      <c r="M36" s="77">
        <f t="shared" si="3"/>
        <v>1</v>
      </c>
      <c r="N36" s="77">
        <f t="shared" si="4"/>
        <v>14</v>
      </c>
      <c r="O36" s="77">
        <f t="shared" si="5"/>
        <v>78</v>
      </c>
      <c r="P36" s="77" t="str">
        <f t="shared" si="6"/>
        <v>1|14|78</v>
      </c>
    </row>
    <row r="37" spans="1:16" ht="15.75" customHeight="1">
      <c r="A37" s="75">
        <v>1</v>
      </c>
      <c r="B37" s="76" t="s">
        <v>1410</v>
      </c>
      <c r="C37" s="76" t="s">
        <v>1411</v>
      </c>
      <c r="D37" s="75">
        <v>14</v>
      </c>
      <c r="E37" s="76" t="s">
        <v>1484</v>
      </c>
      <c r="F37" s="76" t="s">
        <v>1485</v>
      </c>
      <c r="G37" s="75">
        <v>79</v>
      </c>
      <c r="H37" s="76" t="s">
        <v>1490</v>
      </c>
      <c r="I37" s="76" t="s">
        <v>1491</v>
      </c>
      <c r="J37" s="74" t="str">
        <f t="shared" si="0"/>
        <v>79-Plastic Storage</v>
      </c>
      <c r="K37" s="74" t="str">
        <f t="shared" si="1"/>
        <v>14-Furniture / Storage</v>
      </c>
      <c r="L37" s="74" t="str">
        <f t="shared" si="2"/>
        <v>1-Households</v>
      </c>
      <c r="M37" s="77">
        <f t="shared" si="3"/>
        <v>1</v>
      </c>
      <c r="N37" s="77">
        <f t="shared" si="4"/>
        <v>14</v>
      </c>
      <c r="O37" s="77">
        <f t="shared" si="5"/>
        <v>79</v>
      </c>
      <c r="P37" s="77" t="str">
        <f t="shared" si="6"/>
        <v>1|14|79</v>
      </c>
    </row>
    <row r="38" spans="1:16" ht="15.75" customHeight="1">
      <c r="A38" s="75">
        <v>1</v>
      </c>
      <c r="B38" s="76" t="s">
        <v>1410</v>
      </c>
      <c r="C38" s="76" t="s">
        <v>1411</v>
      </c>
      <c r="D38" s="75">
        <v>15</v>
      </c>
      <c r="E38" s="76" t="s">
        <v>1492</v>
      </c>
      <c r="F38" s="76" t="s">
        <v>1493</v>
      </c>
      <c r="G38" s="75">
        <v>80</v>
      </c>
      <c r="H38" s="76" t="s">
        <v>1494</v>
      </c>
      <c r="I38" s="76" t="s">
        <v>1495</v>
      </c>
      <c r="J38" s="74" t="str">
        <f t="shared" si="0"/>
        <v>80-Power tools</v>
      </c>
      <c r="K38" s="74" t="str">
        <f t="shared" si="1"/>
        <v>15-Home Improvements</v>
      </c>
      <c r="L38" s="74" t="str">
        <f t="shared" si="2"/>
        <v>1-Households</v>
      </c>
      <c r="M38" s="77">
        <f t="shared" si="3"/>
        <v>1</v>
      </c>
      <c r="N38" s="77">
        <f t="shared" si="4"/>
        <v>15</v>
      </c>
      <c r="O38" s="77">
        <f t="shared" si="5"/>
        <v>80</v>
      </c>
      <c r="P38" s="77" t="str">
        <f t="shared" si="6"/>
        <v>1|15|80</v>
      </c>
    </row>
    <row r="39" spans="1:16" ht="15.75" customHeight="1">
      <c r="A39" s="75">
        <v>1</v>
      </c>
      <c r="B39" s="76" t="s">
        <v>1410</v>
      </c>
      <c r="C39" s="76" t="s">
        <v>1411</v>
      </c>
      <c r="D39" s="75">
        <v>15</v>
      </c>
      <c r="E39" s="76" t="s">
        <v>1492</v>
      </c>
      <c r="F39" s="76" t="s">
        <v>1493</v>
      </c>
      <c r="G39" s="75">
        <v>81</v>
      </c>
      <c r="H39" s="76" t="s">
        <v>1496</v>
      </c>
      <c r="I39" s="76" t="s">
        <v>1497</v>
      </c>
      <c r="J39" s="74" t="str">
        <f t="shared" si="0"/>
        <v>81-Power Socket / Adapter</v>
      </c>
      <c r="K39" s="74" t="str">
        <f t="shared" si="1"/>
        <v>15-Home Improvements</v>
      </c>
      <c r="L39" s="74" t="str">
        <f t="shared" si="2"/>
        <v>1-Households</v>
      </c>
      <c r="M39" s="77">
        <f t="shared" si="3"/>
        <v>1</v>
      </c>
      <c r="N39" s="77">
        <f t="shared" si="4"/>
        <v>15</v>
      </c>
      <c r="O39" s="77">
        <f t="shared" si="5"/>
        <v>81</v>
      </c>
      <c r="P39" s="77" t="str">
        <f t="shared" si="6"/>
        <v>1|15|81</v>
      </c>
    </row>
    <row r="40" spans="1:16" ht="15.75" customHeight="1">
      <c r="A40" s="75">
        <v>1</v>
      </c>
      <c r="B40" s="76" t="s">
        <v>1410</v>
      </c>
      <c r="C40" s="76" t="s">
        <v>1411</v>
      </c>
      <c r="D40" s="75">
        <v>15</v>
      </c>
      <c r="E40" s="76" t="s">
        <v>1492</v>
      </c>
      <c r="F40" s="76" t="s">
        <v>1493</v>
      </c>
      <c r="G40" s="75">
        <v>82</v>
      </c>
      <c r="H40" s="76" t="s">
        <v>1498</v>
      </c>
      <c r="I40" s="76" t="s">
        <v>1499</v>
      </c>
      <c r="J40" s="74" t="str">
        <f t="shared" si="0"/>
        <v>82-Battery / Flashlight</v>
      </c>
      <c r="K40" s="74" t="str">
        <f t="shared" si="1"/>
        <v>15-Home Improvements</v>
      </c>
      <c r="L40" s="74" t="str">
        <f t="shared" si="2"/>
        <v>1-Households</v>
      </c>
      <c r="M40" s="77">
        <f t="shared" si="3"/>
        <v>1</v>
      </c>
      <c r="N40" s="77">
        <f t="shared" si="4"/>
        <v>15</v>
      </c>
      <c r="O40" s="77">
        <f t="shared" si="5"/>
        <v>82</v>
      </c>
      <c r="P40" s="77" t="str">
        <f t="shared" si="6"/>
        <v>1|15|82</v>
      </c>
    </row>
    <row r="41" spans="1:16" ht="12.75">
      <c r="A41" s="75">
        <v>1</v>
      </c>
      <c r="B41" s="76" t="s">
        <v>1410</v>
      </c>
      <c r="C41" s="76" t="s">
        <v>1411</v>
      </c>
      <c r="D41" s="75">
        <v>15</v>
      </c>
      <c r="E41" s="76" t="s">
        <v>1492</v>
      </c>
      <c r="F41" s="76" t="s">
        <v>1493</v>
      </c>
      <c r="G41" s="75">
        <v>83</v>
      </c>
      <c r="H41" s="76" t="s">
        <v>1500</v>
      </c>
      <c r="I41" s="76" t="s">
        <v>1501</v>
      </c>
      <c r="J41" s="74" t="str">
        <f t="shared" si="0"/>
        <v>83-Cable / Lightning</v>
      </c>
      <c r="K41" s="74" t="str">
        <f t="shared" si="1"/>
        <v>15-Home Improvements</v>
      </c>
      <c r="L41" s="74" t="str">
        <f t="shared" si="2"/>
        <v>1-Households</v>
      </c>
      <c r="M41" s="77">
        <f t="shared" si="3"/>
        <v>1</v>
      </c>
      <c r="N41" s="77">
        <f t="shared" si="4"/>
        <v>15</v>
      </c>
      <c r="O41" s="77">
        <f t="shared" si="5"/>
        <v>83</v>
      </c>
      <c r="P41" s="77" t="str">
        <f t="shared" si="6"/>
        <v>1|15|83</v>
      </c>
    </row>
    <row r="42" spans="1:16" ht="12.75">
      <c r="A42" s="75">
        <v>1</v>
      </c>
      <c r="B42" s="76" t="s">
        <v>1410</v>
      </c>
      <c r="C42" s="76" t="s">
        <v>1411</v>
      </c>
      <c r="D42" s="75">
        <v>15</v>
      </c>
      <c r="E42" s="76" t="s">
        <v>1492</v>
      </c>
      <c r="F42" s="76" t="s">
        <v>1493</v>
      </c>
      <c r="G42" s="75">
        <v>84</v>
      </c>
      <c r="H42" s="76" t="s">
        <v>1502</v>
      </c>
      <c r="I42" s="76" t="s">
        <v>1503</v>
      </c>
      <c r="J42" s="74" t="str">
        <f t="shared" si="0"/>
        <v>84-Garden &amp; Outdoor</v>
      </c>
      <c r="K42" s="74" t="str">
        <f t="shared" si="1"/>
        <v>15-Home Improvements</v>
      </c>
      <c r="L42" s="74" t="str">
        <f t="shared" si="2"/>
        <v>1-Households</v>
      </c>
      <c r="M42" s="77">
        <f t="shared" si="3"/>
        <v>1</v>
      </c>
      <c r="N42" s="77">
        <f t="shared" si="4"/>
        <v>15</v>
      </c>
      <c r="O42" s="77">
        <f t="shared" si="5"/>
        <v>84</v>
      </c>
      <c r="P42" s="77" t="str">
        <f t="shared" si="6"/>
        <v>1|15|84</v>
      </c>
    </row>
    <row r="43" spans="1:16" ht="12.75">
      <c r="A43" s="75">
        <v>2</v>
      </c>
      <c r="B43" s="76" t="s">
        <v>1504</v>
      </c>
      <c r="C43" s="76" t="s">
        <v>1505</v>
      </c>
      <c r="D43" s="75">
        <v>16</v>
      </c>
      <c r="E43" s="76" t="s">
        <v>1506</v>
      </c>
      <c r="F43" s="76" t="s">
        <v>1507</v>
      </c>
      <c r="G43" s="75">
        <v>85</v>
      </c>
      <c r="H43" s="76" t="s">
        <v>1508</v>
      </c>
      <c r="I43" s="76" t="s">
        <v>1509</v>
      </c>
      <c r="J43" s="74" t="str">
        <f t="shared" si="0"/>
        <v>85-Freezer</v>
      </c>
      <c r="K43" s="74" t="str">
        <f t="shared" si="1"/>
        <v>16-Major Appliance</v>
      </c>
      <c r="L43" s="74" t="str">
        <f t="shared" si="2"/>
        <v>2-Home Appliances / Electronic</v>
      </c>
      <c r="M43" s="77">
        <f t="shared" si="3"/>
        <v>2</v>
      </c>
      <c r="N43" s="77">
        <f t="shared" si="4"/>
        <v>16</v>
      </c>
      <c r="O43" s="77">
        <f t="shared" si="5"/>
        <v>85</v>
      </c>
      <c r="P43" s="77" t="str">
        <f t="shared" si="6"/>
        <v>2|16|85</v>
      </c>
    </row>
    <row r="44" spans="1:16" ht="12.75">
      <c r="A44" s="75">
        <v>2</v>
      </c>
      <c r="B44" s="76" t="s">
        <v>1504</v>
      </c>
      <c r="C44" s="76" t="s">
        <v>1505</v>
      </c>
      <c r="D44" s="75">
        <v>16</v>
      </c>
      <c r="E44" s="76" t="s">
        <v>1506</v>
      </c>
      <c r="F44" s="76" t="s">
        <v>1507</v>
      </c>
      <c r="G44" s="75">
        <v>86</v>
      </c>
      <c r="H44" s="76" t="s">
        <v>1510</v>
      </c>
      <c r="I44" s="76" t="s">
        <v>1511</v>
      </c>
      <c r="J44" s="74" t="str">
        <f t="shared" si="0"/>
        <v>86-Washing Machine / Dryer</v>
      </c>
      <c r="K44" s="74" t="str">
        <f t="shared" si="1"/>
        <v>16-Major Appliance</v>
      </c>
      <c r="L44" s="74" t="str">
        <f t="shared" si="2"/>
        <v>2-Home Appliances / Electronic</v>
      </c>
      <c r="M44" s="77">
        <f t="shared" si="3"/>
        <v>2</v>
      </c>
      <c r="N44" s="77">
        <f t="shared" si="4"/>
        <v>16</v>
      </c>
      <c r="O44" s="77">
        <f t="shared" si="5"/>
        <v>86</v>
      </c>
      <c r="P44" s="77" t="str">
        <f t="shared" si="6"/>
        <v>2|16|86</v>
      </c>
    </row>
    <row r="45" spans="1:16" ht="12.75">
      <c r="A45" s="75">
        <v>2</v>
      </c>
      <c r="B45" s="76" t="s">
        <v>1504</v>
      </c>
      <c r="C45" s="76" t="s">
        <v>1505</v>
      </c>
      <c r="D45" s="75">
        <v>16</v>
      </c>
      <c r="E45" s="76" t="s">
        <v>1506</v>
      </c>
      <c r="F45" s="76" t="s">
        <v>1507</v>
      </c>
      <c r="G45" s="75">
        <v>87</v>
      </c>
      <c r="H45" s="76" t="s">
        <v>1512</v>
      </c>
      <c r="I45" s="76" t="s">
        <v>1513</v>
      </c>
      <c r="J45" s="74" t="str">
        <f t="shared" si="0"/>
        <v>87-Refrigerator</v>
      </c>
      <c r="K45" s="74" t="str">
        <f t="shared" si="1"/>
        <v>16-Major Appliance</v>
      </c>
      <c r="L45" s="74" t="str">
        <f t="shared" si="2"/>
        <v>2-Home Appliances / Electronic</v>
      </c>
      <c r="M45" s="77">
        <f t="shared" si="3"/>
        <v>2</v>
      </c>
      <c r="N45" s="77">
        <f t="shared" si="4"/>
        <v>16</v>
      </c>
      <c r="O45" s="77">
        <f t="shared" si="5"/>
        <v>87</v>
      </c>
      <c r="P45" s="77" t="str">
        <f t="shared" si="6"/>
        <v>2|16|87</v>
      </c>
    </row>
    <row r="46" spans="1:16" ht="12.75">
      <c r="A46" s="75">
        <v>2</v>
      </c>
      <c r="B46" s="76" t="s">
        <v>1504</v>
      </c>
      <c r="C46" s="76" t="s">
        <v>1505</v>
      </c>
      <c r="D46" s="75">
        <v>16</v>
      </c>
      <c r="E46" s="76" t="s">
        <v>1506</v>
      </c>
      <c r="F46" s="76" t="s">
        <v>1507</v>
      </c>
      <c r="G46" s="75">
        <v>88</v>
      </c>
      <c r="H46" s="76" t="s">
        <v>1514</v>
      </c>
      <c r="I46" s="76" t="s">
        <v>1515</v>
      </c>
      <c r="J46" s="74" t="str">
        <f t="shared" si="0"/>
        <v>88-Air Con</v>
      </c>
      <c r="K46" s="74" t="str">
        <f t="shared" si="1"/>
        <v>16-Major Appliance</v>
      </c>
      <c r="L46" s="74" t="str">
        <f t="shared" si="2"/>
        <v>2-Home Appliances / Electronic</v>
      </c>
      <c r="M46" s="77">
        <f t="shared" si="3"/>
        <v>2</v>
      </c>
      <c r="N46" s="77">
        <f t="shared" si="4"/>
        <v>16</v>
      </c>
      <c r="O46" s="77">
        <f t="shared" si="5"/>
        <v>88</v>
      </c>
      <c r="P46" s="77" t="str">
        <f t="shared" si="6"/>
        <v>2|16|88</v>
      </c>
    </row>
    <row r="47" spans="1:16" ht="12.75">
      <c r="A47" s="75">
        <v>2</v>
      </c>
      <c r="B47" s="76" t="s">
        <v>1504</v>
      </c>
      <c r="C47" s="76" t="s">
        <v>1505</v>
      </c>
      <c r="D47" s="75">
        <v>16</v>
      </c>
      <c r="E47" s="76" t="s">
        <v>1506</v>
      </c>
      <c r="F47" s="76" t="s">
        <v>1507</v>
      </c>
      <c r="G47" s="75">
        <v>89</v>
      </c>
      <c r="H47" s="76" t="s">
        <v>1516</v>
      </c>
      <c r="I47" s="76" t="s">
        <v>1517</v>
      </c>
      <c r="J47" s="74" t="str">
        <f t="shared" si="0"/>
        <v>89-Water Heater</v>
      </c>
      <c r="K47" s="74" t="str">
        <f t="shared" si="1"/>
        <v>16-Major Appliance</v>
      </c>
      <c r="L47" s="74" t="str">
        <f t="shared" si="2"/>
        <v>2-Home Appliances / Electronic</v>
      </c>
      <c r="M47" s="77">
        <f t="shared" si="3"/>
        <v>2</v>
      </c>
      <c r="N47" s="77">
        <f t="shared" si="4"/>
        <v>16</v>
      </c>
      <c r="O47" s="77">
        <f t="shared" si="5"/>
        <v>89</v>
      </c>
      <c r="P47" s="77" t="str">
        <f t="shared" si="6"/>
        <v>2|16|89</v>
      </c>
    </row>
    <row r="48" spans="1:16" ht="12.75">
      <c r="A48" s="75">
        <v>2</v>
      </c>
      <c r="B48" s="76" t="s">
        <v>1504</v>
      </c>
      <c r="C48" s="76" t="s">
        <v>1505</v>
      </c>
      <c r="D48" s="75">
        <v>16</v>
      </c>
      <c r="E48" s="76" t="s">
        <v>1506</v>
      </c>
      <c r="F48" s="76" t="s">
        <v>1507</v>
      </c>
      <c r="G48" s="75">
        <v>90</v>
      </c>
      <c r="H48" s="76" t="s">
        <v>1518</v>
      </c>
      <c r="I48" s="76" t="s">
        <v>1519</v>
      </c>
      <c r="J48" s="74" t="str">
        <f t="shared" si="0"/>
        <v>90-Vacuum Cleaner</v>
      </c>
      <c r="K48" s="74" t="str">
        <f t="shared" si="1"/>
        <v>16-Major Appliance</v>
      </c>
      <c r="L48" s="74" t="str">
        <f t="shared" si="2"/>
        <v>2-Home Appliances / Electronic</v>
      </c>
      <c r="M48" s="77">
        <f t="shared" si="3"/>
        <v>2</v>
      </c>
      <c r="N48" s="77">
        <f t="shared" si="4"/>
        <v>16</v>
      </c>
      <c r="O48" s="77">
        <f t="shared" si="5"/>
        <v>90</v>
      </c>
      <c r="P48" s="77" t="str">
        <f t="shared" si="6"/>
        <v>2|16|90</v>
      </c>
    </row>
    <row r="49" spans="1:16" ht="12.75">
      <c r="A49" s="75">
        <v>2</v>
      </c>
      <c r="B49" s="76" t="s">
        <v>1504</v>
      </c>
      <c r="C49" s="76" t="s">
        <v>1505</v>
      </c>
      <c r="D49" s="75">
        <v>16</v>
      </c>
      <c r="E49" s="76" t="s">
        <v>1506</v>
      </c>
      <c r="F49" s="76" t="s">
        <v>1507</v>
      </c>
      <c r="G49" s="75">
        <v>91</v>
      </c>
      <c r="H49" s="76" t="s">
        <v>1520</v>
      </c>
      <c r="I49" s="76" t="s">
        <v>1521</v>
      </c>
      <c r="J49" s="74" t="str">
        <f t="shared" si="0"/>
        <v>91-Induction</v>
      </c>
      <c r="K49" s="74" t="str">
        <f t="shared" si="1"/>
        <v>16-Major Appliance</v>
      </c>
      <c r="L49" s="74" t="str">
        <f t="shared" si="2"/>
        <v>2-Home Appliances / Electronic</v>
      </c>
      <c r="M49" s="77">
        <f t="shared" si="3"/>
        <v>2</v>
      </c>
      <c r="N49" s="77">
        <f t="shared" si="4"/>
        <v>16</v>
      </c>
      <c r="O49" s="77">
        <f t="shared" si="5"/>
        <v>91</v>
      </c>
      <c r="P49" s="77" t="str">
        <f t="shared" si="6"/>
        <v>2|16|91</v>
      </c>
    </row>
    <row r="50" spans="1:16" ht="12.75">
      <c r="A50" s="75">
        <v>2</v>
      </c>
      <c r="B50" s="76" t="s">
        <v>1504</v>
      </c>
      <c r="C50" s="76" t="s">
        <v>1505</v>
      </c>
      <c r="D50" s="75">
        <v>17</v>
      </c>
      <c r="E50" s="76" t="s">
        <v>1522</v>
      </c>
      <c r="F50" s="76" t="s">
        <v>1523</v>
      </c>
      <c r="G50" s="75">
        <v>92</v>
      </c>
      <c r="H50" s="76" t="s">
        <v>1524</v>
      </c>
      <c r="I50" s="76" t="s">
        <v>1525</v>
      </c>
      <c r="J50" s="74" t="str">
        <f t="shared" si="0"/>
        <v>92-Electric Pan</v>
      </c>
      <c r="K50" s="74" t="str">
        <f t="shared" si="1"/>
        <v>17-Cooking Appliances</v>
      </c>
      <c r="L50" s="74" t="str">
        <f t="shared" si="2"/>
        <v>2-Home Appliances / Electronic</v>
      </c>
      <c r="M50" s="77">
        <f t="shared" si="3"/>
        <v>2</v>
      </c>
      <c r="N50" s="77">
        <f t="shared" si="4"/>
        <v>17</v>
      </c>
      <c r="O50" s="77">
        <f t="shared" si="5"/>
        <v>92</v>
      </c>
      <c r="P50" s="77" t="str">
        <f t="shared" si="6"/>
        <v>2|17|92</v>
      </c>
    </row>
    <row r="51" spans="1:16" ht="12.75">
      <c r="A51" s="75">
        <v>2</v>
      </c>
      <c r="B51" s="76" t="s">
        <v>1504</v>
      </c>
      <c r="C51" s="76" t="s">
        <v>1505</v>
      </c>
      <c r="D51" s="75">
        <v>17</v>
      </c>
      <c r="E51" s="76" t="s">
        <v>1522</v>
      </c>
      <c r="F51" s="76" t="s">
        <v>1523</v>
      </c>
      <c r="G51" s="75">
        <v>93</v>
      </c>
      <c r="H51" s="76" t="s">
        <v>1526</v>
      </c>
      <c r="I51" s="76" t="s">
        <v>1527</v>
      </c>
      <c r="J51" s="74" t="str">
        <f t="shared" si="0"/>
        <v>93-Electric Kettles</v>
      </c>
      <c r="K51" s="74" t="str">
        <f t="shared" si="1"/>
        <v>17-Cooking Appliances</v>
      </c>
      <c r="L51" s="74" t="str">
        <f t="shared" si="2"/>
        <v>2-Home Appliances / Electronic</v>
      </c>
      <c r="M51" s="77">
        <f t="shared" si="3"/>
        <v>2</v>
      </c>
      <c r="N51" s="77">
        <f t="shared" si="4"/>
        <v>17</v>
      </c>
      <c r="O51" s="77">
        <f t="shared" si="5"/>
        <v>93</v>
      </c>
      <c r="P51" s="77" t="str">
        <f t="shared" si="6"/>
        <v>2|17|93</v>
      </c>
    </row>
    <row r="52" spans="1:16" ht="12.75">
      <c r="A52" s="75">
        <v>2</v>
      </c>
      <c r="B52" s="76" t="s">
        <v>1504</v>
      </c>
      <c r="C52" s="76" t="s">
        <v>1505</v>
      </c>
      <c r="D52" s="75">
        <v>17</v>
      </c>
      <c r="E52" s="76" t="s">
        <v>1522</v>
      </c>
      <c r="F52" s="76" t="s">
        <v>1523</v>
      </c>
      <c r="G52" s="75">
        <v>94</v>
      </c>
      <c r="H52" s="76" t="s">
        <v>1528</v>
      </c>
      <c r="I52" s="76" t="s">
        <v>1529</v>
      </c>
      <c r="J52" s="74" t="str">
        <f t="shared" si="0"/>
        <v>94-Blender / Food extractor</v>
      </c>
      <c r="K52" s="74" t="str">
        <f t="shared" si="1"/>
        <v>17-Cooking Appliances</v>
      </c>
      <c r="L52" s="74" t="str">
        <f t="shared" si="2"/>
        <v>2-Home Appliances / Electronic</v>
      </c>
      <c r="M52" s="77">
        <f t="shared" si="3"/>
        <v>2</v>
      </c>
      <c r="N52" s="77">
        <f t="shared" si="4"/>
        <v>17</v>
      </c>
      <c r="O52" s="77">
        <f t="shared" si="5"/>
        <v>94</v>
      </c>
      <c r="P52" s="77" t="str">
        <f t="shared" si="6"/>
        <v>2|17|94</v>
      </c>
    </row>
    <row r="53" spans="1:16" ht="12.75">
      <c r="A53" s="75">
        <v>2</v>
      </c>
      <c r="B53" s="76" t="s">
        <v>1504</v>
      </c>
      <c r="C53" s="76" t="s">
        <v>1505</v>
      </c>
      <c r="D53" s="75">
        <v>17</v>
      </c>
      <c r="E53" s="76" t="s">
        <v>1522</v>
      </c>
      <c r="F53" s="76" t="s">
        <v>1523</v>
      </c>
      <c r="G53" s="75">
        <v>95</v>
      </c>
      <c r="H53" s="76" t="s">
        <v>1530</v>
      </c>
      <c r="I53" s="76" t="s">
        <v>1531</v>
      </c>
      <c r="J53" s="74" t="str">
        <f t="shared" si="0"/>
        <v>95-Microwave / Oven</v>
      </c>
      <c r="K53" s="74" t="str">
        <f t="shared" si="1"/>
        <v>17-Cooking Appliances</v>
      </c>
      <c r="L53" s="74" t="str">
        <f t="shared" si="2"/>
        <v>2-Home Appliances / Electronic</v>
      </c>
      <c r="M53" s="77">
        <f t="shared" si="3"/>
        <v>2</v>
      </c>
      <c r="N53" s="77">
        <f t="shared" si="4"/>
        <v>17</v>
      </c>
      <c r="O53" s="77">
        <f t="shared" si="5"/>
        <v>95</v>
      </c>
      <c r="P53" s="77" t="str">
        <f t="shared" si="6"/>
        <v>2|17|95</v>
      </c>
    </row>
    <row r="54" spans="1:16" ht="12.75">
      <c r="A54" s="75">
        <v>2</v>
      </c>
      <c r="B54" s="76" t="s">
        <v>1504</v>
      </c>
      <c r="C54" s="76" t="s">
        <v>1505</v>
      </c>
      <c r="D54" s="75">
        <v>17</v>
      </c>
      <c r="E54" s="76" t="s">
        <v>1522</v>
      </c>
      <c r="F54" s="76" t="s">
        <v>1523</v>
      </c>
      <c r="G54" s="75">
        <v>96</v>
      </c>
      <c r="H54" s="76" t="s">
        <v>1532</v>
      </c>
      <c r="I54" s="76" t="s">
        <v>1533</v>
      </c>
      <c r="J54" s="74" t="str">
        <f t="shared" si="0"/>
        <v>96-Rice Cooker</v>
      </c>
      <c r="K54" s="74" t="str">
        <f t="shared" si="1"/>
        <v>17-Cooking Appliances</v>
      </c>
      <c r="L54" s="74" t="str">
        <f t="shared" si="2"/>
        <v>2-Home Appliances / Electronic</v>
      </c>
      <c r="M54" s="77">
        <f t="shared" si="3"/>
        <v>2</v>
      </c>
      <c r="N54" s="77">
        <f t="shared" si="4"/>
        <v>17</v>
      </c>
      <c r="O54" s="77">
        <f t="shared" si="5"/>
        <v>96</v>
      </c>
      <c r="P54" s="77" t="str">
        <f t="shared" si="6"/>
        <v>2|17|96</v>
      </c>
    </row>
    <row r="55" spans="1:16" ht="12.75">
      <c r="A55" s="75">
        <v>2</v>
      </c>
      <c r="B55" s="76" t="s">
        <v>1504</v>
      </c>
      <c r="C55" s="76" t="s">
        <v>1505</v>
      </c>
      <c r="D55" s="75">
        <v>17</v>
      </c>
      <c r="E55" s="76" t="s">
        <v>1522</v>
      </c>
      <c r="F55" s="76" t="s">
        <v>1523</v>
      </c>
      <c r="G55" s="75">
        <v>97</v>
      </c>
      <c r="H55" s="76" t="s">
        <v>1534</v>
      </c>
      <c r="I55" s="76" t="s">
        <v>1535</v>
      </c>
      <c r="J55" s="74" t="str">
        <f t="shared" si="0"/>
        <v>97-Sandwich / Coffee maker</v>
      </c>
      <c r="K55" s="74" t="str">
        <f t="shared" si="1"/>
        <v>17-Cooking Appliances</v>
      </c>
      <c r="L55" s="74" t="str">
        <f t="shared" si="2"/>
        <v>2-Home Appliances / Electronic</v>
      </c>
      <c r="M55" s="77">
        <f t="shared" si="3"/>
        <v>2</v>
      </c>
      <c r="N55" s="77">
        <f t="shared" si="4"/>
        <v>17</v>
      </c>
      <c r="O55" s="77">
        <f t="shared" si="5"/>
        <v>97</v>
      </c>
      <c r="P55" s="77" t="str">
        <f t="shared" si="6"/>
        <v>2|17|97</v>
      </c>
    </row>
    <row r="56" spans="1:16" ht="12.75">
      <c r="A56" s="75">
        <v>2</v>
      </c>
      <c r="B56" s="76" t="s">
        <v>1504</v>
      </c>
      <c r="C56" s="76" t="s">
        <v>1505</v>
      </c>
      <c r="D56" s="75">
        <v>18</v>
      </c>
      <c r="E56" s="76" t="s">
        <v>1536</v>
      </c>
      <c r="F56" s="76" t="s">
        <v>1537</v>
      </c>
      <c r="G56" s="75">
        <v>98</v>
      </c>
      <c r="H56" s="76" t="s">
        <v>1538</v>
      </c>
      <c r="I56" s="76" t="s">
        <v>1539</v>
      </c>
      <c r="J56" s="74" t="str">
        <f t="shared" si="0"/>
        <v>98-Hair Dryer</v>
      </c>
      <c r="K56" s="74" t="str">
        <f t="shared" si="1"/>
        <v>18-Small Appliances</v>
      </c>
      <c r="L56" s="74" t="str">
        <f t="shared" si="2"/>
        <v>2-Home Appliances / Electronic</v>
      </c>
      <c r="M56" s="77">
        <f t="shared" si="3"/>
        <v>2</v>
      </c>
      <c r="N56" s="77">
        <f t="shared" si="4"/>
        <v>18</v>
      </c>
      <c r="O56" s="77">
        <f t="shared" si="5"/>
        <v>98</v>
      </c>
      <c r="P56" s="77" t="str">
        <f t="shared" si="6"/>
        <v>2|18|98</v>
      </c>
    </row>
    <row r="57" spans="1:16" ht="12.75">
      <c r="A57" s="75">
        <v>2</v>
      </c>
      <c r="B57" s="76" t="s">
        <v>1504</v>
      </c>
      <c r="C57" s="76" t="s">
        <v>1505</v>
      </c>
      <c r="D57" s="75">
        <v>18</v>
      </c>
      <c r="E57" s="76" t="s">
        <v>1536</v>
      </c>
      <c r="F57" s="76" t="s">
        <v>1537</v>
      </c>
      <c r="G57" s="75">
        <v>99</v>
      </c>
      <c r="H57" s="76" t="s">
        <v>1540</v>
      </c>
      <c r="I57" s="76" t="s">
        <v>1541</v>
      </c>
      <c r="J57" s="74" t="str">
        <f t="shared" si="0"/>
        <v>99-Water Purifier</v>
      </c>
      <c r="K57" s="74" t="str">
        <f t="shared" si="1"/>
        <v>18-Small Appliances</v>
      </c>
      <c r="L57" s="74" t="str">
        <f t="shared" si="2"/>
        <v>2-Home Appliances / Electronic</v>
      </c>
      <c r="M57" s="77">
        <f t="shared" si="3"/>
        <v>2</v>
      </c>
      <c r="N57" s="77">
        <f t="shared" si="4"/>
        <v>18</v>
      </c>
      <c r="O57" s="77">
        <f t="shared" si="5"/>
        <v>99</v>
      </c>
      <c r="P57" s="77" t="str">
        <f t="shared" si="6"/>
        <v>2|18|99</v>
      </c>
    </row>
    <row r="58" spans="1:16" ht="12.75">
      <c r="A58" s="75">
        <v>2</v>
      </c>
      <c r="B58" s="76" t="s">
        <v>1504</v>
      </c>
      <c r="C58" s="76" t="s">
        <v>1505</v>
      </c>
      <c r="D58" s="75">
        <v>18</v>
      </c>
      <c r="E58" s="76" t="s">
        <v>1536</v>
      </c>
      <c r="F58" s="76" t="s">
        <v>1537</v>
      </c>
      <c r="G58" s="75">
        <v>100</v>
      </c>
      <c r="H58" s="76" t="s">
        <v>1542</v>
      </c>
      <c r="I58" s="76" t="s">
        <v>1543</v>
      </c>
      <c r="J58" s="74" t="str">
        <f t="shared" si="0"/>
        <v>100-Fan</v>
      </c>
      <c r="K58" s="74" t="str">
        <f t="shared" si="1"/>
        <v>18-Small Appliances</v>
      </c>
      <c r="L58" s="74" t="str">
        <f t="shared" si="2"/>
        <v>2-Home Appliances / Electronic</v>
      </c>
      <c r="M58" s="77">
        <f t="shared" si="3"/>
        <v>2</v>
      </c>
      <c r="N58" s="77">
        <f t="shared" si="4"/>
        <v>18</v>
      </c>
      <c r="O58" s="77">
        <f t="shared" si="5"/>
        <v>100</v>
      </c>
      <c r="P58" s="77" t="str">
        <f t="shared" si="6"/>
        <v>2|18|100</v>
      </c>
    </row>
    <row r="59" spans="1:16" ht="12.75">
      <c r="A59" s="75">
        <v>2</v>
      </c>
      <c r="B59" s="76" t="s">
        <v>1504</v>
      </c>
      <c r="C59" s="76" t="s">
        <v>1505</v>
      </c>
      <c r="D59" s="75">
        <v>18</v>
      </c>
      <c r="E59" s="76" t="s">
        <v>1536</v>
      </c>
      <c r="F59" s="76" t="s">
        <v>1537</v>
      </c>
      <c r="G59" s="75">
        <v>101</v>
      </c>
      <c r="H59" s="76" t="s">
        <v>1544</v>
      </c>
      <c r="I59" s="76" t="s">
        <v>1545</v>
      </c>
      <c r="J59" s="74" t="str">
        <f t="shared" si="0"/>
        <v>101-Iron</v>
      </c>
      <c r="K59" s="74" t="str">
        <f t="shared" si="1"/>
        <v>18-Small Appliances</v>
      </c>
      <c r="L59" s="74" t="str">
        <f t="shared" si="2"/>
        <v>2-Home Appliances / Electronic</v>
      </c>
      <c r="M59" s="77">
        <f t="shared" si="3"/>
        <v>2</v>
      </c>
      <c r="N59" s="77">
        <f t="shared" si="4"/>
        <v>18</v>
      </c>
      <c r="O59" s="77">
        <f t="shared" si="5"/>
        <v>101</v>
      </c>
      <c r="P59" s="77" t="str">
        <f t="shared" si="6"/>
        <v>2|18|101</v>
      </c>
    </row>
    <row r="60" spans="1:16" ht="12.75">
      <c r="A60" s="75">
        <v>2</v>
      </c>
      <c r="B60" s="76" t="s">
        <v>1504</v>
      </c>
      <c r="C60" s="76" t="s">
        <v>1505</v>
      </c>
      <c r="D60" s="75">
        <v>19</v>
      </c>
      <c r="E60" s="76" t="s">
        <v>1546</v>
      </c>
      <c r="F60" s="76" t="s">
        <v>1547</v>
      </c>
      <c r="G60" s="75">
        <v>102</v>
      </c>
      <c r="H60" s="76" t="s">
        <v>1548</v>
      </c>
      <c r="I60" s="76" t="s">
        <v>1549</v>
      </c>
      <c r="J60" s="74" t="str">
        <f t="shared" si="0"/>
        <v>102-Smart Phone</v>
      </c>
      <c r="K60" s="74" t="str">
        <f t="shared" si="1"/>
        <v>19-Mobile / Tablets</v>
      </c>
      <c r="L60" s="74" t="str">
        <f t="shared" si="2"/>
        <v>2-Home Appliances / Electronic</v>
      </c>
      <c r="M60" s="77">
        <f t="shared" si="3"/>
        <v>2</v>
      </c>
      <c r="N60" s="77">
        <f t="shared" si="4"/>
        <v>19</v>
      </c>
      <c r="O60" s="77">
        <f t="shared" si="5"/>
        <v>102</v>
      </c>
      <c r="P60" s="77" t="str">
        <f t="shared" si="6"/>
        <v>2|19|102</v>
      </c>
    </row>
    <row r="61" spans="1:16" ht="12.75">
      <c r="A61" s="75">
        <v>2</v>
      </c>
      <c r="B61" s="76" t="s">
        <v>1504</v>
      </c>
      <c r="C61" s="76" t="s">
        <v>1505</v>
      </c>
      <c r="D61" s="75">
        <v>19</v>
      </c>
      <c r="E61" s="76" t="s">
        <v>1546</v>
      </c>
      <c r="F61" s="76" t="s">
        <v>1547</v>
      </c>
      <c r="G61" s="75">
        <v>103</v>
      </c>
      <c r="H61" s="76" t="s">
        <v>1550</v>
      </c>
      <c r="I61" s="76" t="s">
        <v>1551</v>
      </c>
      <c r="J61" s="74" t="str">
        <f t="shared" si="0"/>
        <v>103-Tablet</v>
      </c>
      <c r="K61" s="74" t="str">
        <f t="shared" si="1"/>
        <v>19-Mobile / Tablets</v>
      </c>
      <c r="L61" s="74" t="str">
        <f t="shared" si="2"/>
        <v>2-Home Appliances / Electronic</v>
      </c>
      <c r="M61" s="77">
        <f t="shared" si="3"/>
        <v>2</v>
      </c>
      <c r="N61" s="77">
        <f t="shared" si="4"/>
        <v>19</v>
      </c>
      <c r="O61" s="77">
        <f t="shared" si="5"/>
        <v>103</v>
      </c>
      <c r="P61" s="77" t="str">
        <f t="shared" si="6"/>
        <v>2|19|103</v>
      </c>
    </row>
    <row r="62" spans="1:16" ht="12.75">
      <c r="A62" s="75">
        <v>2</v>
      </c>
      <c r="B62" s="76" t="s">
        <v>1504</v>
      </c>
      <c r="C62" s="76" t="s">
        <v>1505</v>
      </c>
      <c r="D62" s="75">
        <v>19</v>
      </c>
      <c r="E62" s="76" t="s">
        <v>1546</v>
      </c>
      <c r="F62" s="76" t="s">
        <v>1547</v>
      </c>
      <c r="G62" s="75">
        <v>104</v>
      </c>
      <c r="H62" s="76" t="s">
        <v>1552</v>
      </c>
      <c r="I62" s="76" t="s">
        <v>1553</v>
      </c>
      <c r="J62" s="74" t="str">
        <f t="shared" si="0"/>
        <v>104-Powerbank</v>
      </c>
      <c r="K62" s="74" t="str">
        <f t="shared" si="1"/>
        <v>19-Mobile / Tablets</v>
      </c>
      <c r="L62" s="74" t="str">
        <f t="shared" si="2"/>
        <v>2-Home Appliances / Electronic</v>
      </c>
      <c r="M62" s="77">
        <f t="shared" si="3"/>
        <v>2</v>
      </c>
      <c r="N62" s="77">
        <f t="shared" si="4"/>
        <v>19</v>
      </c>
      <c r="O62" s="77">
        <f t="shared" si="5"/>
        <v>104</v>
      </c>
      <c r="P62" s="77" t="str">
        <f t="shared" si="6"/>
        <v>2|19|104</v>
      </c>
    </row>
    <row r="63" spans="1:16" ht="12.75">
      <c r="A63" s="75">
        <v>2</v>
      </c>
      <c r="B63" s="76" t="s">
        <v>1504</v>
      </c>
      <c r="C63" s="76" t="s">
        <v>1505</v>
      </c>
      <c r="D63" s="75">
        <v>20</v>
      </c>
      <c r="E63" s="76" t="s">
        <v>1554</v>
      </c>
      <c r="F63" s="76" t="s">
        <v>1555</v>
      </c>
      <c r="G63" s="75">
        <v>105</v>
      </c>
      <c r="H63" s="76" t="s">
        <v>1556</v>
      </c>
      <c r="I63" s="76" t="s">
        <v>1557</v>
      </c>
      <c r="J63" s="74" t="str">
        <f t="shared" si="0"/>
        <v>105-T.V.</v>
      </c>
      <c r="K63" s="74" t="str">
        <f t="shared" si="1"/>
        <v>20-T.V. / Audio</v>
      </c>
      <c r="L63" s="74" t="str">
        <f t="shared" si="2"/>
        <v>2-Home Appliances / Electronic</v>
      </c>
      <c r="M63" s="77">
        <f t="shared" si="3"/>
        <v>2</v>
      </c>
      <c r="N63" s="77">
        <f t="shared" si="4"/>
        <v>20</v>
      </c>
      <c r="O63" s="77">
        <f t="shared" si="5"/>
        <v>105</v>
      </c>
      <c r="P63" s="77" t="str">
        <f t="shared" si="6"/>
        <v>2|20|105</v>
      </c>
    </row>
    <row r="64" spans="1:16" ht="12.75">
      <c r="A64" s="75">
        <v>2</v>
      </c>
      <c r="B64" s="76" t="s">
        <v>1504</v>
      </c>
      <c r="C64" s="76" t="s">
        <v>1505</v>
      </c>
      <c r="D64" s="75">
        <v>20</v>
      </c>
      <c r="E64" s="76" t="s">
        <v>1554</v>
      </c>
      <c r="F64" s="76" t="s">
        <v>1555</v>
      </c>
      <c r="G64" s="75">
        <v>106</v>
      </c>
      <c r="H64" s="76" t="s">
        <v>1558</v>
      </c>
      <c r="I64" s="76" t="s">
        <v>1559</v>
      </c>
      <c r="J64" s="74" t="str">
        <f t="shared" si="0"/>
        <v>106-Audio / Home Theater / Speaker</v>
      </c>
      <c r="K64" s="74" t="str">
        <f t="shared" si="1"/>
        <v>20-T.V. / Audio</v>
      </c>
      <c r="L64" s="74" t="str">
        <f t="shared" si="2"/>
        <v>2-Home Appliances / Electronic</v>
      </c>
      <c r="M64" s="77">
        <f t="shared" si="3"/>
        <v>2</v>
      </c>
      <c r="N64" s="77">
        <f t="shared" si="4"/>
        <v>20</v>
      </c>
      <c r="O64" s="77">
        <f t="shared" si="5"/>
        <v>106</v>
      </c>
      <c r="P64" s="77" t="str">
        <f t="shared" si="6"/>
        <v>2|20|106</v>
      </c>
    </row>
    <row r="65" spans="1:16" ht="12.75">
      <c r="A65" s="75">
        <v>2</v>
      </c>
      <c r="B65" s="76" t="s">
        <v>1504</v>
      </c>
      <c r="C65" s="76" t="s">
        <v>1505</v>
      </c>
      <c r="D65" s="75">
        <v>20</v>
      </c>
      <c r="E65" s="76" t="s">
        <v>1554</v>
      </c>
      <c r="F65" s="76" t="s">
        <v>1555</v>
      </c>
      <c r="G65" s="75">
        <v>107</v>
      </c>
      <c r="H65" s="76" t="s">
        <v>1560</v>
      </c>
      <c r="I65" s="76" t="s">
        <v>1561</v>
      </c>
      <c r="J65" s="74" t="str">
        <f t="shared" si="0"/>
        <v>107-T.V. acessories</v>
      </c>
      <c r="K65" s="74" t="str">
        <f t="shared" si="1"/>
        <v>20-T.V. / Audio</v>
      </c>
      <c r="L65" s="74" t="str">
        <f t="shared" si="2"/>
        <v>2-Home Appliances / Electronic</v>
      </c>
      <c r="M65" s="77">
        <f t="shared" si="3"/>
        <v>2</v>
      </c>
      <c r="N65" s="77">
        <f t="shared" si="4"/>
        <v>20</v>
      </c>
      <c r="O65" s="77">
        <f t="shared" si="5"/>
        <v>107</v>
      </c>
      <c r="P65" s="77" t="str">
        <f t="shared" si="6"/>
        <v>2|20|107</v>
      </c>
    </row>
    <row r="66" spans="1:16" ht="12.75">
      <c r="A66" s="75">
        <v>3</v>
      </c>
      <c r="B66" s="76" t="s">
        <v>1562</v>
      </c>
      <c r="C66" s="76" t="s">
        <v>1563</v>
      </c>
      <c r="D66" s="75">
        <v>21</v>
      </c>
      <c r="E66" s="76" t="s">
        <v>1564</v>
      </c>
      <c r="F66" s="76" t="s">
        <v>138</v>
      </c>
      <c r="G66" s="75">
        <v>108</v>
      </c>
      <c r="H66" s="76" t="s">
        <v>1565</v>
      </c>
      <c r="I66" s="76" t="s">
        <v>138</v>
      </c>
      <c r="J66" s="74" t="str">
        <f t="shared" si="0"/>
        <v>108-Drinking water</v>
      </c>
      <c r="K66" s="74" t="str">
        <f t="shared" si="1"/>
        <v>21-Water</v>
      </c>
      <c r="L66" s="74" t="str">
        <f t="shared" si="2"/>
        <v>3-Beverages</v>
      </c>
      <c r="M66" s="77">
        <f t="shared" si="3"/>
        <v>3</v>
      </c>
      <c r="N66" s="77">
        <f t="shared" si="4"/>
        <v>21</v>
      </c>
      <c r="O66" s="77">
        <f t="shared" si="5"/>
        <v>108</v>
      </c>
      <c r="P66" s="77" t="str">
        <f t="shared" si="6"/>
        <v>3|21|108</v>
      </c>
    </row>
    <row r="67" spans="1:16" ht="12.75">
      <c r="A67" s="75">
        <v>3</v>
      </c>
      <c r="B67" s="76" t="s">
        <v>1562</v>
      </c>
      <c r="C67" s="76" t="s">
        <v>1563</v>
      </c>
      <c r="D67" s="75">
        <v>21</v>
      </c>
      <c r="E67" s="76" t="s">
        <v>1564</v>
      </c>
      <c r="F67" s="76" t="s">
        <v>138</v>
      </c>
      <c r="G67" s="75">
        <v>109</v>
      </c>
      <c r="H67" s="76" t="s">
        <v>140</v>
      </c>
      <c r="I67" s="76" t="s">
        <v>112</v>
      </c>
      <c r="J67" s="74" t="str">
        <f t="shared" si="0"/>
        <v>109-Mineral Water</v>
      </c>
      <c r="K67" s="74" t="str">
        <f t="shared" si="1"/>
        <v>21-Water</v>
      </c>
      <c r="L67" s="74" t="str">
        <f t="shared" si="2"/>
        <v>3-Beverages</v>
      </c>
      <c r="M67" s="77">
        <f t="shared" si="3"/>
        <v>3</v>
      </c>
      <c r="N67" s="77">
        <f t="shared" si="4"/>
        <v>21</v>
      </c>
      <c r="O67" s="77">
        <f t="shared" si="5"/>
        <v>109</v>
      </c>
      <c r="P67" s="77" t="str">
        <f t="shared" si="6"/>
        <v>3|21|109</v>
      </c>
    </row>
    <row r="68" spans="1:16" ht="12.75">
      <c r="A68" s="75">
        <v>3</v>
      </c>
      <c r="B68" s="76" t="s">
        <v>1562</v>
      </c>
      <c r="C68" s="76" t="s">
        <v>1563</v>
      </c>
      <c r="D68" s="75">
        <v>22</v>
      </c>
      <c r="E68" s="76" t="s">
        <v>1566</v>
      </c>
      <c r="F68" s="76" t="s">
        <v>1567</v>
      </c>
      <c r="G68" s="75">
        <v>110</v>
      </c>
      <c r="H68" s="76" t="s">
        <v>1568</v>
      </c>
      <c r="I68" s="76" t="s">
        <v>1569</v>
      </c>
      <c r="J68" s="74" t="str">
        <f t="shared" si="0"/>
        <v>110-Herbal Drink</v>
      </c>
      <c r="K68" s="74" t="str">
        <f t="shared" si="1"/>
        <v>22-Fruit / Veggie Juice</v>
      </c>
      <c r="L68" s="74" t="str">
        <f t="shared" si="2"/>
        <v>3-Beverages</v>
      </c>
      <c r="M68" s="77">
        <f t="shared" si="3"/>
        <v>3</v>
      </c>
      <c r="N68" s="77">
        <f t="shared" si="4"/>
        <v>22</v>
      </c>
      <c r="O68" s="77">
        <f t="shared" si="5"/>
        <v>110</v>
      </c>
      <c r="P68" s="77" t="str">
        <f t="shared" si="6"/>
        <v>3|22|110</v>
      </c>
    </row>
    <row r="69" spans="1:16" ht="12.75">
      <c r="A69" s="75">
        <v>3</v>
      </c>
      <c r="B69" s="76" t="s">
        <v>1562</v>
      </c>
      <c r="C69" s="76" t="s">
        <v>1563</v>
      </c>
      <c r="D69" s="75">
        <v>22</v>
      </c>
      <c r="E69" s="76" t="s">
        <v>1566</v>
      </c>
      <c r="F69" s="76" t="s">
        <v>1567</v>
      </c>
      <c r="G69" s="75">
        <v>111</v>
      </c>
      <c r="H69" s="76" t="s">
        <v>1570</v>
      </c>
      <c r="I69" s="76" t="s">
        <v>1571</v>
      </c>
      <c r="J69" s="74" t="str">
        <f t="shared" si="0"/>
        <v>111-100% fruit/veggie juice</v>
      </c>
      <c r="K69" s="74" t="str">
        <f t="shared" si="1"/>
        <v>22-Fruit / Veggie Juice</v>
      </c>
      <c r="L69" s="74" t="str">
        <f t="shared" si="2"/>
        <v>3-Beverages</v>
      </c>
      <c r="M69" s="77">
        <f t="shared" si="3"/>
        <v>3</v>
      </c>
      <c r="N69" s="77">
        <f t="shared" si="4"/>
        <v>22</v>
      </c>
      <c r="O69" s="77">
        <f t="shared" si="5"/>
        <v>111</v>
      </c>
      <c r="P69" s="77" t="str">
        <f t="shared" si="6"/>
        <v>3|22|111</v>
      </c>
    </row>
    <row r="70" spans="1:16" ht="12.75">
      <c r="A70" s="75">
        <v>3</v>
      </c>
      <c r="B70" s="76" t="s">
        <v>1562</v>
      </c>
      <c r="C70" s="76" t="s">
        <v>1563</v>
      </c>
      <c r="D70" s="75">
        <v>22</v>
      </c>
      <c r="E70" s="76" t="s">
        <v>1566</v>
      </c>
      <c r="F70" s="76" t="s">
        <v>1567</v>
      </c>
      <c r="G70" s="75">
        <v>112</v>
      </c>
      <c r="H70" s="76" t="s">
        <v>1572</v>
      </c>
      <c r="I70" s="76" t="s">
        <v>1573</v>
      </c>
      <c r="J70" s="74" t="str">
        <f t="shared" si="0"/>
        <v>112-Economy&amp;Medium Fruit/Vegetable Juice</v>
      </c>
      <c r="K70" s="74" t="str">
        <f t="shared" si="1"/>
        <v>22-Fruit / Veggie Juice</v>
      </c>
      <c r="L70" s="74" t="str">
        <f t="shared" si="2"/>
        <v>3-Beverages</v>
      </c>
      <c r="M70" s="77">
        <f t="shared" si="3"/>
        <v>3</v>
      </c>
      <c r="N70" s="77">
        <f t="shared" si="4"/>
        <v>22</v>
      </c>
      <c r="O70" s="77">
        <f t="shared" si="5"/>
        <v>112</v>
      </c>
      <c r="P70" s="77" t="str">
        <f t="shared" si="6"/>
        <v>3|22|112</v>
      </c>
    </row>
    <row r="71" spans="1:16" ht="12.75">
      <c r="A71" s="75">
        <v>3</v>
      </c>
      <c r="B71" s="76" t="s">
        <v>1562</v>
      </c>
      <c r="C71" s="76" t="s">
        <v>1563</v>
      </c>
      <c r="D71" s="75">
        <v>22</v>
      </c>
      <c r="E71" s="76" t="s">
        <v>1566</v>
      </c>
      <c r="F71" s="76" t="s">
        <v>1567</v>
      </c>
      <c r="G71" s="75">
        <v>113</v>
      </c>
      <c r="H71" s="76" t="s">
        <v>1574</v>
      </c>
      <c r="I71" s="76" t="s">
        <v>1575</v>
      </c>
      <c r="J71" s="74" t="str">
        <f t="shared" si="0"/>
        <v>113-Concentrated Juice</v>
      </c>
      <c r="K71" s="74" t="str">
        <f t="shared" si="1"/>
        <v>22-Fruit / Veggie Juice</v>
      </c>
      <c r="L71" s="74" t="str">
        <f t="shared" si="2"/>
        <v>3-Beverages</v>
      </c>
      <c r="M71" s="77">
        <f t="shared" si="3"/>
        <v>3</v>
      </c>
      <c r="N71" s="77">
        <f t="shared" si="4"/>
        <v>22</v>
      </c>
      <c r="O71" s="77">
        <f t="shared" si="5"/>
        <v>113</v>
      </c>
      <c r="P71" s="77" t="str">
        <f t="shared" si="6"/>
        <v>3|22|113</v>
      </c>
    </row>
    <row r="72" spans="1:16" ht="12.75">
      <c r="A72" s="75">
        <v>3</v>
      </c>
      <c r="B72" s="76" t="s">
        <v>1562</v>
      </c>
      <c r="C72" s="76" t="s">
        <v>1563</v>
      </c>
      <c r="D72" s="75">
        <v>22</v>
      </c>
      <c r="E72" s="76" t="s">
        <v>1566</v>
      </c>
      <c r="F72" s="76" t="s">
        <v>1567</v>
      </c>
      <c r="G72" s="75">
        <v>114</v>
      </c>
      <c r="H72" s="76" t="s">
        <v>1436</v>
      </c>
      <c r="I72" s="76" t="s">
        <v>1437</v>
      </c>
      <c r="J72" s="74" t="str">
        <f t="shared" si="0"/>
        <v>114-Others</v>
      </c>
      <c r="K72" s="74" t="str">
        <f t="shared" si="1"/>
        <v>22-Fruit / Veggie Juice</v>
      </c>
      <c r="L72" s="74" t="str">
        <f t="shared" si="2"/>
        <v>3-Beverages</v>
      </c>
      <c r="M72" s="77">
        <f t="shared" si="3"/>
        <v>3</v>
      </c>
      <c r="N72" s="77">
        <f t="shared" si="4"/>
        <v>22</v>
      </c>
      <c r="O72" s="77">
        <f t="shared" si="5"/>
        <v>114</v>
      </c>
      <c r="P72" s="77" t="str">
        <f t="shared" si="6"/>
        <v>3|22|114</v>
      </c>
    </row>
    <row r="73" spans="1:16" ht="12.75">
      <c r="A73" s="75">
        <v>3</v>
      </c>
      <c r="B73" s="76" t="s">
        <v>1562</v>
      </c>
      <c r="C73" s="76" t="s">
        <v>1563</v>
      </c>
      <c r="D73" s="75">
        <v>23</v>
      </c>
      <c r="E73" s="76" t="s">
        <v>1576</v>
      </c>
      <c r="F73" s="76" t="s">
        <v>1577</v>
      </c>
      <c r="G73" s="75">
        <v>115</v>
      </c>
      <c r="H73" s="76" t="s">
        <v>1578</v>
      </c>
      <c r="I73" s="76" t="s">
        <v>1579</v>
      </c>
      <c r="J73" s="74" t="str">
        <f t="shared" si="0"/>
        <v>115-UHT / Sterilized Milk</v>
      </c>
      <c r="K73" s="74" t="str">
        <f t="shared" si="1"/>
        <v>23-Milk</v>
      </c>
      <c r="L73" s="74" t="str">
        <f t="shared" si="2"/>
        <v>3-Beverages</v>
      </c>
      <c r="M73" s="77">
        <f t="shared" si="3"/>
        <v>3</v>
      </c>
      <c r="N73" s="77">
        <f t="shared" si="4"/>
        <v>23</v>
      </c>
      <c r="O73" s="77">
        <f t="shared" si="5"/>
        <v>115</v>
      </c>
      <c r="P73" s="77" t="str">
        <f t="shared" si="6"/>
        <v>3|23|115</v>
      </c>
    </row>
    <row r="74" spans="1:16" ht="12.75">
      <c r="A74" s="75">
        <v>3</v>
      </c>
      <c r="B74" s="76" t="s">
        <v>1562</v>
      </c>
      <c r="C74" s="76" t="s">
        <v>1563</v>
      </c>
      <c r="D74" s="75">
        <v>23</v>
      </c>
      <c r="E74" s="76" t="s">
        <v>1576</v>
      </c>
      <c r="F74" s="76" t="s">
        <v>1577</v>
      </c>
      <c r="G74" s="75">
        <v>116</v>
      </c>
      <c r="H74" s="76" t="s">
        <v>1580</v>
      </c>
      <c r="I74" s="76" t="s">
        <v>1581</v>
      </c>
      <c r="J74" s="74" t="str">
        <f t="shared" si="0"/>
        <v>116-Soy Bean Milk</v>
      </c>
      <c r="K74" s="74" t="str">
        <f t="shared" si="1"/>
        <v>23-Milk</v>
      </c>
      <c r="L74" s="74" t="str">
        <f t="shared" si="2"/>
        <v>3-Beverages</v>
      </c>
      <c r="M74" s="77">
        <f t="shared" si="3"/>
        <v>3</v>
      </c>
      <c r="N74" s="77">
        <f t="shared" si="4"/>
        <v>23</v>
      </c>
      <c r="O74" s="77">
        <f t="shared" si="5"/>
        <v>116</v>
      </c>
      <c r="P74" s="77" t="str">
        <f t="shared" si="6"/>
        <v>3|23|116</v>
      </c>
    </row>
    <row r="75" spans="1:16" ht="12.75">
      <c r="A75" s="75">
        <v>3</v>
      </c>
      <c r="B75" s="76" t="s">
        <v>1562</v>
      </c>
      <c r="C75" s="76" t="s">
        <v>1563</v>
      </c>
      <c r="D75" s="75">
        <v>23</v>
      </c>
      <c r="E75" s="76" t="s">
        <v>1576</v>
      </c>
      <c r="F75" s="76" t="s">
        <v>1577</v>
      </c>
      <c r="G75" s="75">
        <v>117</v>
      </c>
      <c r="H75" s="76" t="s">
        <v>1582</v>
      </c>
      <c r="I75" s="76" t="s">
        <v>1583</v>
      </c>
      <c r="J75" s="74" t="str">
        <f t="shared" si="0"/>
        <v>117-UHT Yogurt</v>
      </c>
      <c r="K75" s="74" t="str">
        <f t="shared" si="1"/>
        <v>23-Milk</v>
      </c>
      <c r="L75" s="74" t="str">
        <f t="shared" si="2"/>
        <v>3-Beverages</v>
      </c>
      <c r="M75" s="77">
        <f t="shared" si="3"/>
        <v>3</v>
      </c>
      <c r="N75" s="77">
        <f t="shared" si="4"/>
        <v>23</v>
      </c>
      <c r="O75" s="77">
        <f t="shared" si="5"/>
        <v>117</v>
      </c>
      <c r="P75" s="77" t="str">
        <f t="shared" si="6"/>
        <v>3|23|117</v>
      </c>
    </row>
    <row r="76" spans="1:16" ht="12.75">
      <c r="A76" s="75">
        <v>3</v>
      </c>
      <c r="B76" s="76" t="s">
        <v>1562</v>
      </c>
      <c r="C76" s="76" t="s">
        <v>1563</v>
      </c>
      <c r="D76" s="75">
        <v>24</v>
      </c>
      <c r="E76" s="76" t="s">
        <v>1584</v>
      </c>
      <c r="F76" s="76" t="s">
        <v>1585</v>
      </c>
      <c r="G76" s="75">
        <v>118</v>
      </c>
      <c r="H76" s="76" t="s">
        <v>1586</v>
      </c>
      <c r="I76" s="76" t="s">
        <v>1587</v>
      </c>
      <c r="J76" s="74" t="str">
        <f t="shared" si="0"/>
        <v>118-Instant / Ready to drink coffee</v>
      </c>
      <c r="K76" s="74" t="str">
        <f t="shared" si="1"/>
        <v>24-Coffee &amp; Cream</v>
      </c>
      <c r="L76" s="74" t="str">
        <f t="shared" si="2"/>
        <v>3-Beverages</v>
      </c>
      <c r="M76" s="77">
        <f t="shared" si="3"/>
        <v>3</v>
      </c>
      <c r="N76" s="77">
        <f t="shared" si="4"/>
        <v>24</v>
      </c>
      <c r="O76" s="77">
        <f t="shared" si="5"/>
        <v>118</v>
      </c>
      <c r="P76" s="77" t="str">
        <f t="shared" si="6"/>
        <v>3|24|118</v>
      </c>
    </row>
    <row r="77" spans="1:16" ht="12.75">
      <c r="A77" s="75">
        <v>3</v>
      </c>
      <c r="B77" s="76" t="s">
        <v>1562</v>
      </c>
      <c r="C77" s="76" t="s">
        <v>1563</v>
      </c>
      <c r="D77" s="75">
        <v>24</v>
      </c>
      <c r="E77" s="76" t="s">
        <v>1584</v>
      </c>
      <c r="F77" s="76" t="s">
        <v>1585</v>
      </c>
      <c r="G77" s="75">
        <v>119</v>
      </c>
      <c r="H77" s="76" t="s">
        <v>1588</v>
      </c>
      <c r="I77" s="76" t="s">
        <v>1589</v>
      </c>
      <c r="J77" s="74" t="str">
        <f t="shared" si="0"/>
        <v>119-Roast / Ground coffee</v>
      </c>
      <c r="K77" s="74" t="str">
        <f t="shared" si="1"/>
        <v>24-Coffee &amp; Cream</v>
      </c>
      <c r="L77" s="74" t="str">
        <f t="shared" si="2"/>
        <v>3-Beverages</v>
      </c>
      <c r="M77" s="77">
        <f t="shared" si="3"/>
        <v>3</v>
      </c>
      <c r="N77" s="77">
        <f t="shared" si="4"/>
        <v>24</v>
      </c>
      <c r="O77" s="77">
        <f t="shared" si="5"/>
        <v>119</v>
      </c>
      <c r="P77" s="77" t="str">
        <f t="shared" si="6"/>
        <v>3|24|119</v>
      </c>
    </row>
    <row r="78" spans="1:16" ht="12.75">
      <c r="A78" s="75">
        <v>3</v>
      </c>
      <c r="B78" s="76" t="s">
        <v>1562</v>
      </c>
      <c r="C78" s="76" t="s">
        <v>1563</v>
      </c>
      <c r="D78" s="75">
        <v>24</v>
      </c>
      <c r="E78" s="76" t="s">
        <v>1584</v>
      </c>
      <c r="F78" s="76" t="s">
        <v>1585</v>
      </c>
      <c r="G78" s="75">
        <v>120</v>
      </c>
      <c r="H78" s="76" t="s">
        <v>1590</v>
      </c>
      <c r="I78" s="76" t="s">
        <v>1591</v>
      </c>
      <c r="J78" s="74" t="str">
        <f t="shared" si="0"/>
        <v>120-Coffee sugar</v>
      </c>
      <c r="K78" s="74" t="str">
        <f t="shared" si="1"/>
        <v>24-Coffee &amp; Cream</v>
      </c>
      <c r="L78" s="74" t="str">
        <f t="shared" si="2"/>
        <v>3-Beverages</v>
      </c>
      <c r="M78" s="77">
        <f t="shared" si="3"/>
        <v>3</v>
      </c>
      <c r="N78" s="77">
        <f t="shared" si="4"/>
        <v>24</v>
      </c>
      <c r="O78" s="77">
        <f t="shared" si="5"/>
        <v>120</v>
      </c>
      <c r="P78" s="77" t="str">
        <f t="shared" si="6"/>
        <v>3|24|120</v>
      </c>
    </row>
    <row r="79" spans="1:16" ht="12.75">
      <c r="A79" s="75">
        <v>3</v>
      </c>
      <c r="B79" s="76" t="s">
        <v>1562</v>
      </c>
      <c r="C79" s="76" t="s">
        <v>1563</v>
      </c>
      <c r="D79" s="75">
        <v>24</v>
      </c>
      <c r="E79" s="76" t="s">
        <v>1584</v>
      </c>
      <c r="F79" s="76" t="s">
        <v>1585</v>
      </c>
      <c r="G79" s="75">
        <v>121</v>
      </c>
      <c r="H79" s="76" t="s">
        <v>1592</v>
      </c>
      <c r="I79" s="76" t="s">
        <v>106</v>
      </c>
      <c r="J79" s="74" t="str">
        <f t="shared" si="0"/>
        <v>121-Coffee cream</v>
      </c>
      <c r="K79" s="74" t="str">
        <f t="shared" si="1"/>
        <v>24-Coffee &amp; Cream</v>
      </c>
      <c r="L79" s="74" t="str">
        <f t="shared" si="2"/>
        <v>3-Beverages</v>
      </c>
      <c r="M79" s="77">
        <f t="shared" si="3"/>
        <v>3</v>
      </c>
      <c r="N79" s="77">
        <f t="shared" si="4"/>
        <v>24</v>
      </c>
      <c r="O79" s="77">
        <f t="shared" si="5"/>
        <v>121</v>
      </c>
      <c r="P79" s="77" t="str">
        <f t="shared" si="6"/>
        <v>3|24|121</v>
      </c>
    </row>
    <row r="80" spans="1:16" ht="12.75">
      <c r="A80" s="75">
        <v>3</v>
      </c>
      <c r="B80" s="76" t="s">
        <v>1562</v>
      </c>
      <c r="C80" s="76" t="s">
        <v>1563</v>
      </c>
      <c r="D80" s="75">
        <v>25</v>
      </c>
      <c r="E80" s="76" t="s">
        <v>1593</v>
      </c>
      <c r="F80" s="76" t="s">
        <v>1594</v>
      </c>
      <c r="G80" s="75">
        <v>122</v>
      </c>
      <c r="H80" s="76" t="s">
        <v>1595</v>
      </c>
      <c r="I80" s="76" t="s">
        <v>1596</v>
      </c>
      <c r="J80" s="74" t="str">
        <f t="shared" si="0"/>
        <v>122-Tea / Tea Leaves</v>
      </c>
      <c r="K80" s="74" t="str">
        <f t="shared" si="1"/>
        <v>25-Tea</v>
      </c>
      <c r="L80" s="74" t="str">
        <f t="shared" si="2"/>
        <v>3-Beverages</v>
      </c>
      <c r="M80" s="77">
        <f t="shared" si="3"/>
        <v>3</v>
      </c>
      <c r="N80" s="77">
        <f t="shared" si="4"/>
        <v>25</v>
      </c>
      <c r="O80" s="77">
        <f t="shared" si="5"/>
        <v>122</v>
      </c>
      <c r="P80" s="77" t="str">
        <f t="shared" si="6"/>
        <v>3|25|122</v>
      </c>
    </row>
    <row r="81" spans="1:16" ht="12.75">
      <c r="A81" s="75">
        <v>3</v>
      </c>
      <c r="B81" s="76" t="s">
        <v>1562</v>
      </c>
      <c r="C81" s="76" t="s">
        <v>1563</v>
      </c>
      <c r="D81" s="75">
        <v>25</v>
      </c>
      <c r="E81" s="76" t="s">
        <v>1593</v>
      </c>
      <c r="F81" s="76" t="s">
        <v>1594</v>
      </c>
      <c r="G81" s="75">
        <v>123</v>
      </c>
      <c r="H81" s="76" t="s">
        <v>1597</v>
      </c>
      <c r="I81" s="76" t="s">
        <v>1598</v>
      </c>
      <c r="J81" s="74" t="str">
        <f t="shared" si="0"/>
        <v>123-Ready to drink tea</v>
      </c>
      <c r="K81" s="74" t="str">
        <f t="shared" si="1"/>
        <v>25-Tea</v>
      </c>
      <c r="L81" s="74" t="str">
        <f t="shared" si="2"/>
        <v>3-Beverages</v>
      </c>
      <c r="M81" s="77">
        <f t="shared" si="3"/>
        <v>3</v>
      </c>
      <c r="N81" s="77">
        <f t="shared" si="4"/>
        <v>25</v>
      </c>
      <c r="O81" s="77">
        <f t="shared" si="5"/>
        <v>123</v>
      </c>
      <c r="P81" s="77" t="str">
        <f t="shared" si="6"/>
        <v>3|25|123</v>
      </c>
    </row>
    <row r="82" spans="1:16" ht="12.75">
      <c r="A82" s="75">
        <v>3</v>
      </c>
      <c r="B82" s="76" t="s">
        <v>1562</v>
      </c>
      <c r="C82" s="76" t="s">
        <v>1563</v>
      </c>
      <c r="D82" s="75">
        <v>25</v>
      </c>
      <c r="E82" s="76" t="s">
        <v>1593</v>
      </c>
      <c r="F82" s="76" t="s">
        <v>1594</v>
      </c>
      <c r="G82" s="75">
        <v>124</v>
      </c>
      <c r="H82" s="76" t="s">
        <v>1436</v>
      </c>
      <c r="I82" s="76" t="s">
        <v>1599</v>
      </c>
      <c r="J82" s="74" t="str">
        <f t="shared" si="0"/>
        <v>124-Others</v>
      </c>
      <c r="K82" s="74" t="str">
        <f t="shared" si="1"/>
        <v>25-Tea</v>
      </c>
      <c r="L82" s="74" t="str">
        <f t="shared" si="2"/>
        <v>3-Beverages</v>
      </c>
      <c r="M82" s="77">
        <f t="shared" si="3"/>
        <v>3</v>
      </c>
      <c r="N82" s="77">
        <f t="shared" si="4"/>
        <v>25</v>
      </c>
      <c r="O82" s="77">
        <f t="shared" si="5"/>
        <v>124</v>
      </c>
      <c r="P82" s="77" t="str">
        <f t="shared" si="6"/>
        <v>3|25|124</v>
      </c>
    </row>
    <row r="83" spans="1:16" ht="12.75">
      <c r="A83" s="75">
        <v>3</v>
      </c>
      <c r="B83" s="76" t="s">
        <v>1562</v>
      </c>
      <c r="C83" s="76" t="s">
        <v>1563</v>
      </c>
      <c r="D83" s="75">
        <v>26</v>
      </c>
      <c r="E83" s="76" t="s">
        <v>125</v>
      </c>
      <c r="F83" s="76" t="s">
        <v>1600</v>
      </c>
      <c r="G83" s="75">
        <v>125</v>
      </c>
      <c r="H83" s="76" t="s">
        <v>1601</v>
      </c>
      <c r="I83" s="76" t="s">
        <v>1602</v>
      </c>
      <c r="J83" s="74" t="str">
        <f t="shared" si="0"/>
        <v>125-Soda / Mixer</v>
      </c>
      <c r="K83" s="74" t="str">
        <f t="shared" si="1"/>
        <v>26-Soft Drink</v>
      </c>
      <c r="L83" s="74" t="str">
        <f t="shared" si="2"/>
        <v>3-Beverages</v>
      </c>
      <c r="M83" s="77">
        <f t="shared" si="3"/>
        <v>3</v>
      </c>
      <c r="N83" s="77">
        <f t="shared" si="4"/>
        <v>26</v>
      </c>
      <c r="O83" s="77">
        <f t="shared" si="5"/>
        <v>125</v>
      </c>
      <c r="P83" s="77" t="str">
        <f t="shared" si="6"/>
        <v>3|26|125</v>
      </c>
    </row>
    <row r="84" spans="1:16" ht="12.75">
      <c r="A84" s="75">
        <v>3</v>
      </c>
      <c r="B84" s="76" t="s">
        <v>1562</v>
      </c>
      <c r="C84" s="76" t="s">
        <v>1563</v>
      </c>
      <c r="D84" s="75">
        <v>26</v>
      </c>
      <c r="E84" s="76" t="s">
        <v>125</v>
      </c>
      <c r="F84" s="76" t="s">
        <v>1600</v>
      </c>
      <c r="G84" s="75">
        <v>126</v>
      </c>
      <c r="H84" s="76" t="s">
        <v>125</v>
      </c>
      <c r="I84" s="76" t="s">
        <v>1603</v>
      </c>
      <c r="J84" s="74" t="str">
        <f t="shared" si="0"/>
        <v>126-Soft Drink</v>
      </c>
      <c r="K84" s="74" t="str">
        <f t="shared" si="1"/>
        <v>26-Soft Drink</v>
      </c>
      <c r="L84" s="74" t="str">
        <f t="shared" si="2"/>
        <v>3-Beverages</v>
      </c>
      <c r="M84" s="77">
        <f t="shared" si="3"/>
        <v>3</v>
      </c>
      <c r="N84" s="77">
        <f t="shared" si="4"/>
        <v>26</v>
      </c>
      <c r="O84" s="77">
        <f t="shared" si="5"/>
        <v>126</v>
      </c>
      <c r="P84" s="77" t="str">
        <f t="shared" si="6"/>
        <v>3|26|126</v>
      </c>
    </row>
    <row r="85" spans="1:16" ht="12.75">
      <c r="A85" s="75">
        <v>3</v>
      </c>
      <c r="B85" s="76" t="s">
        <v>1562</v>
      </c>
      <c r="C85" s="76" t="s">
        <v>1563</v>
      </c>
      <c r="D85" s="75">
        <v>26</v>
      </c>
      <c r="E85" s="76" t="s">
        <v>125</v>
      </c>
      <c r="F85" s="76" t="s">
        <v>1600</v>
      </c>
      <c r="G85" s="75">
        <v>127</v>
      </c>
      <c r="H85" s="76" t="s">
        <v>1604</v>
      </c>
      <c r="I85" s="76" t="s">
        <v>1605</v>
      </c>
      <c r="J85" s="74" t="str">
        <f t="shared" si="0"/>
        <v>127-Concentrated sweet drink</v>
      </c>
      <c r="K85" s="74" t="str">
        <f t="shared" si="1"/>
        <v>26-Soft Drink</v>
      </c>
      <c r="L85" s="74" t="str">
        <f t="shared" si="2"/>
        <v>3-Beverages</v>
      </c>
      <c r="M85" s="77">
        <f t="shared" si="3"/>
        <v>3</v>
      </c>
      <c r="N85" s="77">
        <f t="shared" si="4"/>
        <v>26</v>
      </c>
      <c r="O85" s="77">
        <f t="shared" si="5"/>
        <v>127</v>
      </c>
      <c r="P85" s="77" t="str">
        <f t="shared" si="6"/>
        <v>3|26|127</v>
      </c>
    </row>
    <row r="86" spans="1:16" ht="12.75">
      <c r="A86" s="75">
        <v>3</v>
      </c>
      <c r="B86" s="76" t="s">
        <v>1562</v>
      </c>
      <c r="C86" s="76" t="s">
        <v>1563</v>
      </c>
      <c r="D86" s="75">
        <v>27</v>
      </c>
      <c r="E86" s="76" t="s">
        <v>1606</v>
      </c>
      <c r="F86" s="76" t="s">
        <v>1607</v>
      </c>
      <c r="G86" s="75">
        <v>128</v>
      </c>
      <c r="H86" s="76" t="s">
        <v>1608</v>
      </c>
      <c r="I86" s="76" t="s">
        <v>1609</v>
      </c>
      <c r="J86" s="74" t="str">
        <f t="shared" si="0"/>
        <v>128-Chicken essense / Mushroom extract</v>
      </c>
      <c r="K86" s="74" t="str">
        <f t="shared" si="1"/>
        <v>27-Health Supplement</v>
      </c>
      <c r="L86" s="74" t="str">
        <f t="shared" si="2"/>
        <v>3-Beverages</v>
      </c>
      <c r="M86" s="77">
        <f t="shared" si="3"/>
        <v>3</v>
      </c>
      <c r="N86" s="77">
        <f t="shared" si="4"/>
        <v>27</v>
      </c>
      <c r="O86" s="77">
        <f t="shared" si="5"/>
        <v>128</v>
      </c>
      <c r="P86" s="77" t="str">
        <f t="shared" si="6"/>
        <v>3|27|128</v>
      </c>
    </row>
    <row r="87" spans="1:16" ht="12.75">
      <c r="A87" s="75">
        <v>3</v>
      </c>
      <c r="B87" s="76" t="s">
        <v>1562</v>
      </c>
      <c r="C87" s="76" t="s">
        <v>1563</v>
      </c>
      <c r="D87" s="75">
        <v>27</v>
      </c>
      <c r="E87" s="76" t="s">
        <v>1606</v>
      </c>
      <c r="F87" s="76" t="s">
        <v>1607</v>
      </c>
      <c r="G87" s="75">
        <v>129</v>
      </c>
      <c r="H87" s="76" t="s">
        <v>1610</v>
      </c>
      <c r="I87" s="76" t="s">
        <v>1611</v>
      </c>
      <c r="J87" s="74" t="str">
        <f t="shared" si="0"/>
        <v>129-Herbal / Condensed juice</v>
      </c>
      <c r="K87" s="74" t="str">
        <f t="shared" si="1"/>
        <v>27-Health Supplement</v>
      </c>
      <c r="L87" s="74" t="str">
        <f t="shared" si="2"/>
        <v>3-Beverages</v>
      </c>
      <c r="M87" s="77">
        <f t="shared" si="3"/>
        <v>3</v>
      </c>
      <c r="N87" s="77">
        <f t="shared" si="4"/>
        <v>27</v>
      </c>
      <c r="O87" s="77">
        <f t="shared" si="5"/>
        <v>129</v>
      </c>
      <c r="P87" s="77" t="str">
        <f t="shared" si="6"/>
        <v>3|27|129</v>
      </c>
    </row>
    <row r="88" spans="1:16" ht="12.75">
      <c r="A88" s="75">
        <v>3</v>
      </c>
      <c r="B88" s="76" t="s">
        <v>1562</v>
      </c>
      <c r="C88" s="76" t="s">
        <v>1563</v>
      </c>
      <c r="D88" s="75">
        <v>27</v>
      </c>
      <c r="E88" s="76" t="s">
        <v>1606</v>
      </c>
      <c r="F88" s="76" t="s">
        <v>1607</v>
      </c>
      <c r="G88" s="75">
        <v>130</v>
      </c>
      <c r="H88" s="76" t="s">
        <v>1612</v>
      </c>
      <c r="I88" s="76" t="s">
        <v>5275</v>
      </c>
      <c r="J88" s="74" t="str">
        <f t="shared" si="0"/>
        <v>130-Birdnest / Ginseng</v>
      </c>
      <c r="K88" s="74" t="str">
        <f t="shared" si="1"/>
        <v>27-Health Supplement</v>
      </c>
      <c r="L88" s="74" t="str">
        <f t="shared" si="2"/>
        <v>3-Beverages</v>
      </c>
      <c r="M88" s="77">
        <f t="shared" si="3"/>
        <v>3</v>
      </c>
      <c r="N88" s="77">
        <f t="shared" si="4"/>
        <v>27</v>
      </c>
      <c r="O88" s="77">
        <f t="shared" si="5"/>
        <v>130</v>
      </c>
      <c r="P88" s="77" t="str">
        <f t="shared" si="6"/>
        <v>3|27|130</v>
      </c>
    </row>
    <row r="89" spans="1:16" ht="12.75">
      <c r="A89" s="75">
        <v>3</v>
      </c>
      <c r="B89" s="76" t="s">
        <v>1562</v>
      </c>
      <c r="C89" s="76" t="s">
        <v>1563</v>
      </c>
      <c r="D89" s="75">
        <v>27</v>
      </c>
      <c r="E89" s="76" t="s">
        <v>1606</v>
      </c>
      <c r="F89" s="76" t="s">
        <v>1607</v>
      </c>
      <c r="G89" s="75">
        <v>131</v>
      </c>
      <c r="H89" s="76" t="s">
        <v>1613</v>
      </c>
      <c r="I89" s="76" t="s">
        <v>1614</v>
      </c>
      <c r="J89" s="74" t="str">
        <f t="shared" si="0"/>
        <v>131-Energy drink</v>
      </c>
      <c r="K89" s="74" t="str">
        <f t="shared" si="1"/>
        <v>27-Health Supplement</v>
      </c>
      <c r="L89" s="74" t="str">
        <f t="shared" si="2"/>
        <v>3-Beverages</v>
      </c>
      <c r="M89" s="77">
        <f t="shared" si="3"/>
        <v>3</v>
      </c>
      <c r="N89" s="77">
        <f t="shared" si="4"/>
        <v>27</v>
      </c>
      <c r="O89" s="77">
        <f t="shared" si="5"/>
        <v>131</v>
      </c>
      <c r="P89" s="77" t="str">
        <f t="shared" si="6"/>
        <v>3|27|131</v>
      </c>
    </row>
    <row r="90" spans="1:16" ht="12.75">
      <c r="A90" s="75">
        <v>3</v>
      </c>
      <c r="B90" s="76" t="s">
        <v>1562</v>
      </c>
      <c r="C90" s="76" t="s">
        <v>1563</v>
      </c>
      <c r="D90" s="75">
        <v>27</v>
      </c>
      <c r="E90" s="76" t="s">
        <v>1606</v>
      </c>
      <c r="F90" s="76" t="s">
        <v>1607</v>
      </c>
      <c r="G90" s="75">
        <v>132</v>
      </c>
      <c r="H90" s="76" t="s">
        <v>1615</v>
      </c>
      <c r="I90" s="76" t="s">
        <v>5276</v>
      </c>
      <c r="J90" s="74" t="str">
        <f t="shared" si="0"/>
        <v>132-Collagen / Vitamin / Fiber drink</v>
      </c>
      <c r="K90" s="74" t="str">
        <f t="shared" si="1"/>
        <v>27-Health Supplement</v>
      </c>
      <c r="L90" s="74" t="str">
        <f t="shared" si="2"/>
        <v>3-Beverages</v>
      </c>
      <c r="M90" s="77">
        <f t="shared" si="3"/>
        <v>3</v>
      </c>
      <c r="N90" s="77">
        <f t="shared" si="4"/>
        <v>27</v>
      </c>
      <c r="O90" s="77">
        <f t="shared" si="5"/>
        <v>132</v>
      </c>
      <c r="P90" s="77" t="str">
        <f t="shared" si="6"/>
        <v>3|27|132</v>
      </c>
    </row>
    <row r="91" spans="1:16" ht="12.75">
      <c r="A91" s="75">
        <v>3</v>
      </c>
      <c r="B91" s="76" t="s">
        <v>1562</v>
      </c>
      <c r="C91" s="76" t="s">
        <v>1563</v>
      </c>
      <c r="D91" s="75">
        <v>28</v>
      </c>
      <c r="E91" s="76" t="s">
        <v>1616</v>
      </c>
      <c r="F91" s="78"/>
      <c r="G91" s="75">
        <v>133</v>
      </c>
      <c r="H91" s="76" t="s">
        <v>1617</v>
      </c>
      <c r="I91" s="76" t="s">
        <v>1618</v>
      </c>
      <c r="J91" s="74" t="str">
        <f t="shared" si="0"/>
        <v>133-Herbal drink / Cereal drink</v>
      </c>
      <c r="K91" s="74" t="str">
        <f t="shared" si="1"/>
        <v>28-Power drink</v>
      </c>
      <c r="L91" s="74" t="str">
        <f t="shared" si="2"/>
        <v>3-Beverages</v>
      </c>
      <c r="M91" s="77">
        <f t="shared" si="3"/>
        <v>3</v>
      </c>
      <c r="N91" s="77">
        <f t="shared" si="4"/>
        <v>28</v>
      </c>
      <c r="O91" s="77">
        <f t="shared" si="5"/>
        <v>133</v>
      </c>
      <c r="P91" s="77" t="str">
        <f t="shared" si="6"/>
        <v>3|28|133</v>
      </c>
    </row>
    <row r="92" spans="1:16" ht="12.75">
      <c r="A92" s="75">
        <v>3</v>
      </c>
      <c r="B92" s="76" t="s">
        <v>1562</v>
      </c>
      <c r="C92" s="76" t="s">
        <v>1563</v>
      </c>
      <c r="D92" s="75">
        <v>28</v>
      </c>
      <c r="E92" s="76" t="s">
        <v>1616</v>
      </c>
      <c r="F92" s="78"/>
      <c r="G92" s="75">
        <v>134</v>
      </c>
      <c r="H92" s="76" t="s">
        <v>1619</v>
      </c>
      <c r="I92" s="76" t="s">
        <v>1620</v>
      </c>
      <c r="J92" s="74" t="str">
        <f t="shared" si="0"/>
        <v>134-Chocolate / coco / Malt drink</v>
      </c>
      <c r="K92" s="74" t="str">
        <f t="shared" si="1"/>
        <v>28-Power drink</v>
      </c>
      <c r="L92" s="74" t="str">
        <f t="shared" si="2"/>
        <v>3-Beverages</v>
      </c>
      <c r="M92" s="77">
        <f t="shared" si="3"/>
        <v>3</v>
      </c>
      <c r="N92" s="77">
        <f t="shared" si="4"/>
        <v>28</v>
      </c>
      <c r="O92" s="77">
        <f t="shared" si="5"/>
        <v>134</v>
      </c>
      <c r="P92" s="77" t="str">
        <f t="shared" si="6"/>
        <v>3|28|134</v>
      </c>
    </row>
    <row r="93" spans="1:16" ht="12.75">
      <c r="A93" s="75">
        <v>4</v>
      </c>
      <c r="B93" s="76" t="s">
        <v>1621</v>
      </c>
      <c r="C93" s="76" t="s">
        <v>1622</v>
      </c>
      <c r="D93" s="75">
        <v>29</v>
      </c>
      <c r="E93" s="76" t="s">
        <v>1623</v>
      </c>
      <c r="F93" s="76" t="s">
        <v>1624</v>
      </c>
      <c r="G93" s="75">
        <v>135</v>
      </c>
      <c r="H93" s="76" t="s">
        <v>1625</v>
      </c>
      <c r="I93" s="76" t="s">
        <v>1626</v>
      </c>
      <c r="J93" s="74" t="str">
        <f t="shared" si="0"/>
        <v>135-Chips</v>
      </c>
      <c r="K93" s="74" t="str">
        <f t="shared" si="1"/>
        <v>29-Snack</v>
      </c>
      <c r="L93" s="74" t="str">
        <f t="shared" si="2"/>
        <v>4-Snack &amp; Sweets</v>
      </c>
      <c r="M93" s="77">
        <f t="shared" si="3"/>
        <v>4</v>
      </c>
      <c r="N93" s="77">
        <f t="shared" si="4"/>
        <v>29</v>
      </c>
      <c r="O93" s="77">
        <f t="shared" si="5"/>
        <v>135</v>
      </c>
      <c r="P93" s="77" t="str">
        <f t="shared" si="6"/>
        <v>4|29|135</v>
      </c>
    </row>
    <row r="94" spans="1:16" ht="12.75">
      <c r="A94" s="75">
        <v>4</v>
      </c>
      <c r="B94" s="76" t="s">
        <v>1621</v>
      </c>
      <c r="C94" s="76" t="s">
        <v>1622</v>
      </c>
      <c r="D94" s="75">
        <v>29</v>
      </c>
      <c r="E94" s="76" t="s">
        <v>1623</v>
      </c>
      <c r="F94" s="76" t="s">
        <v>1624</v>
      </c>
      <c r="G94" s="75">
        <v>136</v>
      </c>
      <c r="H94" s="76" t="s">
        <v>1623</v>
      </c>
      <c r="I94" s="76" t="s">
        <v>1627</v>
      </c>
      <c r="J94" s="74" t="str">
        <f t="shared" si="0"/>
        <v>136-Snack</v>
      </c>
      <c r="K94" s="74" t="str">
        <f t="shared" si="1"/>
        <v>29-Snack</v>
      </c>
      <c r="L94" s="74" t="str">
        <f t="shared" si="2"/>
        <v>4-Snack &amp; Sweets</v>
      </c>
      <c r="M94" s="77">
        <f t="shared" si="3"/>
        <v>4</v>
      </c>
      <c r="N94" s="77">
        <f t="shared" si="4"/>
        <v>29</v>
      </c>
      <c r="O94" s="77">
        <f t="shared" si="5"/>
        <v>136</v>
      </c>
      <c r="P94" s="77" t="str">
        <f t="shared" si="6"/>
        <v>4|29|136</v>
      </c>
    </row>
    <row r="95" spans="1:16" ht="12.75">
      <c r="A95" s="75">
        <v>4</v>
      </c>
      <c r="B95" s="76" t="s">
        <v>1621</v>
      </c>
      <c r="C95" s="76" t="s">
        <v>1622</v>
      </c>
      <c r="D95" s="75">
        <v>29</v>
      </c>
      <c r="E95" s="76" t="s">
        <v>1623</v>
      </c>
      <c r="F95" s="76" t="s">
        <v>1624</v>
      </c>
      <c r="G95" s="75">
        <v>137</v>
      </c>
      <c r="H95" s="76" t="s">
        <v>1628</v>
      </c>
      <c r="I95" s="76" t="s">
        <v>1629</v>
      </c>
      <c r="J95" s="74" t="str">
        <f t="shared" si="0"/>
        <v>137-Crackers</v>
      </c>
      <c r="K95" s="74" t="str">
        <f t="shared" si="1"/>
        <v>29-Snack</v>
      </c>
      <c r="L95" s="74" t="str">
        <f t="shared" si="2"/>
        <v>4-Snack &amp; Sweets</v>
      </c>
      <c r="M95" s="77">
        <f t="shared" si="3"/>
        <v>4</v>
      </c>
      <c r="N95" s="77">
        <f t="shared" si="4"/>
        <v>29</v>
      </c>
      <c r="O95" s="77">
        <f t="shared" si="5"/>
        <v>137</v>
      </c>
      <c r="P95" s="77" t="str">
        <f t="shared" si="6"/>
        <v>4|29|137</v>
      </c>
    </row>
    <row r="96" spans="1:16" ht="12.75">
      <c r="A96" s="75">
        <v>4</v>
      </c>
      <c r="B96" s="76" t="s">
        <v>1621</v>
      </c>
      <c r="C96" s="76" t="s">
        <v>1622</v>
      </c>
      <c r="D96" s="75">
        <v>29</v>
      </c>
      <c r="E96" s="76" t="s">
        <v>1623</v>
      </c>
      <c r="F96" s="76" t="s">
        <v>1624</v>
      </c>
      <c r="G96" s="75">
        <v>138</v>
      </c>
      <c r="H96" s="76" t="s">
        <v>1630</v>
      </c>
      <c r="I96" s="76" t="s">
        <v>1631</v>
      </c>
      <c r="J96" s="74" t="str">
        <f t="shared" si="0"/>
        <v>138-Snack Fish</v>
      </c>
      <c r="K96" s="74" t="str">
        <f t="shared" si="1"/>
        <v>29-Snack</v>
      </c>
      <c r="L96" s="74" t="str">
        <f t="shared" si="2"/>
        <v>4-Snack &amp; Sweets</v>
      </c>
      <c r="M96" s="77">
        <f t="shared" si="3"/>
        <v>4</v>
      </c>
      <c r="N96" s="77">
        <f t="shared" si="4"/>
        <v>29</v>
      </c>
      <c r="O96" s="77">
        <f t="shared" si="5"/>
        <v>138</v>
      </c>
      <c r="P96" s="77" t="str">
        <f t="shared" si="6"/>
        <v>4|29|138</v>
      </c>
    </row>
    <row r="97" spans="1:16" ht="12.75">
      <c r="A97" s="75">
        <v>4</v>
      </c>
      <c r="B97" s="76" t="s">
        <v>1621</v>
      </c>
      <c r="C97" s="76" t="s">
        <v>1622</v>
      </c>
      <c r="D97" s="75">
        <v>29</v>
      </c>
      <c r="E97" s="76" t="s">
        <v>1623</v>
      </c>
      <c r="F97" s="76" t="s">
        <v>1624</v>
      </c>
      <c r="G97" s="75">
        <v>139</v>
      </c>
      <c r="H97" s="76" t="s">
        <v>1632</v>
      </c>
      <c r="I97" s="76" t="s">
        <v>1633</v>
      </c>
      <c r="J97" s="74" t="str">
        <f t="shared" si="0"/>
        <v>139-Seasoned Seaweed</v>
      </c>
      <c r="K97" s="74" t="str">
        <f t="shared" si="1"/>
        <v>29-Snack</v>
      </c>
      <c r="L97" s="74" t="str">
        <f t="shared" si="2"/>
        <v>4-Snack &amp; Sweets</v>
      </c>
      <c r="M97" s="77">
        <f t="shared" si="3"/>
        <v>4</v>
      </c>
      <c r="N97" s="77">
        <f t="shared" si="4"/>
        <v>29</v>
      </c>
      <c r="O97" s="77">
        <f t="shared" si="5"/>
        <v>139</v>
      </c>
      <c r="P97" s="77" t="str">
        <f t="shared" si="6"/>
        <v>4|29|139</v>
      </c>
    </row>
    <row r="98" spans="1:16" ht="12.75">
      <c r="A98" s="75">
        <v>4</v>
      </c>
      <c r="B98" s="76" t="s">
        <v>1621</v>
      </c>
      <c r="C98" s="76" t="s">
        <v>1622</v>
      </c>
      <c r="D98" s="75">
        <v>29</v>
      </c>
      <c r="E98" s="76" t="s">
        <v>1623</v>
      </c>
      <c r="F98" s="76" t="s">
        <v>1624</v>
      </c>
      <c r="G98" s="75">
        <v>140</v>
      </c>
      <c r="H98" s="76" t="s">
        <v>1634</v>
      </c>
      <c r="I98" s="76" t="s">
        <v>1635</v>
      </c>
      <c r="J98" s="74" t="str">
        <f t="shared" si="0"/>
        <v>140-Popcorn</v>
      </c>
      <c r="K98" s="74" t="str">
        <f t="shared" si="1"/>
        <v>29-Snack</v>
      </c>
      <c r="L98" s="74" t="str">
        <f t="shared" si="2"/>
        <v>4-Snack &amp; Sweets</v>
      </c>
      <c r="M98" s="77">
        <f t="shared" si="3"/>
        <v>4</v>
      </c>
      <c r="N98" s="77">
        <f t="shared" si="4"/>
        <v>29</v>
      </c>
      <c r="O98" s="77">
        <f t="shared" si="5"/>
        <v>140</v>
      </c>
      <c r="P98" s="77" t="str">
        <f t="shared" si="6"/>
        <v>4|29|140</v>
      </c>
    </row>
    <row r="99" spans="1:16" ht="12.75">
      <c r="A99" s="75">
        <v>4</v>
      </c>
      <c r="B99" s="76" t="s">
        <v>1621</v>
      </c>
      <c r="C99" s="76" t="s">
        <v>1622</v>
      </c>
      <c r="D99" s="75">
        <v>29</v>
      </c>
      <c r="E99" s="76" t="s">
        <v>1623</v>
      </c>
      <c r="F99" s="76" t="s">
        <v>1624</v>
      </c>
      <c r="G99" s="75">
        <v>141</v>
      </c>
      <c r="H99" s="76" t="s">
        <v>1636</v>
      </c>
      <c r="I99" s="76" t="s">
        <v>1637</v>
      </c>
      <c r="J99" s="74" t="str">
        <f t="shared" si="0"/>
        <v>141-Seasoned Squid</v>
      </c>
      <c r="K99" s="74" t="str">
        <f t="shared" si="1"/>
        <v>29-Snack</v>
      </c>
      <c r="L99" s="74" t="str">
        <f t="shared" si="2"/>
        <v>4-Snack &amp; Sweets</v>
      </c>
      <c r="M99" s="77">
        <f t="shared" si="3"/>
        <v>4</v>
      </c>
      <c r="N99" s="77">
        <f t="shared" si="4"/>
        <v>29</v>
      </c>
      <c r="O99" s="77">
        <f t="shared" si="5"/>
        <v>141</v>
      </c>
      <c r="P99" s="77" t="str">
        <f t="shared" si="6"/>
        <v>4|29|141</v>
      </c>
    </row>
    <row r="100" spans="1:16" ht="12.75">
      <c r="A100" s="75">
        <v>4</v>
      </c>
      <c r="B100" s="76" t="s">
        <v>1621</v>
      </c>
      <c r="C100" s="76" t="s">
        <v>1622</v>
      </c>
      <c r="D100" s="75">
        <v>29</v>
      </c>
      <c r="E100" s="76" t="s">
        <v>1623</v>
      </c>
      <c r="F100" s="76" t="s">
        <v>1624</v>
      </c>
      <c r="G100" s="75">
        <v>142</v>
      </c>
      <c r="H100" s="76" t="s">
        <v>1638</v>
      </c>
      <c r="I100" s="76" t="s">
        <v>1639</v>
      </c>
      <c r="J100" s="74" t="str">
        <f t="shared" si="0"/>
        <v>142-Seasoned Fish Strip</v>
      </c>
      <c r="K100" s="74" t="str">
        <f t="shared" si="1"/>
        <v>29-Snack</v>
      </c>
      <c r="L100" s="74" t="str">
        <f t="shared" si="2"/>
        <v>4-Snack &amp; Sweets</v>
      </c>
      <c r="M100" s="77">
        <f t="shared" si="3"/>
        <v>4</v>
      </c>
      <c r="N100" s="77">
        <f t="shared" si="4"/>
        <v>29</v>
      </c>
      <c r="O100" s="77">
        <f t="shared" si="5"/>
        <v>142</v>
      </c>
      <c r="P100" s="77" t="str">
        <f t="shared" si="6"/>
        <v>4|29|142</v>
      </c>
    </row>
    <row r="101" spans="1:16" ht="12.75">
      <c r="A101" s="75">
        <v>4</v>
      </c>
      <c r="B101" s="76" t="s">
        <v>1621</v>
      </c>
      <c r="C101" s="76" t="s">
        <v>1622</v>
      </c>
      <c r="D101" s="75">
        <v>29</v>
      </c>
      <c r="E101" s="76" t="s">
        <v>1623</v>
      </c>
      <c r="F101" s="76" t="s">
        <v>1624</v>
      </c>
      <c r="G101" s="75">
        <v>143</v>
      </c>
      <c r="H101" s="76" t="s">
        <v>1640</v>
      </c>
      <c r="I101" s="76" t="s">
        <v>1641</v>
      </c>
      <c r="J101" s="74" t="str">
        <f t="shared" si="0"/>
        <v>143-Seasoned Beans</v>
      </c>
      <c r="K101" s="74" t="str">
        <f t="shared" si="1"/>
        <v>29-Snack</v>
      </c>
      <c r="L101" s="74" t="str">
        <f t="shared" si="2"/>
        <v>4-Snack &amp; Sweets</v>
      </c>
      <c r="M101" s="77">
        <f t="shared" si="3"/>
        <v>4</v>
      </c>
      <c r="N101" s="77">
        <f t="shared" si="4"/>
        <v>29</v>
      </c>
      <c r="O101" s="77">
        <f t="shared" si="5"/>
        <v>143</v>
      </c>
      <c r="P101" s="77" t="str">
        <f t="shared" si="6"/>
        <v>4|29|143</v>
      </c>
    </row>
    <row r="102" spans="1:16" ht="12.75">
      <c r="A102" s="75">
        <v>4</v>
      </c>
      <c r="B102" s="76" t="s">
        <v>1621</v>
      </c>
      <c r="C102" s="76" t="s">
        <v>1622</v>
      </c>
      <c r="D102" s="75">
        <v>30</v>
      </c>
      <c r="E102" s="76" t="s">
        <v>1642</v>
      </c>
      <c r="F102" s="76" t="s">
        <v>1643</v>
      </c>
      <c r="G102" s="75">
        <v>144</v>
      </c>
      <c r="H102" s="76" t="s">
        <v>129</v>
      </c>
      <c r="I102" s="76" t="s">
        <v>1644</v>
      </c>
      <c r="J102" s="74" t="str">
        <f t="shared" si="0"/>
        <v>144-Chocolate</v>
      </c>
      <c r="K102" s="74" t="str">
        <f t="shared" si="1"/>
        <v>30-Chocolate &amp; Sweet</v>
      </c>
      <c r="L102" s="74" t="str">
        <f t="shared" si="2"/>
        <v>4-Snack &amp; Sweets</v>
      </c>
      <c r="M102" s="77">
        <f t="shared" si="3"/>
        <v>4</v>
      </c>
      <c r="N102" s="77">
        <f t="shared" si="4"/>
        <v>30</v>
      </c>
      <c r="O102" s="77">
        <f t="shared" si="5"/>
        <v>144</v>
      </c>
      <c r="P102" s="77" t="str">
        <f t="shared" si="6"/>
        <v>4|30|144</v>
      </c>
    </row>
    <row r="103" spans="1:16" ht="12.75">
      <c r="A103" s="75">
        <v>4</v>
      </c>
      <c r="B103" s="76" t="s">
        <v>1621</v>
      </c>
      <c r="C103" s="76" t="s">
        <v>1622</v>
      </c>
      <c r="D103" s="75">
        <v>30</v>
      </c>
      <c r="E103" s="76" t="s">
        <v>1642</v>
      </c>
      <c r="F103" s="76" t="s">
        <v>1643</v>
      </c>
      <c r="G103" s="75">
        <v>145</v>
      </c>
      <c r="H103" s="76" t="s">
        <v>127</v>
      </c>
      <c r="I103" s="76" t="s">
        <v>1645</v>
      </c>
      <c r="J103" s="74" t="str">
        <f t="shared" si="0"/>
        <v>145-Sweet</v>
      </c>
      <c r="K103" s="74" t="str">
        <f t="shared" si="1"/>
        <v>30-Chocolate &amp; Sweet</v>
      </c>
      <c r="L103" s="74" t="str">
        <f t="shared" si="2"/>
        <v>4-Snack &amp; Sweets</v>
      </c>
      <c r="M103" s="77">
        <f t="shared" si="3"/>
        <v>4</v>
      </c>
      <c r="N103" s="77">
        <f t="shared" si="4"/>
        <v>30</v>
      </c>
      <c r="O103" s="77">
        <f t="shared" si="5"/>
        <v>145</v>
      </c>
      <c r="P103" s="77" t="str">
        <f t="shared" si="6"/>
        <v>4|30|145</v>
      </c>
    </row>
    <row r="104" spans="1:16" ht="12.75">
      <c r="A104" s="75">
        <v>4</v>
      </c>
      <c r="B104" s="76" t="s">
        <v>1621</v>
      </c>
      <c r="C104" s="76" t="s">
        <v>1622</v>
      </c>
      <c r="D104" s="75">
        <v>30</v>
      </c>
      <c r="E104" s="76" t="s">
        <v>1642</v>
      </c>
      <c r="F104" s="76" t="s">
        <v>1643</v>
      </c>
      <c r="G104" s="75">
        <v>146</v>
      </c>
      <c r="H104" s="76" t="s">
        <v>1646</v>
      </c>
      <c r="I104" s="76" t="s">
        <v>142</v>
      </c>
      <c r="J104" s="74" t="str">
        <f t="shared" si="0"/>
        <v>146-Bubble gums</v>
      </c>
      <c r="K104" s="74" t="str">
        <f t="shared" si="1"/>
        <v>30-Chocolate &amp; Sweet</v>
      </c>
      <c r="L104" s="74" t="str">
        <f t="shared" si="2"/>
        <v>4-Snack &amp; Sweets</v>
      </c>
      <c r="M104" s="77">
        <f t="shared" si="3"/>
        <v>4</v>
      </c>
      <c r="N104" s="77">
        <f t="shared" si="4"/>
        <v>30</v>
      </c>
      <c r="O104" s="77">
        <f t="shared" si="5"/>
        <v>146</v>
      </c>
      <c r="P104" s="77" t="str">
        <f t="shared" si="6"/>
        <v>4|30|146</v>
      </c>
    </row>
    <row r="105" spans="1:16" ht="12.75">
      <c r="A105" s="75">
        <v>4</v>
      </c>
      <c r="B105" s="76" t="s">
        <v>1621</v>
      </c>
      <c r="C105" s="76" t="s">
        <v>1622</v>
      </c>
      <c r="D105" s="75">
        <v>30</v>
      </c>
      <c r="E105" s="76" t="s">
        <v>1642</v>
      </c>
      <c r="F105" s="76" t="s">
        <v>1643</v>
      </c>
      <c r="G105" s="75">
        <v>147</v>
      </c>
      <c r="H105" s="76" t="s">
        <v>1647</v>
      </c>
      <c r="I105" s="76" t="s">
        <v>1648</v>
      </c>
      <c r="J105" s="74" t="str">
        <f t="shared" si="0"/>
        <v>147-Refresher</v>
      </c>
      <c r="K105" s="74" t="str">
        <f t="shared" si="1"/>
        <v>30-Chocolate &amp; Sweet</v>
      </c>
      <c r="L105" s="74" t="str">
        <f t="shared" si="2"/>
        <v>4-Snack &amp; Sweets</v>
      </c>
      <c r="M105" s="77">
        <f t="shared" si="3"/>
        <v>4</v>
      </c>
      <c r="N105" s="77">
        <f t="shared" si="4"/>
        <v>30</v>
      </c>
      <c r="O105" s="77">
        <f t="shared" si="5"/>
        <v>147</v>
      </c>
      <c r="P105" s="77" t="str">
        <f t="shared" si="6"/>
        <v>4|30|147</v>
      </c>
    </row>
    <row r="106" spans="1:16" ht="12.75">
      <c r="A106" s="75">
        <v>4</v>
      </c>
      <c r="B106" s="76" t="s">
        <v>1621</v>
      </c>
      <c r="C106" s="76" t="s">
        <v>1622</v>
      </c>
      <c r="D106" s="75">
        <v>30</v>
      </c>
      <c r="E106" s="76" t="s">
        <v>1642</v>
      </c>
      <c r="F106" s="76" t="s">
        <v>1643</v>
      </c>
      <c r="G106" s="75">
        <v>148</v>
      </c>
      <c r="H106" s="76" t="s">
        <v>1649</v>
      </c>
      <c r="I106" s="74"/>
      <c r="J106" s="74" t="str">
        <f t="shared" si="0"/>
        <v>148-Gelatin / Fruit Gummy</v>
      </c>
      <c r="K106" s="74" t="str">
        <f t="shared" si="1"/>
        <v>30-Chocolate &amp; Sweet</v>
      </c>
      <c r="L106" s="74" t="str">
        <f t="shared" si="2"/>
        <v>4-Snack &amp; Sweets</v>
      </c>
      <c r="M106" s="77">
        <f t="shared" si="3"/>
        <v>4</v>
      </c>
      <c r="N106" s="77">
        <f t="shared" si="4"/>
        <v>30</v>
      </c>
      <c r="O106" s="77">
        <f t="shared" si="5"/>
        <v>148</v>
      </c>
      <c r="P106" s="77" t="str">
        <f t="shared" si="6"/>
        <v>4|30|148</v>
      </c>
    </row>
    <row r="107" spans="1:16" ht="12.75">
      <c r="A107" s="75">
        <v>4</v>
      </c>
      <c r="B107" s="76" t="s">
        <v>1621</v>
      </c>
      <c r="C107" s="76" t="s">
        <v>1622</v>
      </c>
      <c r="D107" s="75">
        <v>31</v>
      </c>
      <c r="E107" s="76" t="s">
        <v>1650</v>
      </c>
      <c r="F107" s="78"/>
      <c r="G107" s="75">
        <v>149</v>
      </c>
      <c r="H107" s="76" t="s">
        <v>1651</v>
      </c>
      <c r="I107" s="76" t="s">
        <v>1652</v>
      </c>
      <c r="J107" s="74" t="str">
        <f t="shared" si="0"/>
        <v>149-Pie</v>
      </c>
      <c r="K107" s="74" t="str">
        <f t="shared" si="1"/>
        <v>31-Cookies &amp; Biscuits</v>
      </c>
      <c r="L107" s="74" t="str">
        <f t="shared" si="2"/>
        <v>4-Snack &amp; Sweets</v>
      </c>
      <c r="M107" s="77">
        <f t="shared" si="3"/>
        <v>4</v>
      </c>
      <c r="N107" s="77">
        <f t="shared" si="4"/>
        <v>31</v>
      </c>
      <c r="O107" s="77">
        <f t="shared" si="5"/>
        <v>149</v>
      </c>
      <c r="P107" s="77" t="str">
        <f t="shared" si="6"/>
        <v>4|31|149</v>
      </c>
    </row>
    <row r="108" spans="1:16" ht="12.75">
      <c r="A108" s="75">
        <v>4</v>
      </c>
      <c r="B108" s="76" t="s">
        <v>1621</v>
      </c>
      <c r="C108" s="76" t="s">
        <v>1622</v>
      </c>
      <c r="D108" s="75">
        <v>31</v>
      </c>
      <c r="E108" s="76" t="s">
        <v>1650</v>
      </c>
      <c r="F108" s="78"/>
      <c r="G108" s="75">
        <v>150</v>
      </c>
      <c r="H108" s="76" t="s">
        <v>1653</v>
      </c>
      <c r="I108" s="76" t="s">
        <v>82</v>
      </c>
      <c r="J108" s="74" t="str">
        <f t="shared" si="0"/>
        <v>150-Wafer</v>
      </c>
      <c r="K108" s="74" t="str">
        <f t="shared" si="1"/>
        <v>31-Cookies &amp; Biscuits</v>
      </c>
      <c r="L108" s="74" t="str">
        <f t="shared" si="2"/>
        <v>4-Snack &amp; Sweets</v>
      </c>
      <c r="M108" s="77">
        <f t="shared" si="3"/>
        <v>4</v>
      </c>
      <c r="N108" s="77">
        <f t="shared" si="4"/>
        <v>31</v>
      </c>
      <c r="O108" s="77">
        <f t="shared" si="5"/>
        <v>150</v>
      </c>
      <c r="P108" s="77" t="str">
        <f t="shared" si="6"/>
        <v>4|31|150</v>
      </c>
    </row>
    <row r="109" spans="1:16" ht="12.75">
      <c r="A109" s="75">
        <v>4</v>
      </c>
      <c r="B109" s="76" t="s">
        <v>1621</v>
      </c>
      <c r="C109" s="76" t="s">
        <v>1622</v>
      </c>
      <c r="D109" s="75">
        <v>31</v>
      </c>
      <c r="E109" s="76" t="s">
        <v>1650</v>
      </c>
      <c r="F109" s="78"/>
      <c r="G109" s="75">
        <v>151</v>
      </c>
      <c r="H109" s="76" t="s">
        <v>1628</v>
      </c>
      <c r="I109" s="76" t="s">
        <v>1654</v>
      </c>
      <c r="J109" s="74" t="str">
        <f t="shared" si="0"/>
        <v>151-Crackers</v>
      </c>
      <c r="K109" s="74" t="str">
        <f t="shared" si="1"/>
        <v>31-Cookies &amp; Biscuits</v>
      </c>
      <c r="L109" s="74" t="str">
        <f t="shared" si="2"/>
        <v>4-Snack &amp; Sweets</v>
      </c>
      <c r="M109" s="77">
        <f t="shared" si="3"/>
        <v>4</v>
      </c>
      <c r="N109" s="77">
        <f t="shared" si="4"/>
        <v>31</v>
      </c>
      <c r="O109" s="77">
        <f t="shared" si="5"/>
        <v>151</v>
      </c>
      <c r="P109" s="77" t="str">
        <f t="shared" si="6"/>
        <v>4|31|151</v>
      </c>
    </row>
    <row r="110" spans="1:16" ht="12.75">
      <c r="A110" s="75">
        <v>4</v>
      </c>
      <c r="B110" s="76" t="s">
        <v>1621</v>
      </c>
      <c r="C110" s="76" t="s">
        <v>1622</v>
      </c>
      <c r="D110" s="75">
        <v>31</v>
      </c>
      <c r="E110" s="76" t="s">
        <v>1650</v>
      </c>
      <c r="F110" s="78"/>
      <c r="G110" s="75">
        <v>152</v>
      </c>
      <c r="H110" s="76" t="s">
        <v>1655</v>
      </c>
      <c r="I110" s="76" t="s">
        <v>1656</v>
      </c>
      <c r="J110" s="74" t="str">
        <f t="shared" si="0"/>
        <v>152-Cookie</v>
      </c>
      <c r="K110" s="74" t="str">
        <f t="shared" si="1"/>
        <v>31-Cookies &amp; Biscuits</v>
      </c>
      <c r="L110" s="74" t="str">
        <f t="shared" si="2"/>
        <v>4-Snack &amp; Sweets</v>
      </c>
      <c r="M110" s="77">
        <f t="shared" si="3"/>
        <v>4</v>
      </c>
      <c r="N110" s="77">
        <f t="shared" si="4"/>
        <v>31</v>
      </c>
      <c r="O110" s="77">
        <f t="shared" si="5"/>
        <v>152</v>
      </c>
      <c r="P110" s="77" t="str">
        <f t="shared" si="6"/>
        <v>4|31|152</v>
      </c>
    </row>
    <row r="111" spans="1:16" ht="12.75">
      <c r="A111" s="75">
        <v>4</v>
      </c>
      <c r="B111" s="76" t="s">
        <v>1621</v>
      </c>
      <c r="C111" s="76" t="s">
        <v>1622</v>
      </c>
      <c r="D111" s="75">
        <v>31</v>
      </c>
      <c r="E111" s="76" t="s">
        <v>1650</v>
      </c>
      <c r="F111" s="78"/>
      <c r="G111" s="75">
        <v>153</v>
      </c>
      <c r="H111" s="76" t="s">
        <v>1657</v>
      </c>
      <c r="I111" s="76" t="s">
        <v>1658</v>
      </c>
      <c r="J111" s="74" t="str">
        <f t="shared" si="0"/>
        <v>153-Biscuit</v>
      </c>
      <c r="K111" s="74" t="str">
        <f t="shared" si="1"/>
        <v>31-Cookies &amp; Biscuits</v>
      </c>
      <c r="L111" s="74" t="str">
        <f t="shared" si="2"/>
        <v>4-Snack &amp; Sweets</v>
      </c>
      <c r="M111" s="77">
        <f t="shared" si="3"/>
        <v>4</v>
      </c>
      <c r="N111" s="77">
        <f t="shared" si="4"/>
        <v>31</v>
      </c>
      <c r="O111" s="77">
        <f t="shared" si="5"/>
        <v>153</v>
      </c>
      <c r="P111" s="77" t="str">
        <f t="shared" si="6"/>
        <v>4|31|153</v>
      </c>
    </row>
    <row r="112" spans="1:16" ht="12.75">
      <c r="A112" s="75">
        <v>5</v>
      </c>
      <c r="B112" s="76" t="s">
        <v>1659</v>
      </c>
      <c r="C112" s="76" t="s">
        <v>1660</v>
      </c>
      <c r="D112" s="75">
        <v>32</v>
      </c>
      <c r="E112" s="76" t="s">
        <v>1661</v>
      </c>
      <c r="F112" s="76" t="s">
        <v>1662</v>
      </c>
      <c r="G112" s="75">
        <v>154</v>
      </c>
      <c r="H112" s="76" t="s">
        <v>1663</v>
      </c>
      <c r="I112" s="76" t="s">
        <v>1664</v>
      </c>
      <c r="J112" s="74" t="str">
        <f t="shared" si="0"/>
        <v>154-Copy paper</v>
      </c>
      <c r="K112" s="74" t="str">
        <f t="shared" si="1"/>
        <v>32-Paper &amp; Folder</v>
      </c>
      <c r="L112" s="74" t="str">
        <f t="shared" si="2"/>
        <v>5-Office equipment &amp; Stationaries</v>
      </c>
      <c r="M112" s="77">
        <f t="shared" si="3"/>
        <v>5</v>
      </c>
      <c r="N112" s="77">
        <f t="shared" si="4"/>
        <v>32</v>
      </c>
      <c r="O112" s="77">
        <f t="shared" si="5"/>
        <v>154</v>
      </c>
      <c r="P112" s="77" t="str">
        <f t="shared" si="6"/>
        <v>5|32|154</v>
      </c>
    </row>
    <row r="113" spans="1:16" ht="12.75">
      <c r="A113" s="75">
        <v>5</v>
      </c>
      <c r="B113" s="76" t="s">
        <v>1659</v>
      </c>
      <c r="C113" s="76" t="s">
        <v>1660</v>
      </c>
      <c r="D113" s="75">
        <v>32</v>
      </c>
      <c r="E113" s="76" t="s">
        <v>1661</v>
      </c>
      <c r="F113" s="76" t="s">
        <v>1662</v>
      </c>
      <c r="G113" s="75">
        <v>155</v>
      </c>
      <c r="H113" s="76" t="s">
        <v>1665</v>
      </c>
      <c r="I113" s="76" t="s">
        <v>1666</v>
      </c>
      <c r="J113" s="74" t="str">
        <f t="shared" si="0"/>
        <v>155-Storage Folder</v>
      </c>
      <c r="K113" s="74" t="str">
        <f t="shared" si="1"/>
        <v>32-Paper &amp; Folder</v>
      </c>
      <c r="L113" s="74" t="str">
        <f t="shared" si="2"/>
        <v>5-Office equipment &amp; Stationaries</v>
      </c>
      <c r="M113" s="77">
        <f t="shared" si="3"/>
        <v>5</v>
      </c>
      <c r="N113" s="77">
        <f t="shared" si="4"/>
        <v>32</v>
      </c>
      <c r="O113" s="77">
        <f t="shared" si="5"/>
        <v>155</v>
      </c>
      <c r="P113" s="77" t="str">
        <f t="shared" si="6"/>
        <v>5|32|155</v>
      </c>
    </row>
    <row r="114" spans="1:16" ht="12.75">
      <c r="A114" s="75">
        <v>5</v>
      </c>
      <c r="B114" s="76" t="s">
        <v>1659</v>
      </c>
      <c r="C114" s="76" t="s">
        <v>1660</v>
      </c>
      <c r="D114" s="75">
        <v>32</v>
      </c>
      <c r="E114" s="76" t="s">
        <v>1661</v>
      </c>
      <c r="F114" s="76" t="s">
        <v>1662</v>
      </c>
      <c r="G114" s="75">
        <v>156</v>
      </c>
      <c r="H114" s="76" t="s">
        <v>1667</v>
      </c>
      <c r="I114" s="76" t="s">
        <v>1668</v>
      </c>
      <c r="J114" s="74" t="str">
        <f t="shared" si="0"/>
        <v>156-Note book</v>
      </c>
      <c r="K114" s="74" t="str">
        <f t="shared" si="1"/>
        <v>32-Paper &amp; Folder</v>
      </c>
      <c r="L114" s="74" t="str">
        <f t="shared" si="2"/>
        <v>5-Office equipment &amp; Stationaries</v>
      </c>
      <c r="M114" s="77">
        <f t="shared" si="3"/>
        <v>5</v>
      </c>
      <c r="N114" s="77">
        <f t="shared" si="4"/>
        <v>32</v>
      </c>
      <c r="O114" s="77">
        <f t="shared" si="5"/>
        <v>156</v>
      </c>
      <c r="P114" s="77" t="str">
        <f t="shared" si="6"/>
        <v>5|32|156</v>
      </c>
    </row>
    <row r="115" spans="1:16" ht="12.75">
      <c r="A115" s="75">
        <v>5</v>
      </c>
      <c r="B115" s="76" t="s">
        <v>1659</v>
      </c>
      <c r="C115" s="76" t="s">
        <v>1660</v>
      </c>
      <c r="D115" s="75">
        <v>33</v>
      </c>
      <c r="E115" s="76" t="s">
        <v>1669</v>
      </c>
      <c r="F115" s="76" t="s">
        <v>1670</v>
      </c>
      <c r="G115" s="75">
        <v>157</v>
      </c>
      <c r="H115" s="76" t="s">
        <v>1671</v>
      </c>
      <c r="I115" s="76" t="s">
        <v>1672</v>
      </c>
      <c r="J115" s="74" t="str">
        <f t="shared" si="0"/>
        <v>157-Glue / Tape / Tape Holder</v>
      </c>
      <c r="K115" s="74" t="str">
        <f t="shared" si="1"/>
        <v>33-Office Accessories</v>
      </c>
      <c r="L115" s="74" t="str">
        <f t="shared" si="2"/>
        <v>5-Office equipment &amp; Stationaries</v>
      </c>
      <c r="M115" s="77">
        <f t="shared" si="3"/>
        <v>5</v>
      </c>
      <c r="N115" s="77">
        <f t="shared" si="4"/>
        <v>33</v>
      </c>
      <c r="O115" s="77">
        <f t="shared" si="5"/>
        <v>157</v>
      </c>
      <c r="P115" s="77" t="str">
        <f t="shared" si="6"/>
        <v>5|33|157</v>
      </c>
    </row>
    <row r="116" spans="1:16" ht="12.75">
      <c r="A116" s="75">
        <v>5</v>
      </c>
      <c r="B116" s="76" t="s">
        <v>1659</v>
      </c>
      <c r="C116" s="76" t="s">
        <v>1660</v>
      </c>
      <c r="D116" s="75">
        <v>33</v>
      </c>
      <c r="E116" s="76" t="s">
        <v>1669</v>
      </c>
      <c r="F116" s="76" t="s">
        <v>1670</v>
      </c>
      <c r="G116" s="75">
        <v>158</v>
      </c>
      <c r="H116" s="76" t="s">
        <v>1673</v>
      </c>
      <c r="I116" s="76" t="s">
        <v>1674</v>
      </c>
      <c r="J116" s="74" t="str">
        <f t="shared" si="0"/>
        <v>158-Scissor / Cutter / Cutter Blade, Mat</v>
      </c>
      <c r="K116" s="74" t="str">
        <f t="shared" si="1"/>
        <v>33-Office Accessories</v>
      </c>
      <c r="L116" s="74" t="str">
        <f t="shared" si="2"/>
        <v>5-Office equipment &amp; Stationaries</v>
      </c>
      <c r="M116" s="77">
        <f t="shared" si="3"/>
        <v>5</v>
      </c>
      <c r="N116" s="77">
        <f t="shared" si="4"/>
        <v>33</v>
      </c>
      <c r="O116" s="77">
        <f t="shared" si="5"/>
        <v>158</v>
      </c>
      <c r="P116" s="77" t="str">
        <f t="shared" si="6"/>
        <v>5|33|158</v>
      </c>
    </row>
    <row r="117" spans="1:16" ht="12.75">
      <c r="A117" s="75">
        <v>5</v>
      </c>
      <c r="B117" s="76" t="s">
        <v>1659</v>
      </c>
      <c r="C117" s="76" t="s">
        <v>1660</v>
      </c>
      <c r="D117" s="75">
        <v>33</v>
      </c>
      <c r="E117" s="76" t="s">
        <v>1669</v>
      </c>
      <c r="F117" s="76" t="s">
        <v>1670</v>
      </c>
      <c r="G117" s="75">
        <v>159</v>
      </c>
      <c r="H117" s="76" t="s">
        <v>1675</v>
      </c>
      <c r="I117" s="76" t="s">
        <v>1676</v>
      </c>
      <c r="J117" s="74" t="str">
        <f t="shared" si="0"/>
        <v>159-Binder / Clips</v>
      </c>
      <c r="K117" s="74" t="str">
        <f t="shared" si="1"/>
        <v>33-Office Accessories</v>
      </c>
      <c r="L117" s="74" t="str">
        <f t="shared" si="2"/>
        <v>5-Office equipment &amp; Stationaries</v>
      </c>
      <c r="M117" s="77">
        <f t="shared" si="3"/>
        <v>5</v>
      </c>
      <c r="N117" s="77">
        <f t="shared" si="4"/>
        <v>33</v>
      </c>
      <c r="O117" s="77">
        <f t="shared" si="5"/>
        <v>159</v>
      </c>
      <c r="P117" s="77" t="str">
        <f t="shared" si="6"/>
        <v>5|33|159</v>
      </c>
    </row>
    <row r="118" spans="1:16" ht="12.75">
      <c r="A118" s="75">
        <v>5</v>
      </c>
      <c r="B118" s="76" t="s">
        <v>1659</v>
      </c>
      <c r="C118" s="76" t="s">
        <v>1660</v>
      </c>
      <c r="D118" s="75">
        <v>34</v>
      </c>
      <c r="E118" s="76" t="s">
        <v>1677</v>
      </c>
      <c r="F118" s="76" t="s">
        <v>1678</v>
      </c>
      <c r="G118" s="75">
        <v>160</v>
      </c>
      <c r="H118" s="76" t="s">
        <v>1679</v>
      </c>
      <c r="I118" s="76" t="s">
        <v>1680</v>
      </c>
      <c r="J118" s="74" t="str">
        <f t="shared" si="0"/>
        <v>160-Table / Cabinet</v>
      </c>
      <c r="K118" s="74" t="str">
        <f t="shared" si="1"/>
        <v>34-Office Furniture</v>
      </c>
      <c r="L118" s="74" t="str">
        <f t="shared" si="2"/>
        <v>5-Office equipment &amp; Stationaries</v>
      </c>
      <c r="M118" s="77">
        <f t="shared" si="3"/>
        <v>5</v>
      </c>
      <c r="N118" s="77">
        <f t="shared" si="4"/>
        <v>34</v>
      </c>
      <c r="O118" s="77">
        <f t="shared" si="5"/>
        <v>160</v>
      </c>
      <c r="P118" s="77" t="str">
        <f t="shared" si="6"/>
        <v>5|34|160</v>
      </c>
    </row>
    <row r="119" spans="1:16" ht="12.75">
      <c r="A119" s="75">
        <v>5</v>
      </c>
      <c r="B119" s="76" t="s">
        <v>1659</v>
      </c>
      <c r="C119" s="76" t="s">
        <v>1660</v>
      </c>
      <c r="D119" s="75">
        <v>35</v>
      </c>
      <c r="E119" s="76" t="s">
        <v>1681</v>
      </c>
      <c r="F119" s="76" t="s">
        <v>1682</v>
      </c>
      <c r="G119" s="75">
        <v>161</v>
      </c>
      <c r="H119" s="76" t="s">
        <v>1683</v>
      </c>
      <c r="I119" s="76" t="s">
        <v>1684</v>
      </c>
      <c r="J119" s="74" t="str">
        <f t="shared" si="0"/>
        <v>161-Pen / Ink / Refill ink</v>
      </c>
      <c r="K119" s="74" t="str">
        <f t="shared" si="1"/>
        <v>35-Writing Utensils</v>
      </c>
      <c r="L119" s="74" t="str">
        <f t="shared" si="2"/>
        <v>5-Office equipment &amp; Stationaries</v>
      </c>
      <c r="M119" s="77">
        <f t="shared" si="3"/>
        <v>5</v>
      </c>
      <c r="N119" s="77">
        <f t="shared" si="4"/>
        <v>35</v>
      </c>
      <c r="O119" s="77">
        <f t="shared" si="5"/>
        <v>161</v>
      </c>
      <c r="P119" s="77" t="str">
        <f t="shared" si="6"/>
        <v>5|35|161</v>
      </c>
    </row>
    <row r="120" spans="1:16" ht="12.75">
      <c r="A120" s="75">
        <v>5</v>
      </c>
      <c r="B120" s="76" t="s">
        <v>1659</v>
      </c>
      <c r="C120" s="76" t="s">
        <v>1660</v>
      </c>
      <c r="D120" s="75">
        <v>35</v>
      </c>
      <c r="E120" s="76" t="s">
        <v>1681</v>
      </c>
      <c r="F120" s="76" t="s">
        <v>1682</v>
      </c>
      <c r="G120" s="75">
        <v>162</v>
      </c>
      <c r="H120" s="76" t="s">
        <v>1685</v>
      </c>
      <c r="I120" s="76" t="s">
        <v>1686</v>
      </c>
      <c r="J120" s="74" t="str">
        <f t="shared" si="0"/>
        <v>162-Correction Fluid</v>
      </c>
      <c r="K120" s="74" t="str">
        <f t="shared" si="1"/>
        <v>35-Writing Utensils</v>
      </c>
      <c r="L120" s="74" t="str">
        <f t="shared" si="2"/>
        <v>5-Office equipment &amp; Stationaries</v>
      </c>
      <c r="M120" s="77">
        <f t="shared" si="3"/>
        <v>5</v>
      </c>
      <c r="N120" s="77">
        <f t="shared" si="4"/>
        <v>35</v>
      </c>
      <c r="O120" s="77">
        <f t="shared" si="5"/>
        <v>162</v>
      </c>
      <c r="P120" s="77" t="str">
        <f t="shared" si="6"/>
        <v>5|35|162</v>
      </c>
    </row>
    <row r="121" spans="1:16" ht="12.75">
      <c r="A121" s="75">
        <v>5</v>
      </c>
      <c r="B121" s="76" t="s">
        <v>1659</v>
      </c>
      <c r="C121" s="76" t="s">
        <v>1660</v>
      </c>
      <c r="D121" s="75">
        <v>35</v>
      </c>
      <c r="E121" s="76" t="s">
        <v>1681</v>
      </c>
      <c r="F121" s="76" t="s">
        <v>1682</v>
      </c>
      <c r="G121" s="75">
        <v>163</v>
      </c>
      <c r="H121" s="76" t="s">
        <v>1687</v>
      </c>
      <c r="I121" s="76" t="s">
        <v>1688</v>
      </c>
      <c r="J121" s="74" t="str">
        <f t="shared" si="0"/>
        <v>163-Marker / White Board</v>
      </c>
      <c r="K121" s="74" t="str">
        <f t="shared" si="1"/>
        <v>35-Writing Utensils</v>
      </c>
      <c r="L121" s="74" t="str">
        <f t="shared" si="2"/>
        <v>5-Office equipment &amp; Stationaries</v>
      </c>
      <c r="M121" s="77">
        <f t="shared" si="3"/>
        <v>5</v>
      </c>
      <c r="N121" s="77">
        <f t="shared" si="4"/>
        <v>35</v>
      </c>
      <c r="O121" s="77">
        <f t="shared" si="5"/>
        <v>163</v>
      </c>
      <c r="P121" s="77" t="str">
        <f t="shared" si="6"/>
        <v>5|35|163</v>
      </c>
    </row>
    <row r="122" spans="1:16" ht="12.75">
      <c r="A122" s="75">
        <v>5</v>
      </c>
      <c r="B122" s="76" t="s">
        <v>1659</v>
      </c>
      <c r="C122" s="76" t="s">
        <v>1660</v>
      </c>
      <c r="D122" s="75">
        <v>35</v>
      </c>
      <c r="E122" s="76" t="s">
        <v>1681</v>
      </c>
      <c r="F122" s="76" t="s">
        <v>1682</v>
      </c>
      <c r="G122" s="75">
        <v>164</v>
      </c>
      <c r="H122" s="76" t="s">
        <v>1689</v>
      </c>
      <c r="I122" s="76" t="s">
        <v>1690</v>
      </c>
      <c r="J122" s="74" t="str">
        <f t="shared" si="0"/>
        <v>164-Pencil / Rubber / Sharpener</v>
      </c>
      <c r="K122" s="74" t="str">
        <f t="shared" si="1"/>
        <v>35-Writing Utensils</v>
      </c>
      <c r="L122" s="74" t="str">
        <f t="shared" si="2"/>
        <v>5-Office equipment &amp; Stationaries</v>
      </c>
      <c r="M122" s="77">
        <f t="shared" si="3"/>
        <v>5</v>
      </c>
      <c r="N122" s="77">
        <f t="shared" si="4"/>
        <v>35</v>
      </c>
      <c r="O122" s="77">
        <f t="shared" si="5"/>
        <v>164</v>
      </c>
      <c r="P122" s="77" t="str">
        <f t="shared" si="6"/>
        <v>5|35|164</v>
      </c>
    </row>
    <row r="123" spans="1:16" ht="12.75">
      <c r="A123" s="75">
        <v>5</v>
      </c>
      <c r="B123" s="76" t="s">
        <v>1659</v>
      </c>
      <c r="C123" s="76" t="s">
        <v>1660</v>
      </c>
      <c r="D123" s="75">
        <v>35</v>
      </c>
      <c r="E123" s="76" t="s">
        <v>1681</v>
      </c>
      <c r="F123" s="76" t="s">
        <v>1682</v>
      </c>
      <c r="G123" s="75">
        <v>165</v>
      </c>
      <c r="H123" s="76" t="s">
        <v>1691</v>
      </c>
      <c r="I123" s="76" t="s">
        <v>1692</v>
      </c>
      <c r="J123" s="74" t="str">
        <f t="shared" si="0"/>
        <v>165-Ruler / Tape Measure</v>
      </c>
      <c r="K123" s="74" t="str">
        <f t="shared" si="1"/>
        <v>35-Writing Utensils</v>
      </c>
      <c r="L123" s="74" t="str">
        <f t="shared" si="2"/>
        <v>5-Office equipment &amp; Stationaries</v>
      </c>
      <c r="M123" s="77">
        <f t="shared" si="3"/>
        <v>5</v>
      </c>
      <c r="N123" s="77">
        <f t="shared" si="4"/>
        <v>35</v>
      </c>
      <c r="O123" s="77">
        <f t="shared" si="5"/>
        <v>165</v>
      </c>
      <c r="P123" s="77" t="str">
        <f t="shared" si="6"/>
        <v>5|35|165</v>
      </c>
    </row>
    <row r="124" spans="1:16" ht="12.75">
      <c r="A124" s="75">
        <v>6</v>
      </c>
      <c r="B124" s="76" t="s">
        <v>1693</v>
      </c>
      <c r="C124" s="76" t="s">
        <v>1694</v>
      </c>
      <c r="D124" s="75">
        <v>36</v>
      </c>
      <c r="E124" s="76" t="s">
        <v>1695</v>
      </c>
      <c r="F124" s="76" t="s">
        <v>1696</v>
      </c>
      <c r="G124" s="75">
        <v>166</v>
      </c>
      <c r="H124" s="76" t="s">
        <v>1697</v>
      </c>
      <c r="I124" s="76" t="s">
        <v>1698</v>
      </c>
      <c r="J124" s="74" t="str">
        <f t="shared" si="0"/>
        <v>166-Fragrant Rice</v>
      </c>
      <c r="K124" s="74" t="str">
        <f t="shared" si="1"/>
        <v>36-Rice / Organics Herb / Dry Fruits</v>
      </c>
      <c r="L124" s="74" t="str">
        <f t="shared" si="2"/>
        <v>6-Dry Food / Dry Groceries</v>
      </c>
      <c r="M124" s="77">
        <f t="shared" si="3"/>
        <v>6</v>
      </c>
      <c r="N124" s="77">
        <f t="shared" si="4"/>
        <v>36</v>
      </c>
      <c r="O124" s="77">
        <f t="shared" si="5"/>
        <v>166</v>
      </c>
      <c r="P124" s="77" t="str">
        <f t="shared" si="6"/>
        <v>6|36|166</v>
      </c>
    </row>
    <row r="125" spans="1:16" ht="12.75">
      <c r="A125" s="75">
        <v>6</v>
      </c>
      <c r="B125" s="76" t="s">
        <v>1693</v>
      </c>
      <c r="C125" s="76" t="s">
        <v>1694</v>
      </c>
      <c r="D125" s="75">
        <v>36</v>
      </c>
      <c r="E125" s="76" t="s">
        <v>1695</v>
      </c>
      <c r="F125" s="76" t="s">
        <v>1696</v>
      </c>
      <c r="G125" s="75">
        <v>167</v>
      </c>
      <c r="H125" s="76" t="s">
        <v>1699</v>
      </c>
      <c r="I125" s="76" t="s">
        <v>1700</v>
      </c>
      <c r="J125" s="74" t="str">
        <f t="shared" si="0"/>
        <v>167-Brown Rice</v>
      </c>
      <c r="K125" s="74" t="str">
        <f t="shared" si="1"/>
        <v>36-Rice / Organics Herb / Dry Fruits</v>
      </c>
      <c r="L125" s="74" t="str">
        <f t="shared" si="2"/>
        <v>6-Dry Food / Dry Groceries</v>
      </c>
      <c r="M125" s="77">
        <f t="shared" si="3"/>
        <v>6</v>
      </c>
      <c r="N125" s="77">
        <f t="shared" si="4"/>
        <v>36</v>
      </c>
      <c r="O125" s="77">
        <f t="shared" si="5"/>
        <v>167</v>
      </c>
      <c r="P125" s="77" t="str">
        <f t="shared" si="6"/>
        <v>6|36|167</v>
      </c>
    </row>
    <row r="126" spans="1:16" ht="12.75">
      <c r="A126" s="75">
        <v>6</v>
      </c>
      <c r="B126" s="76" t="s">
        <v>1693</v>
      </c>
      <c r="C126" s="76" t="s">
        <v>1694</v>
      </c>
      <c r="D126" s="75">
        <v>36</v>
      </c>
      <c r="E126" s="76" t="s">
        <v>1695</v>
      </c>
      <c r="F126" s="76" t="s">
        <v>1696</v>
      </c>
      <c r="G126" s="75">
        <v>168</v>
      </c>
      <c r="H126" s="76" t="s">
        <v>163</v>
      </c>
      <c r="I126" s="76" t="s">
        <v>1701</v>
      </c>
      <c r="J126" s="74" t="str">
        <f t="shared" si="0"/>
        <v>168-Sticky Rice</v>
      </c>
      <c r="K126" s="74" t="str">
        <f t="shared" si="1"/>
        <v>36-Rice / Organics Herb / Dry Fruits</v>
      </c>
      <c r="L126" s="74" t="str">
        <f t="shared" si="2"/>
        <v>6-Dry Food / Dry Groceries</v>
      </c>
      <c r="M126" s="77">
        <f t="shared" si="3"/>
        <v>6</v>
      </c>
      <c r="N126" s="77">
        <f t="shared" si="4"/>
        <v>36</v>
      </c>
      <c r="O126" s="77">
        <f t="shared" si="5"/>
        <v>168</v>
      </c>
      <c r="P126" s="77" t="str">
        <f t="shared" si="6"/>
        <v>6|36|168</v>
      </c>
    </row>
    <row r="127" spans="1:16" ht="12.75">
      <c r="A127" s="75">
        <v>6</v>
      </c>
      <c r="B127" s="76" t="s">
        <v>1693</v>
      </c>
      <c r="C127" s="76" t="s">
        <v>1694</v>
      </c>
      <c r="D127" s="75">
        <v>36</v>
      </c>
      <c r="E127" s="76" t="s">
        <v>1695</v>
      </c>
      <c r="F127" s="76" t="s">
        <v>1696</v>
      </c>
      <c r="G127" s="75">
        <v>169</v>
      </c>
      <c r="H127" s="76" t="s">
        <v>1702</v>
      </c>
      <c r="I127" s="76" t="s">
        <v>1703</v>
      </c>
      <c r="J127" s="74" t="str">
        <f t="shared" si="0"/>
        <v>169-Organic</v>
      </c>
      <c r="K127" s="74" t="str">
        <f t="shared" si="1"/>
        <v>36-Rice / Organics Herb / Dry Fruits</v>
      </c>
      <c r="L127" s="74" t="str">
        <f t="shared" si="2"/>
        <v>6-Dry Food / Dry Groceries</v>
      </c>
      <c r="M127" s="77">
        <f t="shared" si="3"/>
        <v>6</v>
      </c>
      <c r="N127" s="77">
        <f t="shared" si="4"/>
        <v>36</v>
      </c>
      <c r="O127" s="77">
        <f t="shared" si="5"/>
        <v>169</v>
      </c>
      <c r="P127" s="77" t="str">
        <f t="shared" si="6"/>
        <v>6|36|169</v>
      </c>
    </row>
    <row r="128" spans="1:16" ht="12.75">
      <c r="A128" s="75">
        <v>6</v>
      </c>
      <c r="B128" s="76" t="s">
        <v>1693</v>
      </c>
      <c r="C128" s="76" t="s">
        <v>1694</v>
      </c>
      <c r="D128" s="75">
        <v>36</v>
      </c>
      <c r="E128" s="76" t="s">
        <v>1695</v>
      </c>
      <c r="F128" s="76" t="s">
        <v>1696</v>
      </c>
      <c r="G128" s="75">
        <v>170</v>
      </c>
      <c r="H128" s="76" t="s">
        <v>1704</v>
      </c>
      <c r="I128" s="76" t="s">
        <v>1705</v>
      </c>
      <c r="J128" s="74" t="str">
        <f t="shared" si="0"/>
        <v>170-Grain / Herb / Dried Fruit</v>
      </c>
      <c r="K128" s="74" t="str">
        <f t="shared" si="1"/>
        <v>36-Rice / Organics Herb / Dry Fruits</v>
      </c>
      <c r="L128" s="74" t="str">
        <f t="shared" si="2"/>
        <v>6-Dry Food / Dry Groceries</v>
      </c>
      <c r="M128" s="77">
        <f t="shared" si="3"/>
        <v>6</v>
      </c>
      <c r="N128" s="77">
        <f t="shared" si="4"/>
        <v>36</v>
      </c>
      <c r="O128" s="77">
        <f t="shared" si="5"/>
        <v>170</v>
      </c>
      <c r="P128" s="77" t="str">
        <f t="shared" si="6"/>
        <v>6|36|170</v>
      </c>
    </row>
    <row r="129" spans="1:16" ht="12.75">
      <c r="A129" s="75">
        <v>6</v>
      </c>
      <c r="B129" s="76" t="s">
        <v>1693</v>
      </c>
      <c r="C129" s="76" t="s">
        <v>1694</v>
      </c>
      <c r="D129" s="75">
        <v>36</v>
      </c>
      <c r="E129" s="76" t="s">
        <v>1695</v>
      </c>
      <c r="F129" s="76" t="s">
        <v>1696</v>
      </c>
      <c r="G129" s="75">
        <v>171</v>
      </c>
      <c r="H129" s="76" t="s">
        <v>209</v>
      </c>
      <c r="I129" s="76" t="s">
        <v>208</v>
      </c>
      <c r="J129" s="74" t="str">
        <f t="shared" si="0"/>
        <v>171-Jasmine Rice</v>
      </c>
      <c r="K129" s="74" t="str">
        <f t="shared" si="1"/>
        <v>36-Rice / Organics Herb / Dry Fruits</v>
      </c>
      <c r="L129" s="74" t="str">
        <f t="shared" si="2"/>
        <v>6-Dry Food / Dry Groceries</v>
      </c>
      <c r="M129" s="77">
        <f t="shared" si="3"/>
        <v>6</v>
      </c>
      <c r="N129" s="77">
        <f t="shared" si="4"/>
        <v>36</v>
      </c>
      <c r="O129" s="77">
        <f t="shared" si="5"/>
        <v>171</v>
      </c>
      <c r="P129" s="77" t="str">
        <f t="shared" si="6"/>
        <v>6|36|171</v>
      </c>
    </row>
    <row r="130" spans="1:16" ht="12.75">
      <c r="A130" s="75">
        <v>6</v>
      </c>
      <c r="B130" s="76" t="s">
        <v>1693</v>
      </c>
      <c r="C130" s="76" t="s">
        <v>1694</v>
      </c>
      <c r="D130" s="75">
        <v>37</v>
      </c>
      <c r="E130" s="76" t="s">
        <v>1706</v>
      </c>
      <c r="F130" s="78"/>
      <c r="G130" s="75">
        <v>172</v>
      </c>
      <c r="H130" s="76" t="s">
        <v>1707</v>
      </c>
      <c r="I130" s="76" t="s">
        <v>1708</v>
      </c>
      <c r="J130" s="74" t="str">
        <f t="shared" si="0"/>
        <v>172-Chili Paste Ingredients&amp;Sauces/Coconut Milk</v>
      </c>
      <c r="K130" s="74" t="str">
        <f t="shared" si="1"/>
        <v>37-Cooking Ingredients</v>
      </c>
      <c r="L130" s="74" t="str">
        <f t="shared" si="2"/>
        <v>6-Dry Food / Dry Groceries</v>
      </c>
      <c r="M130" s="77">
        <f t="shared" si="3"/>
        <v>6</v>
      </c>
      <c r="N130" s="77">
        <f t="shared" si="4"/>
        <v>37</v>
      </c>
      <c r="O130" s="77">
        <f t="shared" si="5"/>
        <v>172</v>
      </c>
      <c r="P130" s="77" t="str">
        <f t="shared" si="6"/>
        <v>6|37|172</v>
      </c>
    </row>
    <row r="131" spans="1:16" ht="12.75">
      <c r="A131" s="75">
        <v>6</v>
      </c>
      <c r="B131" s="76" t="s">
        <v>1693</v>
      </c>
      <c r="C131" s="76" t="s">
        <v>1694</v>
      </c>
      <c r="D131" s="75">
        <v>37</v>
      </c>
      <c r="E131" s="76" t="s">
        <v>1706</v>
      </c>
      <c r="F131" s="78"/>
      <c r="G131" s="75">
        <v>173</v>
      </c>
      <c r="H131" s="76" t="s">
        <v>1709</v>
      </c>
      <c r="I131" s="76" t="s">
        <v>1710</v>
      </c>
      <c r="J131" s="74" t="str">
        <f t="shared" si="0"/>
        <v>173-Bouillon/Flavored Seasoning</v>
      </c>
      <c r="K131" s="74" t="str">
        <f t="shared" si="1"/>
        <v>37-Cooking Ingredients</v>
      </c>
      <c r="L131" s="74" t="str">
        <f t="shared" si="2"/>
        <v>6-Dry Food / Dry Groceries</v>
      </c>
      <c r="M131" s="77">
        <f t="shared" si="3"/>
        <v>6</v>
      </c>
      <c r="N131" s="77">
        <f t="shared" si="4"/>
        <v>37</v>
      </c>
      <c r="O131" s="77">
        <f t="shared" si="5"/>
        <v>173</v>
      </c>
      <c r="P131" s="77" t="str">
        <f t="shared" si="6"/>
        <v>6|37|173</v>
      </c>
    </row>
    <row r="132" spans="1:16" ht="12.75">
      <c r="A132" s="75">
        <v>6</v>
      </c>
      <c r="B132" s="76" t="s">
        <v>1693</v>
      </c>
      <c r="C132" s="76" t="s">
        <v>1694</v>
      </c>
      <c r="D132" s="75">
        <v>37</v>
      </c>
      <c r="E132" s="76" t="s">
        <v>1706</v>
      </c>
      <c r="F132" s="78"/>
      <c r="G132" s="75">
        <v>174</v>
      </c>
      <c r="H132" s="76" t="s">
        <v>1711</v>
      </c>
      <c r="I132" s="76" t="s">
        <v>1712</v>
      </c>
      <c r="J132" s="74" t="str">
        <f t="shared" si="0"/>
        <v>174-Salt/Pepper/Chili/Seasoning Mixed Spice</v>
      </c>
      <c r="K132" s="74" t="str">
        <f t="shared" si="1"/>
        <v>37-Cooking Ingredients</v>
      </c>
      <c r="L132" s="74" t="str">
        <f t="shared" si="2"/>
        <v>6-Dry Food / Dry Groceries</v>
      </c>
      <c r="M132" s="77">
        <f t="shared" si="3"/>
        <v>6</v>
      </c>
      <c r="N132" s="77">
        <f t="shared" si="4"/>
        <v>37</v>
      </c>
      <c r="O132" s="77">
        <f t="shared" si="5"/>
        <v>174</v>
      </c>
      <c r="P132" s="77" t="str">
        <f t="shared" si="6"/>
        <v>6|37|174</v>
      </c>
    </row>
    <row r="133" spans="1:16" ht="12.75">
      <c r="A133" s="75">
        <v>6</v>
      </c>
      <c r="B133" s="76" t="s">
        <v>1693</v>
      </c>
      <c r="C133" s="76" t="s">
        <v>1694</v>
      </c>
      <c r="D133" s="75">
        <v>37</v>
      </c>
      <c r="E133" s="76" t="s">
        <v>1706</v>
      </c>
      <c r="F133" s="78"/>
      <c r="G133" s="75">
        <v>175</v>
      </c>
      <c r="H133" s="76" t="s">
        <v>1713</v>
      </c>
      <c r="I133" s="76" t="s">
        <v>1714</v>
      </c>
      <c r="J133" s="74" t="str">
        <f t="shared" si="0"/>
        <v>175-Soy Sauce/Soy Bean Paste</v>
      </c>
      <c r="K133" s="74" t="str">
        <f t="shared" si="1"/>
        <v>37-Cooking Ingredients</v>
      </c>
      <c r="L133" s="74" t="str">
        <f t="shared" si="2"/>
        <v>6-Dry Food / Dry Groceries</v>
      </c>
      <c r="M133" s="77">
        <f t="shared" si="3"/>
        <v>6</v>
      </c>
      <c r="N133" s="77">
        <f t="shared" si="4"/>
        <v>37</v>
      </c>
      <c r="O133" s="77">
        <f t="shared" si="5"/>
        <v>175</v>
      </c>
      <c r="P133" s="77" t="str">
        <f t="shared" si="6"/>
        <v>6|37|175</v>
      </c>
    </row>
    <row r="134" spans="1:16" ht="12.75">
      <c r="A134" s="75">
        <v>6</v>
      </c>
      <c r="B134" s="76" t="s">
        <v>1693</v>
      </c>
      <c r="C134" s="76" t="s">
        <v>1694</v>
      </c>
      <c r="D134" s="75">
        <v>37</v>
      </c>
      <c r="E134" s="76" t="s">
        <v>1706</v>
      </c>
      <c r="F134" s="78"/>
      <c r="G134" s="75">
        <v>176</v>
      </c>
      <c r="H134" s="76" t="s">
        <v>1715</v>
      </c>
      <c r="I134" s="76" t="s">
        <v>1716</v>
      </c>
      <c r="J134" s="74" t="str">
        <f t="shared" si="0"/>
        <v>176-Chili/Tomato Sauce</v>
      </c>
      <c r="K134" s="74" t="str">
        <f t="shared" si="1"/>
        <v>37-Cooking Ingredients</v>
      </c>
      <c r="L134" s="74" t="str">
        <f t="shared" si="2"/>
        <v>6-Dry Food / Dry Groceries</v>
      </c>
      <c r="M134" s="77">
        <f t="shared" si="3"/>
        <v>6</v>
      </c>
      <c r="N134" s="77">
        <f t="shared" si="4"/>
        <v>37</v>
      </c>
      <c r="O134" s="77">
        <f t="shared" si="5"/>
        <v>176</v>
      </c>
      <c r="P134" s="77" t="str">
        <f t="shared" si="6"/>
        <v>6|37|176</v>
      </c>
    </row>
    <row r="135" spans="1:16" ht="12.75">
      <c r="A135" s="75">
        <v>6</v>
      </c>
      <c r="B135" s="76" t="s">
        <v>1693</v>
      </c>
      <c r="C135" s="76" t="s">
        <v>1694</v>
      </c>
      <c r="D135" s="75">
        <v>37</v>
      </c>
      <c r="E135" s="76" t="s">
        <v>1706</v>
      </c>
      <c r="F135" s="78"/>
      <c r="G135" s="75">
        <v>177</v>
      </c>
      <c r="H135" s="76" t="s">
        <v>1717</v>
      </c>
      <c r="I135" s="76" t="s">
        <v>1718</v>
      </c>
      <c r="J135" s="74" t="str">
        <f t="shared" si="0"/>
        <v>177-Oyster Sauce</v>
      </c>
      <c r="K135" s="74" t="str">
        <f t="shared" si="1"/>
        <v>37-Cooking Ingredients</v>
      </c>
      <c r="L135" s="74" t="str">
        <f t="shared" si="2"/>
        <v>6-Dry Food / Dry Groceries</v>
      </c>
      <c r="M135" s="77">
        <f t="shared" si="3"/>
        <v>6</v>
      </c>
      <c r="N135" s="77">
        <f t="shared" si="4"/>
        <v>37</v>
      </c>
      <c r="O135" s="77">
        <f t="shared" si="5"/>
        <v>177</v>
      </c>
      <c r="P135" s="77" t="str">
        <f t="shared" si="6"/>
        <v>6|37|177</v>
      </c>
    </row>
    <row r="136" spans="1:16" ht="12.75">
      <c r="A136" s="75">
        <v>6</v>
      </c>
      <c r="B136" s="76" t="s">
        <v>1693</v>
      </c>
      <c r="C136" s="76" t="s">
        <v>1694</v>
      </c>
      <c r="D136" s="75">
        <v>37</v>
      </c>
      <c r="E136" s="76" t="s">
        <v>1706</v>
      </c>
      <c r="F136" s="78"/>
      <c r="G136" s="75">
        <v>178</v>
      </c>
      <c r="H136" s="76" t="s">
        <v>1719</v>
      </c>
      <c r="I136" s="76" t="s">
        <v>1720</v>
      </c>
      <c r="J136" s="74" t="str">
        <f t="shared" si="0"/>
        <v>178-Spaghetti Sauce</v>
      </c>
      <c r="K136" s="74" t="str">
        <f t="shared" si="1"/>
        <v>37-Cooking Ingredients</v>
      </c>
      <c r="L136" s="74" t="str">
        <f t="shared" si="2"/>
        <v>6-Dry Food / Dry Groceries</v>
      </c>
      <c r="M136" s="77">
        <f t="shared" si="3"/>
        <v>6</v>
      </c>
      <c r="N136" s="77">
        <f t="shared" si="4"/>
        <v>37</v>
      </c>
      <c r="O136" s="77">
        <f t="shared" si="5"/>
        <v>178</v>
      </c>
      <c r="P136" s="77" t="str">
        <f t="shared" si="6"/>
        <v>6|37|178</v>
      </c>
    </row>
    <row r="137" spans="1:16" ht="12.75">
      <c r="A137" s="75">
        <v>6</v>
      </c>
      <c r="B137" s="76" t="s">
        <v>1693</v>
      </c>
      <c r="C137" s="76" t="s">
        <v>1694</v>
      </c>
      <c r="D137" s="75">
        <v>37</v>
      </c>
      <c r="E137" s="76" t="s">
        <v>1706</v>
      </c>
      <c r="F137" s="78"/>
      <c r="G137" s="75">
        <v>179</v>
      </c>
      <c r="H137" s="76" t="s">
        <v>1721</v>
      </c>
      <c r="I137" s="76" t="s">
        <v>1722</v>
      </c>
      <c r="J137" s="74" t="str">
        <f t="shared" si="0"/>
        <v>179-Sugar</v>
      </c>
      <c r="K137" s="74" t="str">
        <f t="shared" si="1"/>
        <v>37-Cooking Ingredients</v>
      </c>
      <c r="L137" s="74" t="str">
        <f t="shared" si="2"/>
        <v>6-Dry Food / Dry Groceries</v>
      </c>
      <c r="M137" s="77">
        <f t="shared" si="3"/>
        <v>6</v>
      </c>
      <c r="N137" s="77">
        <f t="shared" si="4"/>
        <v>37</v>
      </c>
      <c r="O137" s="77">
        <f t="shared" si="5"/>
        <v>179</v>
      </c>
      <c r="P137" s="77" t="str">
        <f t="shared" si="6"/>
        <v>6|37|179</v>
      </c>
    </row>
    <row r="138" spans="1:16" ht="12.75">
      <c r="A138" s="75">
        <v>6</v>
      </c>
      <c r="B138" s="76" t="s">
        <v>1693</v>
      </c>
      <c r="C138" s="76" t="s">
        <v>1694</v>
      </c>
      <c r="D138" s="75">
        <v>37</v>
      </c>
      <c r="E138" s="76" t="s">
        <v>1706</v>
      </c>
      <c r="F138" s="78"/>
      <c r="G138" s="75">
        <v>180</v>
      </c>
      <c r="H138" s="76" t="s">
        <v>147</v>
      </c>
      <c r="I138" s="76" t="s">
        <v>1723</v>
      </c>
      <c r="J138" s="74" t="str">
        <f t="shared" si="0"/>
        <v>180-Fish Sauce</v>
      </c>
      <c r="K138" s="74" t="str">
        <f t="shared" si="1"/>
        <v>37-Cooking Ingredients</v>
      </c>
      <c r="L138" s="74" t="str">
        <f t="shared" si="2"/>
        <v>6-Dry Food / Dry Groceries</v>
      </c>
      <c r="M138" s="77">
        <f t="shared" si="3"/>
        <v>6</v>
      </c>
      <c r="N138" s="77">
        <f t="shared" si="4"/>
        <v>37</v>
      </c>
      <c r="O138" s="77">
        <f t="shared" si="5"/>
        <v>180</v>
      </c>
      <c r="P138" s="77" t="str">
        <f t="shared" si="6"/>
        <v>6|37|180</v>
      </c>
    </row>
    <row r="139" spans="1:16" ht="12.75">
      <c r="A139" s="75">
        <v>6</v>
      </c>
      <c r="B139" s="76" t="s">
        <v>1693</v>
      </c>
      <c r="C139" s="76" t="s">
        <v>1694</v>
      </c>
      <c r="D139" s="75">
        <v>37</v>
      </c>
      <c r="E139" s="76" t="s">
        <v>1706</v>
      </c>
      <c r="F139" s="78"/>
      <c r="G139" s="75">
        <v>181</v>
      </c>
      <c r="H139" s="76" t="s">
        <v>1724</v>
      </c>
      <c r="I139" s="76" t="s">
        <v>1725</v>
      </c>
      <c r="J139" s="74" t="str">
        <f t="shared" si="0"/>
        <v>181-Vinegar</v>
      </c>
      <c r="K139" s="74" t="str">
        <f t="shared" si="1"/>
        <v>37-Cooking Ingredients</v>
      </c>
      <c r="L139" s="74" t="str">
        <f t="shared" si="2"/>
        <v>6-Dry Food / Dry Groceries</v>
      </c>
      <c r="M139" s="77">
        <f t="shared" si="3"/>
        <v>6</v>
      </c>
      <c r="N139" s="77">
        <f t="shared" si="4"/>
        <v>37</v>
      </c>
      <c r="O139" s="77">
        <f t="shared" si="5"/>
        <v>181</v>
      </c>
      <c r="P139" s="77" t="str">
        <f t="shared" si="6"/>
        <v>6|37|181</v>
      </c>
    </row>
    <row r="140" spans="1:16" ht="12.75">
      <c r="A140" s="75">
        <v>6</v>
      </c>
      <c r="B140" s="76" t="s">
        <v>1693</v>
      </c>
      <c r="C140" s="76" t="s">
        <v>1694</v>
      </c>
      <c r="D140" s="75">
        <v>37</v>
      </c>
      <c r="E140" s="76" t="s">
        <v>1706</v>
      </c>
      <c r="F140" s="78"/>
      <c r="G140" s="75">
        <v>182</v>
      </c>
      <c r="H140" s="76" t="s">
        <v>1726</v>
      </c>
      <c r="I140" s="76" t="s">
        <v>1727</v>
      </c>
      <c r="J140" s="74" t="str">
        <f t="shared" si="0"/>
        <v>182-Other Sauce</v>
      </c>
      <c r="K140" s="74" t="str">
        <f t="shared" si="1"/>
        <v>37-Cooking Ingredients</v>
      </c>
      <c r="L140" s="74" t="str">
        <f t="shared" si="2"/>
        <v>6-Dry Food / Dry Groceries</v>
      </c>
      <c r="M140" s="77">
        <f t="shared" si="3"/>
        <v>6</v>
      </c>
      <c r="N140" s="77">
        <f t="shared" si="4"/>
        <v>37</v>
      </c>
      <c r="O140" s="77">
        <f t="shared" si="5"/>
        <v>182</v>
      </c>
      <c r="P140" s="77" t="str">
        <f t="shared" si="6"/>
        <v>6|37|182</v>
      </c>
    </row>
    <row r="141" spans="1:16" ht="12.75">
      <c r="A141" s="75">
        <v>6</v>
      </c>
      <c r="B141" s="76" t="s">
        <v>1693</v>
      </c>
      <c r="C141" s="76" t="s">
        <v>1694</v>
      </c>
      <c r="D141" s="75">
        <v>38</v>
      </c>
      <c r="E141" s="76" t="s">
        <v>1728</v>
      </c>
      <c r="F141" s="76" t="s">
        <v>1729</v>
      </c>
      <c r="G141" s="75">
        <v>183</v>
      </c>
      <c r="H141" s="76" t="s">
        <v>1730</v>
      </c>
      <c r="I141" s="76" t="s">
        <v>1731</v>
      </c>
      <c r="J141" s="74" t="str">
        <f t="shared" si="0"/>
        <v>183-Soy Bean Oil</v>
      </c>
      <c r="K141" s="74" t="str">
        <f t="shared" si="1"/>
        <v>38-Oil</v>
      </c>
      <c r="L141" s="74" t="str">
        <f t="shared" si="2"/>
        <v>6-Dry Food / Dry Groceries</v>
      </c>
      <c r="M141" s="77">
        <f t="shared" si="3"/>
        <v>6</v>
      </c>
      <c r="N141" s="77">
        <f t="shared" si="4"/>
        <v>38</v>
      </c>
      <c r="O141" s="77">
        <f t="shared" si="5"/>
        <v>183</v>
      </c>
      <c r="P141" s="77" t="str">
        <f t="shared" si="6"/>
        <v>6|38|183</v>
      </c>
    </row>
    <row r="142" spans="1:16" ht="12.75">
      <c r="A142" s="75">
        <v>6</v>
      </c>
      <c r="B142" s="76" t="s">
        <v>1693</v>
      </c>
      <c r="C142" s="76" t="s">
        <v>1694</v>
      </c>
      <c r="D142" s="75">
        <v>38</v>
      </c>
      <c r="E142" s="76" t="s">
        <v>1728</v>
      </c>
      <c r="F142" s="76" t="s">
        <v>1729</v>
      </c>
      <c r="G142" s="75">
        <v>184</v>
      </c>
      <c r="H142" s="76" t="s">
        <v>167</v>
      </c>
      <c r="I142" s="76" t="s">
        <v>166</v>
      </c>
      <c r="J142" s="74" t="str">
        <f t="shared" si="0"/>
        <v>184-Palm Oil</v>
      </c>
      <c r="K142" s="74" t="str">
        <f t="shared" si="1"/>
        <v>38-Oil</v>
      </c>
      <c r="L142" s="74" t="str">
        <f t="shared" si="2"/>
        <v>6-Dry Food / Dry Groceries</v>
      </c>
      <c r="M142" s="77">
        <f t="shared" si="3"/>
        <v>6</v>
      </c>
      <c r="N142" s="77">
        <f t="shared" si="4"/>
        <v>38</v>
      </c>
      <c r="O142" s="77">
        <f t="shared" si="5"/>
        <v>184</v>
      </c>
      <c r="P142" s="77" t="str">
        <f t="shared" si="6"/>
        <v>6|38|184</v>
      </c>
    </row>
    <row r="143" spans="1:16" ht="12.75">
      <c r="A143" s="75">
        <v>6</v>
      </c>
      <c r="B143" s="76" t="s">
        <v>1693</v>
      </c>
      <c r="C143" s="76" t="s">
        <v>1694</v>
      </c>
      <c r="D143" s="75">
        <v>38</v>
      </c>
      <c r="E143" s="76" t="s">
        <v>1728</v>
      </c>
      <c r="F143" s="76" t="s">
        <v>1729</v>
      </c>
      <c r="G143" s="75">
        <v>185</v>
      </c>
      <c r="H143" s="76" t="s">
        <v>1732</v>
      </c>
      <c r="I143" s="76" t="s">
        <v>1733</v>
      </c>
      <c r="J143" s="74" t="str">
        <f t="shared" si="0"/>
        <v>185-Oilive/Sesame Oil</v>
      </c>
      <c r="K143" s="74" t="str">
        <f t="shared" si="1"/>
        <v>38-Oil</v>
      </c>
      <c r="L143" s="74" t="str">
        <f t="shared" si="2"/>
        <v>6-Dry Food / Dry Groceries</v>
      </c>
      <c r="M143" s="77">
        <f t="shared" si="3"/>
        <v>6</v>
      </c>
      <c r="N143" s="77">
        <f t="shared" si="4"/>
        <v>38</v>
      </c>
      <c r="O143" s="77">
        <f t="shared" si="5"/>
        <v>185</v>
      </c>
      <c r="P143" s="77" t="str">
        <f t="shared" si="6"/>
        <v>6|38|185</v>
      </c>
    </row>
    <row r="144" spans="1:16" ht="12.75">
      <c r="A144" s="75">
        <v>6</v>
      </c>
      <c r="B144" s="76" t="s">
        <v>1693</v>
      </c>
      <c r="C144" s="76" t="s">
        <v>1694</v>
      </c>
      <c r="D144" s="75">
        <v>38</v>
      </c>
      <c r="E144" s="76" t="s">
        <v>1728</v>
      </c>
      <c r="F144" s="76" t="s">
        <v>1729</v>
      </c>
      <c r="G144" s="75">
        <v>186</v>
      </c>
      <c r="H144" s="76" t="s">
        <v>1734</v>
      </c>
      <c r="I144" s="76" t="s">
        <v>1735</v>
      </c>
      <c r="J144" s="74" t="str">
        <f t="shared" si="0"/>
        <v>186-Corn/Sunflower/Rice Bran Oil</v>
      </c>
      <c r="K144" s="74" t="str">
        <f t="shared" si="1"/>
        <v>38-Oil</v>
      </c>
      <c r="L144" s="74" t="str">
        <f t="shared" si="2"/>
        <v>6-Dry Food / Dry Groceries</v>
      </c>
      <c r="M144" s="77">
        <f t="shared" si="3"/>
        <v>6</v>
      </c>
      <c r="N144" s="77">
        <f t="shared" si="4"/>
        <v>38</v>
      </c>
      <c r="O144" s="77">
        <f t="shared" si="5"/>
        <v>186</v>
      </c>
      <c r="P144" s="77" t="str">
        <f t="shared" si="6"/>
        <v>6|38|186</v>
      </c>
    </row>
    <row r="145" spans="1:16" ht="12.75">
      <c r="A145" s="75">
        <v>6</v>
      </c>
      <c r="B145" s="76" t="s">
        <v>1693</v>
      </c>
      <c r="C145" s="76" t="s">
        <v>1694</v>
      </c>
      <c r="D145" s="75">
        <v>38</v>
      </c>
      <c r="E145" s="76" t="s">
        <v>1728</v>
      </c>
      <c r="F145" s="76" t="s">
        <v>1729</v>
      </c>
      <c r="G145" s="75">
        <v>187</v>
      </c>
      <c r="H145" s="76" t="s">
        <v>1736</v>
      </c>
      <c r="I145" s="76" t="s">
        <v>1737</v>
      </c>
      <c r="J145" s="74" t="str">
        <f t="shared" si="0"/>
        <v>187-Others Oil</v>
      </c>
      <c r="K145" s="74" t="str">
        <f t="shared" si="1"/>
        <v>38-Oil</v>
      </c>
      <c r="L145" s="74" t="str">
        <f t="shared" si="2"/>
        <v>6-Dry Food / Dry Groceries</v>
      </c>
      <c r="M145" s="77">
        <f t="shared" si="3"/>
        <v>6</v>
      </c>
      <c r="N145" s="77">
        <f t="shared" si="4"/>
        <v>38</v>
      </c>
      <c r="O145" s="77">
        <f t="shared" si="5"/>
        <v>187</v>
      </c>
      <c r="P145" s="77" t="str">
        <f t="shared" si="6"/>
        <v>6|38|187</v>
      </c>
    </row>
    <row r="146" spans="1:16" ht="12.75">
      <c r="A146" s="75">
        <v>6</v>
      </c>
      <c r="B146" s="76" t="s">
        <v>1693</v>
      </c>
      <c r="C146" s="76" t="s">
        <v>1694</v>
      </c>
      <c r="D146" s="75">
        <v>39</v>
      </c>
      <c r="E146" s="76" t="s">
        <v>1738</v>
      </c>
      <c r="F146" s="76" t="s">
        <v>1739</v>
      </c>
      <c r="G146" s="75">
        <v>188</v>
      </c>
      <c r="H146" s="76" t="s">
        <v>1740</v>
      </c>
      <c r="I146" s="76" t="s">
        <v>1741</v>
      </c>
      <c r="J146" s="74" t="str">
        <f t="shared" si="0"/>
        <v>188-Canned Soup</v>
      </c>
      <c r="K146" s="74" t="str">
        <f t="shared" si="1"/>
        <v>39-Canned Food</v>
      </c>
      <c r="L146" s="74" t="str">
        <f t="shared" si="2"/>
        <v>6-Dry Food / Dry Groceries</v>
      </c>
      <c r="M146" s="77">
        <f t="shared" si="3"/>
        <v>6</v>
      </c>
      <c r="N146" s="77">
        <f t="shared" si="4"/>
        <v>39</v>
      </c>
      <c r="O146" s="77">
        <f t="shared" si="5"/>
        <v>188</v>
      </c>
      <c r="P146" s="77" t="str">
        <f t="shared" si="6"/>
        <v>6|39|188</v>
      </c>
    </row>
    <row r="147" spans="1:16" ht="12.75">
      <c r="A147" s="75">
        <v>6</v>
      </c>
      <c r="B147" s="76" t="s">
        <v>1693</v>
      </c>
      <c r="C147" s="76" t="s">
        <v>1694</v>
      </c>
      <c r="D147" s="75">
        <v>39</v>
      </c>
      <c r="E147" s="76" t="s">
        <v>1738</v>
      </c>
      <c r="F147" s="76" t="s">
        <v>1739</v>
      </c>
      <c r="G147" s="75">
        <v>189</v>
      </c>
      <c r="H147" s="76" t="s">
        <v>1742</v>
      </c>
      <c r="I147" s="76" t="s">
        <v>1743</v>
      </c>
      <c r="J147" s="74" t="str">
        <f t="shared" si="0"/>
        <v>189-Canned Meat</v>
      </c>
      <c r="K147" s="74" t="str">
        <f t="shared" si="1"/>
        <v>39-Canned Food</v>
      </c>
      <c r="L147" s="74" t="str">
        <f t="shared" si="2"/>
        <v>6-Dry Food / Dry Groceries</v>
      </c>
      <c r="M147" s="77">
        <f t="shared" si="3"/>
        <v>6</v>
      </c>
      <c r="N147" s="77">
        <f t="shared" si="4"/>
        <v>39</v>
      </c>
      <c r="O147" s="77">
        <f t="shared" si="5"/>
        <v>189</v>
      </c>
      <c r="P147" s="77" t="str">
        <f t="shared" si="6"/>
        <v>6|39|189</v>
      </c>
    </row>
    <row r="148" spans="1:16" ht="12.75">
      <c r="A148" s="75">
        <v>6</v>
      </c>
      <c r="B148" s="76" t="s">
        <v>1693</v>
      </c>
      <c r="C148" s="76" t="s">
        <v>1694</v>
      </c>
      <c r="D148" s="75">
        <v>39</v>
      </c>
      <c r="E148" s="76" t="s">
        <v>1738</v>
      </c>
      <c r="F148" s="76" t="s">
        <v>1739</v>
      </c>
      <c r="G148" s="75">
        <v>190</v>
      </c>
      <c r="H148" s="76" t="s">
        <v>1744</v>
      </c>
      <c r="I148" s="76" t="s">
        <v>1745</v>
      </c>
      <c r="J148" s="74" t="str">
        <f t="shared" si="0"/>
        <v>190-Canned Fish/Seafood</v>
      </c>
      <c r="K148" s="74" t="str">
        <f t="shared" si="1"/>
        <v>39-Canned Food</v>
      </c>
      <c r="L148" s="74" t="str">
        <f t="shared" si="2"/>
        <v>6-Dry Food / Dry Groceries</v>
      </c>
      <c r="M148" s="77">
        <f t="shared" si="3"/>
        <v>6</v>
      </c>
      <c r="N148" s="77">
        <f t="shared" si="4"/>
        <v>39</v>
      </c>
      <c r="O148" s="77">
        <f t="shared" si="5"/>
        <v>190</v>
      </c>
      <c r="P148" s="77" t="str">
        <f t="shared" si="6"/>
        <v>6|39|190</v>
      </c>
    </row>
    <row r="149" spans="1:16" ht="12.75">
      <c r="A149" s="75">
        <v>6</v>
      </c>
      <c r="B149" s="76" t="s">
        <v>1693</v>
      </c>
      <c r="C149" s="76" t="s">
        <v>1694</v>
      </c>
      <c r="D149" s="75">
        <v>39</v>
      </c>
      <c r="E149" s="76" t="s">
        <v>1738</v>
      </c>
      <c r="F149" s="76" t="s">
        <v>1739</v>
      </c>
      <c r="G149" s="75">
        <v>191</v>
      </c>
      <c r="H149" s="76" t="s">
        <v>1746</v>
      </c>
      <c r="I149" s="76" t="s">
        <v>1747</v>
      </c>
      <c r="J149" s="74" t="str">
        <f t="shared" si="0"/>
        <v>191-Canned Bean/Vegetable</v>
      </c>
      <c r="K149" s="74" t="str">
        <f t="shared" si="1"/>
        <v>39-Canned Food</v>
      </c>
      <c r="L149" s="74" t="str">
        <f t="shared" si="2"/>
        <v>6-Dry Food / Dry Groceries</v>
      </c>
      <c r="M149" s="77">
        <f t="shared" si="3"/>
        <v>6</v>
      </c>
      <c r="N149" s="77">
        <f t="shared" si="4"/>
        <v>39</v>
      </c>
      <c r="O149" s="77">
        <f t="shared" si="5"/>
        <v>191</v>
      </c>
      <c r="P149" s="77" t="str">
        <f t="shared" si="6"/>
        <v>6|39|191</v>
      </c>
    </row>
    <row r="150" spans="1:16" ht="12.75">
      <c r="A150" s="75">
        <v>6</v>
      </c>
      <c r="B150" s="76" t="s">
        <v>1693</v>
      </c>
      <c r="C150" s="76" t="s">
        <v>1694</v>
      </c>
      <c r="D150" s="75">
        <v>39</v>
      </c>
      <c r="E150" s="76" t="s">
        <v>1738</v>
      </c>
      <c r="F150" s="76" t="s">
        <v>1739</v>
      </c>
      <c r="G150" s="75">
        <v>192</v>
      </c>
      <c r="H150" s="76" t="s">
        <v>1748</v>
      </c>
      <c r="I150" s="76" t="s">
        <v>1749</v>
      </c>
      <c r="J150" s="74" t="str">
        <f t="shared" si="0"/>
        <v>192-Canned Fruits</v>
      </c>
      <c r="K150" s="74" t="str">
        <f t="shared" si="1"/>
        <v>39-Canned Food</v>
      </c>
      <c r="L150" s="74" t="str">
        <f t="shared" si="2"/>
        <v>6-Dry Food / Dry Groceries</v>
      </c>
      <c r="M150" s="77">
        <f t="shared" si="3"/>
        <v>6</v>
      </c>
      <c r="N150" s="77">
        <f t="shared" si="4"/>
        <v>39</v>
      </c>
      <c r="O150" s="77">
        <f t="shared" si="5"/>
        <v>192</v>
      </c>
      <c r="P150" s="77" t="str">
        <f t="shared" si="6"/>
        <v>6|39|192</v>
      </c>
    </row>
    <row r="151" spans="1:16" ht="12.75">
      <c r="A151" s="75">
        <v>6</v>
      </c>
      <c r="B151" s="76" t="s">
        <v>1693</v>
      </c>
      <c r="C151" s="76" t="s">
        <v>1694</v>
      </c>
      <c r="D151" s="75">
        <v>39</v>
      </c>
      <c r="E151" s="76" t="s">
        <v>1738</v>
      </c>
      <c r="F151" s="76" t="s">
        <v>1739</v>
      </c>
      <c r="G151" s="75">
        <v>193</v>
      </c>
      <c r="H151" s="76" t="s">
        <v>1750</v>
      </c>
      <c r="I151" s="76" t="s">
        <v>1751</v>
      </c>
      <c r="J151" s="74" t="str">
        <f t="shared" si="0"/>
        <v>193-Others Canned Food</v>
      </c>
      <c r="K151" s="74" t="str">
        <f t="shared" si="1"/>
        <v>39-Canned Food</v>
      </c>
      <c r="L151" s="74" t="str">
        <f t="shared" si="2"/>
        <v>6-Dry Food / Dry Groceries</v>
      </c>
      <c r="M151" s="77">
        <f t="shared" si="3"/>
        <v>6</v>
      </c>
      <c r="N151" s="77">
        <f t="shared" si="4"/>
        <v>39</v>
      </c>
      <c r="O151" s="77">
        <f t="shared" si="5"/>
        <v>193</v>
      </c>
      <c r="P151" s="77" t="str">
        <f t="shared" si="6"/>
        <v>6|39|193</v>
      </c>
    </row>
    <row r="152" spans="1:16" ht="12.75">
      <c r="A152" s="75">
        <v>6</v>
      </c>
      <c r="B152" s="76" t="s">
        <v>1693</v>
      </c>
      <c r="C152" s="76" t="s">
        <v>1694</v>
      </c>
      <c r="D152" s="75">
        <v>40</v>
      </c>
      <c r="E152" s="76" t="s">
        <v>1752</v>
      </c>
      <c r="F152" s="76" t="s">
        <v>1753</v>
      </c>
      <c r="G152" s="75">
        <v>194</v>
      </c>
      <c r="H152" s="76" t="s">
        <v>1754</v>
      </c>
      <c r="I152" s="76" t="s">
        <v>1755</v>
      </c>
      <c r="J152" s="74" t="str">
        <f t="shared" si="0"/>
        <v>194-Instant Noodle</v>
      </c>
      <c r="K152" s="74" t="str">
        <f t="shared" si="1"/>
        <v>40-Instant noodle / Soup / Porridge</v>
      </c>
      <c r="L152" s="74" t="str">
        <f t="shared" si="2"/>
        <v>6-Dry Food / Dry Groceries</v>
      </c>
      <c r="M152" s="77">
        <f t="shared" si="3"/>
        <v>6</v>
      </c>
      <c r="N152" s="77">
        <f t="shared" si="4"/>
        <v>40</v>
      </c>
      <c r="O152" s="77">
        <f t="shared" si="5"/>
        <v>194</v>
      </c>
      <c r="P152" s="77" t="str">
        <f t="shared" si="6"/>
        <v>6|40|194</v>
      </c>
    </row>
    <row r="153" spans="1:16" ht="12.75">
      <c r="A153" s="75">
        <v>6</v>
      </c>
      <c r="B153" s="76" t="s">
        <v>1693</v>
      </c>
      <c r="C153" s="76" t="s">
        <v>1694</v>
      </c>
      <c r="D153" s="75">
        <v>40</v>
      </c>
      <c r="E153" s="76" t="s">
        <v>1752</v>
      </c>
      <c r="F153" s="76" t="s">
        <v>1753</v>
      </c>
      <c r="G153" s="75">
        <v>195</v>
      </c>
      <c r="H153" s="76" t="s">
        <v>1756</v>
      </c>
      <c r="I153" s="76" t="s">
        <v>1757</v>
      </c>
      <c r="J153" s="74" t="str">
        <f t="shared" si="0"/>
        <v>195-Instant Porridge</v>
      </c>
      <c r="K153" s="74" t="str">
        <f t="shared" si="1"/>
        <v>40-Instant noodle / Soup / Porridge</v>
      </c>
      <c r="L153" s="74" t="str">
        <f t="shared" si="2"/>
        <v>6-Dry Food / Dry Groceries</v>
      </c>
      <c r="M153" s="77">
        <f t="shared" si="3"/>
        <v>6</v>
      </c>
      <c r="N153" s="77">
        <f t="shared" si="4"/>
        <v>40</v>
      </c>
      <c r="O153" s="77">
        <f t="shared" si="5"/>
        <v>195</v>
      </c>
      <c r="P153" s="77" t="str">
        <f t="shared" si="6"/>
        <v>6|40|195</v>
      </c>
    </row>
    <row r="154" spans="1:16" ht="12.75">
      <c r="A154" s="75">
        <v>6</v>
      </c>
      <c r="B154" s="76" t="s">
        <v>1693</v>
      </c>
      <c r="C154" s="76" t="s">
        <v>1694</v>
      </c>
      <c r="D154" s="75">
        <v>40</v>
      </c>
      <c r="E154" s="76" t="s">
        <v>1752</v>
      </c>
      <c r="F154" s="76" t="s">
        <v>1753</v>
      </c>
      <c r="G154" s="75">
        <v>196</v>
      </c>
      <c r="H154" s="76" t="s">
        <v>1758</v>
      </c>
      <c r="I154" s="76" t="s">
        <v>1759</v>
      </c>
      <c r="J154" s="74" t="str">
        <f t="shared" si="0"/>
        <v>196-Instant Soup</v>
      </c>
      <c r="K154" s="74" t="str">
        <f t="shared" si="1"/>
        <v>40-Instant noodle / Soup / Porridge</v>
      </c>
      <c r="L154" s="74" t="str">
        <f t="shared" si="2"/>
        <v>6-Dry Food / Dry Groceries</v>
      </c>
      <c r="M154" s="77">
        <f t="shared" si="3"/>
        <v>6</v>
      </c>
      <c r="N154" s="77">
        <f t="shared" si="4"/>
        <v>40</v>
      </c>
      <c r="O154" s="77">
        <f t="shared" si="5"/>
        <v>196</v>
      </c>
      <c r="P154" s="77" t="str">
        <f t="shared" si="6"/>
        <v>6|40|196</v>
      </c>
    </row>
    <row r="155" spans="1:16" ht="12.75">
      <c r="A155" s="75">
        <v>6</v>
      </c>
      <c r="B155" s="76" t="s">
        <v>1693</v>
      </c>
      <c r="C155" s="76" t="s">
        <v>1694</v>
      </c>
      <c r="D155" s="75">
        <v>41</v>
      </c>
      <c r="E155" s="76" t="s">
        <v>1760</v>
      </c>
      <c r="F155" s="76" t="s">
        <v>1761</v>
      </c>
      <c r="G155" s="75">
        <v>197</v>
      </c>
      <c r="H155" s="76" t="s">
        <v>1762</v>
      </c>
      <c r="I155" s="76" t="s">
        <v>159</v>
      </c>
      <c r="J155" s="74" t="str">
        <f t="shared" si="0"/>
        <v>197-Vermicelli</v>
      </c>
      <c r="K155" s="74" t="str">
        <f t="shared" si="1"/>
        <v>41-Pasta / Noodle</v>
      </c>
      <c r="L155" s="74" t="str">
        <f t="shared" si="2"/>
        <v>6-Dry Food / Dry Groceries</v>
      </c>
      <c r="M155" s="77">
        <f t="shared" si="3"/>
        <v>6</v>
      </c>
      <c r="N155" s="77">
        <f t="shared" si="4"/>
        <v>41</v>
      </c>
      <c r="O155" s="77">
        <f t="shared" si="5"/>
        <v>197</v>
      </c>
      <c r="P155" s="77" t="str">
        <f t="shared" si="6"/>
        <v>6|41|197</v>
      </c>
    </row>
    <row r="156" spans="1:16" ht="12.75">
      <c r="A156" s="75">
        <v>6</v>
      </c>
      <c r="B156" s="76" t="s">
        <v>1693</v>
      </c>
      <c r="C156" s="76" t="s">
        <v>1694</v>
      </c>
      <c r="D156" s="75">
        <v>41</v>
      </c>
      <c r="E156" s="76" t="s">
        <v>1760</v>
      </c>
      <c r="F156" s="76" t="s">
        <v>1761</v>
      </c>
      <c r="G156" s="75">
        <v>198</v>
      </c>
      <c r="H156" s="76" t="s">
        <v>1763</v>
      </c>
      <c r="I156" s="76" t="s">
        <v>1764</v>
      </c>
      <c r="J156" s="74" t="str">
        <f t="shared" si="0"/>
        <v>198-Noodles</v>
      </c>
      <c r="K156" s="74" t="str">
        <f t="shared" si="1"/>
        <v>41-Pasta / Noodle</v>
      </c>
      <c r="L156" s="74" t="str">
        <f t="shared" si="2"/>
        <v>6-Dry Food / Dry Groceries</v>
      </c>
      <c r="M156" s="77">
        <f t="shared" si="3"/>
        <v>6</v>
      </c>
      <c r="N156" s="77">
        <f t="shared" si="4"/>
        <v>41</v>
      </c>
      <c r="O156" s="77">
        <f t="shared" si="5"/>
        <v>198</v>
      </c>
      <c r="P156" s="77" t="str">
        <f t="shared" si="6"/>
        <v>6|41|198</v>
      </c>
    </row>
    <row r="157" spans="1:16" ht="12.75">
      <c r="A157" s="75">
        <v>6</v>
      </c>
      <c r="B157" s="76" t="s">
        <v>1693</v>
      </c>
      <c r="C157" s="76" t="s">
        <v>1694</v>
      </c>
      <c r="D157" s="75">
        <v>41</v>
      </c>
      <c r="E157" s="76" t="s">
        <v>1760</v>
      </c>
      <c r="F157" s="76" t="s">
        <v>1761</v>
      </c>
      <c r="G157" s="75">
        <v>199</v>
      </c>
      <c r="H157" s="76" t="s">
        <v>1765</v>
      </c>
      <c r="I157" s="76" t="s">
        <v>1766</v>
      </c>
      <c r="J157" s="74" t="str">
        <f t="shared" si="0"/>
        <v>199-Pasta/Spagetti/Macaroni</v>
      </c>
      <c r="K157" s="74" t="str">
        <f t="shared" si="1"/>
        <v>41-Pasta / Noodle</v>
      </c>
      <c r="L157" s="74" t="str">
        <f t="shared" si="2"/>
        <v>6-Dry Food / Dry Groceries</v>
      </c>
      <c r="M157" s="77">
        <f t="shared" si="3"/>
        <v>6</v>
      </c>
      <c r="N157" s="77">
        <f t="shared" si="4"/>
        <v>41</v>
      </c>
      <c r="O157" s="77">
        <f t="shared" si="5"/>
        <v>199</v>
      </c>
      <c r="P157" s="77" t="str">
        <f t="shared" si="6"/>
        <v>6|41|199</v>
      </c>
    </row>
    <row r="158" spans="1:16" ht="12.75">
      <c r="A158" s="75">
        <v>6</v>
      </c>
      <c r="B158" s="76" t="s">
        <v>1693</v>
      </c>
      <c r="C158" s="76" t="s">
        <v>1694</v>
      </c>
      <c r="D158" s="75">
        <v>41</v>
      </c>
      <c r="E158" s="76" t="s">
        <v>1760</v>
      </c>
      <c r="F158" s="76" t="s">
        <v>1761</v>
      </c>
      <c r="G158" s="75">
        <v>200</v>
      </c>
      <c r="H158" s="76" t="s">
        <v>1767</v>
      </c>
      <c r="I158" s="76" t="s">
        <v>1768</v>
      </c>
      <c r="J158" s="74" t="str">
        <f t="shared" si="0"/>
        <v>200-Others Noodle</v>
      </c>
      <c r="K158" s="74" t="str">
        <f t="shared" si="1"/>
        <v>41-Pasta / Noodle</v>
      </c>
      <c r="L158" s="74" t="str">
        <f t="shared" si="2"/>
        <v>6-Dry Food / Dry Groceries</v>
      </c>
      <c r="M158" s="77">
        <f t="shared" si="3"/>
        <v>6</v>
      </c>
      <c r="N158" s="77">
        <f t="shared" si="4"/>
        <v>41</v>
      </c>
      <c r="O158" s="77">
        <f t="shared" si="5"/>
        <v>200</v>
      </c>
      <c r="P158" s="77" t="str">
        <f t="shared" si="6"/>
        <v>6|41|200</v>
      </c>
    </row>
    <row r="159" spans="1:16" ht="12.75">
      <c r="A159" s="75">
        <v>6</v>
      </c>
      <c r="B159" s="76" t="s">
        <v>1693</v>
      </c>
      <c r="C159" s="76" t="s">
        <v>1694</v>
      </c>
      <c r="D159" s="75">
        <v>42</v>
      </c>
      <c r="E159" s="76" t="s">
        <v>1769</v>
      </c>
      <c r="F159" s="76" t="s">
        <v>1770</v>
      </c>
      <c r="G159" s="75">
        <v>201</v>
      </c>
      <c r="H159" s="76" t="s">
        <v>1771</v>
      </c>
      <c r="I159" s="76" t="s">
        <v>1772</v>
      </c>
      <c r="J159" s="74" t="str">
        <f t="shared" si="0"/>
        <v>201-Cereal/Muesli/Oatmeal</v>
      </c>
      <c r="K159" s="74" t="str">
        <f t="shared" si="1"/>
        <v>42-Cereal / Salad Cream</v>
      </c>
      <c r="L159" s="74" t="str">
        <f t="shared" si="2"/>
        <v>6-Dry Food / Dry Groceries</v>
      </c>
      <c r="M159" s="77">
        <f t="shared" si="3"/>
        <v>6</v>
      </c>
      <c r="N159" s="77">
        <f t="shared" si="4"/>
        <v>42</v>
      </c>
      <c r="O159" s="77">
        <f t="shared" si="5"/>
        <v>201</v>
      </c>
      <c r="P159" s="77" t="str">
        <f t="shared" si="6"/>
        <v>6|42|201</v>
      </c>
    </row>
    <row r="160" spans="1:16" ht="12.75">
      <c r="A160" s="75">
        <v>6</v>
      </c>
      <c r="B160" s="76" t="s">
        <v>1693</v>
      </c>
      <c r="C160" s="76" t="s">
        <v>1694</v>
      </c>
      <c r="D160" s="75">
        <v>42</v>
      </c>
      <c r="E160" s="76" t="s">
        <v>1769</v>
      </c>
      <c r="F160" s="76" t="s">
        <v>1770</v>
      </c>
      <c r="G160" s="75">
        <v>202</v>
      </c>
      <c r="H160" s="76" t="s">
        <v>1773</v>
      </c>
      <c r="I160" s="76" t="s">
        <v>1774</v>
      </c>
      <c r="J160" s="74" t="str">
        <f t="shared" si="0"/>
        <v>202-Jam/Butter/Magarine/Honey</v>
      </c>
      <c r="K160" s="74" t="str">
        <f t="shared" si="1"/>
        <v>42-Cereal / Salad Cream</v>
      </c>
      <c r="L160" s="74" t="str">
        <f t="shared" si="2"/>
        <v>6-Dry Food / Dry Groceries</v>
      </c>
      <c r="M160" s="77">
        <f t="shared" si="3"/>
        <v>6</v>
      </c>
      <c r="N160" s="77">
        <f t="shared" si="4"/>
        <v>42</v>
      </c>
      <c r="O160" s="77">
        <f t="shared" si="5"/>
        <v>202</v>
      </c>
      <c r="P160" s="77" t="str">
        <f t="shared" si="6"/>
        <v>6|42|202</v>
      </c>
    </row>
    <row r="161" spans="1:16" ht="12.75">
      <c r="A161" s="75">
        <v>6</v>
      </c>
      <c r="B161" s="76" t="s">
        <v>1693</v>
      </c>
      <c r="C161" s="76" t="s">
        <v>1694</v>
      </c>
      <c r="D161" s="75">
        <v>42</v>
      </c>
      <c r="E161" s="76" t="s">
        <v>1769</v>
      </c>
      <c r="F161" s="76" t="s">
        <v>1770</v>
      </c>
      <c r="G161" s="75">
        <v>203</v>
      </c>
      <c r="H161" s="76" t="s">
        <v>1775</v>
      </c>
      <c r="I161" s="76" t="s">
        <v>1776</v>
      </c>
      <c r="J161" s="74" t="str">
        <f t="shared" si="0"/>
        <v>203-Creamy Peanut Butter/Chocolate Spread</v>
      </c>
      <c r="K161" s="74" t="str">
        <f t="shared" si="1"/>
        <v>42-Cereal / Salad Cream</v>
      </c>
      <c r="L161" s="74" t="str">
        <f t="shared" si="2"/>
        <v>6-Dry Food / Dry Groceries</v>
      </c>
      <c r="M161" s="77">
        <f t="shared" si="3"/>
        <v>6</v>
      </c>
      <c r="N161" s="77">
        <f t="shared" si="4"/>
        <v>42</v>
      </c>
      <c r="O161" s="77">
        <f t="shared" si="5"/>
        <v>203</v>
      </c>
      <c r="P161" s="77" t="str">
        <f t="shared" si="6"/>
        <v>6|42|203</v>
      </c>
    </row>
    <row r="162" spans="1:16" ht="12.75">
      <c r="A162" s="75">
        <v>6</v>
      </c>
      <c r="B162" s="76" t="s">
        <v>1693</v>
      </c>
      <c r="C162" s="76" t="s">
        <v>1694</v>
      </c>
      <c r="D162" s="75">
        <v>42</v>
      </c>
      <c r="E162" s="76" t="s">
        <v>1769</v>
      </c>
      <c r="F162" s="76" t="s">
        <v>1770</v>
      </c>
      <c r="G162" s="75">
        <v>204</v>
      </c>
      <c r="H162" s="76" t="s">
        <v>1777</v>
      </c>
      <c r="I162" s="76" t="s">
        <v>1778</v>
      </c>
      <c r="J162" s="74" t="str">
        <f t="shared" si="0"/>
        <v>204-Salad Cream</v>
      </c>
      <c r="K162" s="74" t="str">
        <f t="shared" si="1"/>
        <v>42-Cereal / Salad Cream</v>
      </c>
      <c r="L162" s="74" t="str">
        <f t="shared" si="2"/>
        <v>6-Dry Food / Dry Groceries</v>
      </c>
      <c r="M162" s="77">
        <f t="shared" si="3"/>
        <v>6</v>
      </c>
      <c r="N162" s="77">
        <f t="shared" si="4"/>
        <v>42</v>
      </c>
      <c r="O162" s="77">
        <f t="shared" si="5"/>
        <v>204</v>
      </c>
      <c r="P162" s="77" t="str">
        <f t="shared" si="6"/>
        <v>6|42|204</v>
      </c>
    </row>
    <row r="163" spans="1:16" ht="12.75">
      <c r="A163" s="75">
        <v>6</v>
      </c>
      <c r="B163" s="76" t="s">
        <v>1693</v>
      </c>
      <c r="C163" s="76" t="s">
        <v>1694</v>
      </c>
      <c r="D163" s="75">
        <v>42</v>
      </c>
      <c r="E163" s="76" t="s">
        <v>1769</v>
      </c>
      <c r="F163" s="76" t="s">
        <v>1770</v>
      </c>
      <c r="G163" s="75">
        <v>205</v>
      </c>
      <c r="H163" s="76" t="s">
        <v>1779</v>
      </c>
      <c r="I163" s="76" t="s">
        <v>1780</v>
      </c>
      <c r="J163" s="74" t="str">
        <f t="shared" si="0"/>
        <v>205-Mustard/Wasabi</v>
      </c>
      <c r="K163" s="74" t="str">
        <f t="shared" si="1"/>
        <v>42-Cereal / Salad Cream</v>
      </c>
      <c r="L163" s="74" t="str">
        <f t="shared" si="2"/>
        <v>6-Dry Food / Dry Groceries</v>
      </c>
      <c r="M163" s="77">
        <f t="shared" si="3"/>
        <v>6</v>
      </c>
      <c r="N163" s="77">
        <f t="shared" si="4"/>
        <v>42</v>
      </c>
      <c r="O163" s="77">
        <f t="shared" si="5"/>
        <v>205</v>
      </c>
      <c r="P163" s="77" t="str">
        <f t="shared" si="6"/>
        <v>6|42|205</v>
      </c>
    </row>
    <row r="164" spans="1:16" ht="12.75">
      <c r="A164" s="75">
        <v>6</v>
      </c>
      <c r="B164" s="76" t="s">
        <v>1693</v>
      </c>
      <c r="C164" s="76" t="s">
        <v>1694</v>
      </c>
      <c r="D164" s="75">
        <v>42</v>
      </c>
      <c r="E164" s="76" t="s">
        <v>1769</v>
      </c>
      <c r="F164" s="76" t="s">
        <v>1770</v>
      </c>
      <c r="G164" s="75">
        <v>206</v>
      </c>
      <c r="H164" s="76" t="s">
        <v>1781</v>
      </c>
      <c r="I164" s="76" t="s">
        <v>1782</v>
      </c>
      <c r="J164" s="74" t="str">
        <f t="shared" si="0"/>
        <v>206-Mayonnaise/Sandwich Spread</v>
      </c>
      <c r="K164" s="74" t="str">
        <f t="shared" si="1"/>
        <v>42-Cereal / Salad Cream</v>
      </c>
      <c r="L164" s="74" t="str">
        <f t="shared" si="2"/>
        <v>6-Dry Food / Dry Groceries</v>
      </c>
      <c r="M164" s="77">
        <f t="shared" si="3"/>
        <v>6</v>
      </c>
      <c r="N164" s="77">
        <f t="shared" si="4"/>
        <v>42</v>
      </c>
      <c r="O164" s="77">
        <f t="shared" si="5"/>
        <v>206</v>
      </c>
      <c r="P164" s="77" t="str">
        <f t="shared" si="6"/>
        <v>6|42|206</v>
      </c>
    </row>
    <row r="165" spans="1:16" ht="12.75">
      <c r="A165" s="75">
        <v>6</v>
      </c>
      <c r="B165" s="76" t="s">
        <v>1693</v>
      </c>
      <c r="C165" s="76" t="s">
        <v>1694</v>
      </c>
      <c r="D165" s="75">
        <v>43</v>
      </c>
      <c r="E165" s="76" t="s">
        <v>1783</v>
      </c>
      <c r="F165" s="76" t="s">
        <v>1784</v>
      </c>
      <c r="G165" s="75">
        <v>207</v>
      </c>
      <c r="H165" s="76" t="s">
        <v>1785</v>
      </c>
      <c r="I165" s="76" t="s">
        <v>1786</v>
      </c>
      <c r="J165" s="74" t="str">
        <f t="shared" si="0"/>
        <v>207-Flour</v>
      </c>
      <c r="K165" s="74" t="str">
        <f t="shared" si="1"/>
        <v>43-Home Baking &amp; Sugar</v>
      </c>
      <c r="L165" s="74" t="str">
        <f t="shared" si="2"/>
        <v>6-Dry Food / Dry Groceries</v>
      </c>
      <c r="M165" s="77">
        <f t="shared" si="3"/>
        <v>6</v>
      </c>
      <c r="N165" s="77">
        <f t="shared" si="4"/>
        <v>43</v>
      </c>
      <c r="O165" s="77">
        <f t="shared" si="5"/>
        <v>207</v>
      </c>
      <c r="P165" s="77" t="str">
        <f t="shared" si="6"/>
        <v>6|43|207</v>
      </c>
    </row>
    <row r="166" spans="1:16" ht="12.75">
      <c r="A166" s="75">
        <v>6</v>
      </c>
      <c r="B166" s="76" t="s">
        <v>1693</v>
      </c>
      <c r="C166" s="76" t="s">
        <v>1694</v>
      </c>
      <c r="D166" s="75">
        <v>43</v>
      </c>
      <c r="E166" s="76" t="s">
        <v>1783</v>
      </c>
      <c r="F166" s="76" t="s">
        <v>1784</v>
      </c>
      <c r="G166" s="75">
        <v>208</v>
      </c>
      <c r="H166" s="76" t="s">
        <v>1787</v>
      </c>
      <c r="I166" s="76" t="s">
        <v>1788</v>
      </c>
      <c r="J166" s="74" t="str">
        <f t="shared" si="0"/>
        <v>208-Baking Aids</v>
      </c>
      <c r="K166" s="74" t="str">
        <f t="shared" si="1"/>
        <v>43-Home Baking &amp; Sugar</v>
      </c>
      <c r="L166" s="74" t="str">
        <f t="shared" si="2"/>
        <v>6-Dry Food / Dry Groceries</v>
      </c>
      <c r="M166" s="77">
        <f t="shared" si="3"/>
        <v>6</v>
      </c>
      <c r="N166" s="77">
        <f t="shared" si="4"/>
        <v>43</v>
      </c>
      <c r="O166" s="77">
        <f t="shared" si="5"/>
        <v>208</v>
      </c>
      <c r="P166" s="77" t="str">
        <f t="shared" si="6"/>
        <v>6|43|208</v>
      </c>
    </row>
    <row r="167" spans="1:16" ht="12.75">
      <c r="A167" s="75">
        <v>6</v>
      </c>
      <c r="B167" s="76" t="s">
        <v>1693</v>
      </c>
      <c r="C167" s="76" t="s">
        <v>1694</v>
      </c>
      <c r="D167" s="75">
        <v>43</v>
      </c>
      <c r="E167" s="76" t="s">
        <v>1783</v>
      </c>
      <c r="F167" s="76" t="s">
        <v>1784</v>
      </c>
      <c r="G167" s="75">
        <v>209</v>
      </c>
      <c r="H167" s="76" t="s">
        <v>1789</v>
      </c>
      <c r="I167" s="76" t="s">
        <v>1790</v>
      </c>
      <c r="J167" s="74" t="str">
        <f t="shared" si="0"/>
        <v>209-Jelly/Gelatin</v>
      </c>
      <c r="K167" s="74" t="str">
        <f t="shared" si="1"/>
        <v>43-Home Baking &amp; Sugar</v>
      </c>
      <c r="L167" s="74" t="str">
        <f t="shared" si="2"/>
        <v>6-Dry Food / Dry Groceries</v>
      </c>
      <c r="M167" s="77">
        <f t="shared" si="3"/>
        <v>6</v>
      </c>
      <c r="N167" s="77">
        <f t="shared" si="4"/>
        <v>43</v>
      </c>
      <c r="O167" s="77">
        <f t="shared" si="5"/>
        <v>209</v>
      </c>
      <c r="P167" s="77" t="str">
        <f t="shared" si="6"/>
        <v>6|43|209</v>
      </c>
    </row>
    <row r="168" spans="1:16" ht="12.75">
      <c r="A168" s="75">
        <v>6</v>
      </c>
      <c r="B168" s="76" t="s">
        <v>1693</v>
      </c>
      <c r="C168" s="76" t="s">
        <v>1694</v>
      </c>
      <c r="D168" s="75">
        <v>43</v>
      </c>
      <c r="E168" s="76" t="s">
        <v>1783</v>
      </c>
      <c r="F168" s="76" t="s">
        <v>1784</v>
      </c>
      <c r="G168" s="75">
        <v>210</v>
      </c>
      <c r="H168" s="76" t="s">
        <v>1791</v>
      </c>
      <c r="I168" s="76" t="s">
        <v>1792</v>
      </c>
      <c r="J168" s="74" t="str">
        <f t="shared" si="0"/>
        <v>210-Baking Sugar</v>
      </c>
      <c r="K168" s="74" t="str">
        <f t="shared" si="1"/>
        <v>43-Home Baking &amp; Sugar</v>
      </c>
      <c r="L168" s="74" t="str">
        <f t="shared" si="2"/>
        <v>6-Dry Food / Dry Groceries</v>
      </c>
      <c r="M168" s="77">
        <f t="shared" si="3"/>
        <v>6</v>
      </c>
      <c r="N168" s="77">
        <f t="shared" si="4"/>
        <v>43</v>
      </c>
      <c r="O168" s="77">
        <f t="shared" si="5"/>
        <v>210</v>
      </c>
      <c r="P168" s="77" t="str">
        <f t="shared" si="6"/>
        <v>6|43|210</v>
      </c>
    </row>
    <row r="169" spans="1:16" ht="12.75">
      <c r="A169" s="79"/>
      <c r="B169" s="77"/>
      <c r="C169" s="77"/>
      <c r="D169" s="79"/>
      <c r="E169" s="77"/>
      <c r="F169" s="77"/>
      <c r="G169" s="79"/>
      <c r="H169" s="77"/>
      <c r="I169" s="77"/>
      <c r="J169" s="77"/>
      <c r="K169" s="77"/>
      <c r="L169" s="77"/>
      <c r="M169" s="77"/>
      <c r="N169" s="77"/>
      <c r="O169" s="77"/>
      <c r="P169" s="77"/>
    </row>
    <row r="170" spans="1:16" ht="12.75">
      <c r="A170" s="79"/>
      <c r="B170" s="77"/>
      <c r="C170" s="77"/>
      <c r="D170" s="79"/>
      <c r="E170" s="77"/>
      <c r="F170" s="77"/>
      <c r="G170" s="79"/>
      <c r="H170" s="77"/>
      <c r="I170" s="77"/>
      <c r="J170" s="77"/>
      <c r="K170" s="77"/>
      <c r="L170" s="77"/>
      <c r="M170" s="77"/>
      <c r="N170" s="77"/>
      <c r="O170" s="77"/>
      <c r="P170" s="7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9DAF8"/>
  </sheetPr>
  <dimension ref="A1:D102"/>
  <sheetViews>
    <sheetView workbookViewId="0">
      <pane ySplit="1" topLeftCell="A53" activePane="bottomLeft" state="frozen"/>
      <selection pane="bottomLeft" activeCell="C55" sqref="C55"/>
    </sheetView>
  </sheetViews>
  <sheetFormatPr defaultColWidth="14.42578125" defaultRowHeight="15.75" customHeight="1"/>
  <cols>
    <col min="1" max="1" width="10" style="40" customWidth="1"/>
    <col min="2" max="2" width="13.85546875" style="40" customWidth="1"/>
    <col min="3" max="3" width="14" style="40" customWidth="1"/>
    <col min="4" max="4" width="9.42578125" style="71" customWidth="1"/>
    <col min="5" max="16384" width="14.42578125" style="40"/>
  </cols>
  <sheetData>
    <row r="1" spans="1:4" ht="15.75" customHeight="1">
      <c r="A1" s="53" t="s">
        <v>64</v>
      </c>
      <c r="B1" s="40" t="s">
        <v>88</v>
      </c>
      <c r="C1" s="40" t="s">
        <v>1793</v>
      </c>
      <c r="D1" s="69"/>
    </row>
    <row r="2" spans="1:4" ht="15.75" customHeight="1">
      <c r="A2" s="53">
        <v>0</v>
      </c>
      <c r="B2" s="40" t="s">
        <v>69</v>
      </c>
      <c r="C2" s="40" t="s">
        <v>69</v>
      </c>
      <c r="D2" s="69">
        <f t="shared" ref="D2:D102" si="0">$A2</f>
        <v>0</v>
      </c>
    </row>
    <row r="3" spans="1:4" ht="15.75" customHeight="1">
      <c r="A3" s="53">
        <v>1</v>
      </c>
      <c r="B3" s="40" t="s">
        <v>83</v>
      </c>
      <c r="C3" s="40" t="s">
        <v>1794</v>
      </c>
      <c r="D3" s="69">
        <f t="shared" si="0"/>
        <v>1</v>
      </c>
    </row>
    <row r="4" spans="1:4" ht="15.75" customHeight="1">
      <c r="A4" s="53">
        <v>2</v>
      </c>
      <c r="B4" s="40" t="s">
        <v>79</v>
      </c>
      <c r="C4" s="40" t="s">
        <v>1795</v>
      </c>
      <c r="D4" s="69">
        <f t="shared" si="0"/>
        <v>2</v>
      </c>
    </row>
    <row r="5" spans="1:4" ht="15.75" customHeight="1">
      <c r="A5" s="53">
        <v>3</v>
      </c>
      <c r="B5" s="40" t="s">
        <v>68</v>
      </c>
      <c r="C5" s="40" t="s">
        <v>1809</v>
      </c>
      <c r="D5" s="69">
        <f t="shared" si="0"/>
        <v>3</v>
      </c>
    </row>
    <row r="6" spans="1:4" ht="15.75" customHeight="1">
      <c r="A6" s="53">
        <v>4</v>
      </c>
      <c r="B6" s="40" t="s">
        <v>66</v>
      </c>
      <c r="C6" s="40" t="s">
        <v>1796</v>
      </c>
      <c r="D6" s="69">
        <f t="shared" si="0"/>
        <v>4</v>
      </c>
    </row>
    <row r="7" spans="1:4" ht="15.75" customHeight="1">
      <c r="A7" s="53">
        <v>5</v>
      </c>
      <c r="B7" s="40" t="s">
        <v>198</v>
      </c>
      <c r="C7" s="40" t="s">
        <v>1809</v>
      </c>
      <c r="D7" s="69">
        <f t="shared" si="0"/>
        <v>5</v>
      </c>
    </row>
    <row r="8" spans="1:4" ht="15.75" customHeight="1">
      <c r="A8" s="53">
        <v>6</v>
      </c>
      <c r="B8" s="67" t="s">
        <v>93</v>
      </c>
      <c r="C8" s="67" t="s">
        <v>5244</v>
      </c>
      <c r="D8" s="69">
        <f t="shared" si="0"/>
        <v>6</v>
      </c>
    </row>
    <row r="9" spans="1:4" ht="15.75" customHeight="1">
      <c r="A9" s="53">
        <v>7</v>
      </c>
      <c r="B9" s="40" t="s">
        <v>94</v>
      </c>
      <c r="C9" s="40" t="s">
        <v>1797</v>
      </c>
      <c r="D9" s="69">
        <f t="shared" si="0"/>
        <v>7</v>
      </c>
    </row>
    <row r="10" spans="1:4" ht="15.75" customHeight="1">
      <c r="A10" s="53">
        <v>8</v>
      </c>
      <c r="B10" s="40" t="s">
        <v>1798</v>
      </c>
      <c r="C10" s="40" t="s">
        <v>5245</v>
      </c>
      <c r="D10" s="69">
        <f t="shared" si="0"/>
        <v>8</v>
      </c>
    </row>
    <row r="11" spans="1:4" ht="15.75" customHeight="1">
      <c r="A11" s="53">
        <v>9</v>
      </c>
      <c r="B11" s="40" t="s">
        <v>90</v>
      </c>
      <c r="C11" s="40" t="s">
        <v>2094</v>
      </c>
      <c r="D11" s="69">
        <f t="shared" si="0"/>
        <v>9</v>
      </c>
    </row>
    <row r="12" spans="1:4" ht="15.75" customHeight="1">
      <c r="A12" s="53">
        <v>10</v>
      </c>
      <c r="B12" s="40" t="s">
        <v>100</v>
      </c>
      <c r="C12" s="40" t="s">
        <v>1809</v>
      </c>
      <c r="D12" s="69">
        <f t="shared" si="0"/>
        <v>10</v>
      </c>
    </row>
    <row r="13" spans="1:4" ht="15.75" customHeight="1">
      <c r="A13" s="53">
        <v>11</v>
      </c>
      <c r="B13" s="40" t="s">
        <v>149</v>
      </c>
      <c r="C13" s="40" t="s">
        <v>5246</v>
      </c>
      <c r="D13" s="69">
        <f t="shared" si="0"/>
        <v>11</v>
      </c>
    </row>
    <row r="14" spans="1:4" ht="15.75" customHeight="1">
      <c r="A14" s="53">
        <v>12</v>
      </c>
      <c r="B14" s="40" t="s">
        <v>215</v>
      </c>
      <c r="C14" s="40" t="s">
        <v>1799</v>
      </c>
      <c r="D14" s="69">
        <f t="shared" si="0"/>
        <v>12</v>
      </c>
    </row>
    <row r="15" spans="1:4" ht="15.75" customHeight="1">
      <c r="A15" s="53">
        <v>13</v>
      </c>
      <c r="B15" s="40" t="s">
        <v>177</v>
      </c>
      <c r="C15" s="40" t="s">
        <v>178</v>
      </c>
      <c r="D15" s="69">
        <f t="shared" si="0"/>
        <v>13</v>
      </c>
    </row>
    <row r="16" spans="1:4" ht="15.75" customHeight="1">
      <c r="A16" s="53">
        <v>14</v>
      </c>
      <c r="B16" s="40" t="s">
        <v>1800</v>
      </c>
      <c r="C16" s="40" t="s">
        <v>178</v>
      </c>
      <c r="D16" s="69">
        <f t="shared" si="0"/>
        <v>14</v>
      </c>
    </row>
    <row r="17" spans="1:4" ht="15.75" customHeight="1">
      <c r="A17" s="53">
        <v>15</v>
      </c>
      <c r="B17" s="40" t="s">
        <v>66</v>
      </c>
      <c r="C17" s="40" t="s">
        <v>1796</v>
      </c>
      <c r="D17" s="69">
        <f t="shared" si="0"/>
        <v>15</v>
      </c>
    </row>
    <row r="18" spans="1:4" ht="15.75" customHeight="1">
      <c r="A18" s="53">
        <v>16</v>
      </c>
      <c r="B18" s="40" t="s">
        <v>135</v>
      </c>
      <c r="C18" s="40" t="s">
        <v>1794</v>
      </c>
      <c r="D18" s="69">
        <f t="shared" si="0"/>
        <v>16</v>
      </c>
    </row>
    <row r="19" spans="1:4" ht="15.75" customHeight="1">
      <c r="A19" s="53">
        <v>17</v>
      </c>
      <c r="B19" s="40" t="s">
        <v>172</v>
      </c>
      <c r="C19" s="40" t="s">
        <v>2270</v>
      </c>
      <c r="D19" s="69">
        <f t="shared" si="0"/>
        <v>17</v>
      </c>
    </row>
    <row r="20" spans="1:4" ht="15.75" customHeight="1">
      <c r="A20" s="53">
        <v>18</v>
      </c>
      <c r="B20" s="40" t="s">
        <v>1801</v>
      </c>
      <c r="C20" s="40" t="s">
        <v>1809</v>
      </c>
      <c r="D20" s="69">
        <f t="shared" si="0"/>
        <v>18</v>
      </c>
    </row>
    <row r="21" spans="1:4" ht="15.75" customHeight="1">
      <c r="A21" s="53">
        <v>19</v>
      </c>
      <c r="B21" s="40" t="s">
        <v>1802</v>
      </c>
      <c r="C21" s="40" t="s">
        <v>1809</v>
      </c>
      <c r="D21" s="69">
        <f t="shared" si="0"/>
        <v>19</v>
      </c>
    </row>
    <row r="22" spans="1:4" ht="15.75" customHeight="1">
      <c r="A22" s="53">
        <v>20</v>
      </c>
      <c r="B22" s="40" t="s">
        <v>183</v>
      </c>
      <c r="C22" s="40" t="s">
        <v>101</v>
      </c>
      <c r="D22" s="69">
        <f t="shared" si="0"/>
        <v>20</v>
      </c>
    </row>
    <row r="23" spans="1:4" ht="15.75" customHeight="1">
      <c r="A23" s="53">
        <v>21</v>
      </c>
      <c r="B23" s="40" t="s">
        <v>1803</v>
      </c>
      <c r="C23" s="40" t="s">
        <v>5247</v>
      </c>
      <c r="D23" s="69">
        <f t="shared" si="0"/>
        <v>21</v>
      </c>
    </row>
    <row r="24" spans="1:4" ht="15.75" customHeight="1">
      <c r="A24" s="53">
        <v>22</v>
      </c>
      <c r="B24" s="40" t="s">
        <v>179</v>
      </c>
      <c r="C24" s="40" t="s">
        <v>123</v>
      </c>
      <c r="D24" s="69">
        <f t="shared" si="0"/>
        <v>22</v>
      </c>
    </row>
    <row r="25" spans="1:4" ht="15.75" customHeight="1">
      <c r="A25" s="53">
        <v>23</v>
      </c>
      <c r="B25" s="40" t="s">
        <v>210</v>
      </c>
      <c r="C25" s="40" t="s">
        <v>5248</v>
      </c>
      <c r="D25" s="69">
        <f t="shared" si="0"/>
        <v>23</v>
      </c>
    </row>
    <row r="26" spans="1:4" ht="15.75" customHeight="1">
      <c r="A26" s="53">
        <v>24</v>
      </c>
      <c r="B26" s="40" t="s">
        <v>1804</v>
      </c>
      <c r="C26" s="40" t="s">
        <v>1809</v>
      </c>
      <c r="D26" s="69">
        <f t="shared" si="0"/>
        <v>24</v>
      </c>
    </row>
    <row r="27" spans="1:4" ht="15.75" customHeight="1">
      <c r="A27" s="53">
        <v>25</v>
      </c>
      <c r="B27" s="40" t="s">
        <v>95</v>
      </c>
      <c r="C27" s="40" t="s">
        <v>2059</v>
      </c>
      <c r="D27" s="69">
        <f t="shared" si="0"/>
        <v>25</v>
      </c>
    </row>
    <row r="28" spans="1:4" ht="15.75" customHeight="1">
      <c r="A28" s="53">
        <v>26</v>
      </c>
      <c r="B28" s="40" t="s">
        <v>1805</v>
      </c>
      <c r="C28" s="40" t="s">
        <v>1809</v>
      </c>
      <c r="D28" s="69">
        <f t="shared" si="0"/>
        <v>26</v>
      </c>
    </row>
    <row r="29" spans="1:4" ht="15.75" customHeight="1">
      <c r="A29" s="53">
        <v>27</v>
      </c>
      <c r="B29" s="40" t="s">
        <v>1806</v>
      </c>
      <c r="C29" s="40" t="s">
        <v>1809</v>
      </c>
      <c r="D29" s="69">
        <f t="shared" si="0"/>
        <v>27</v>
      </c>
    </row>
    <row r="30" spans="1:4" ht="15.75" customHeight="1">
      <c r="A30" s="53">
        <v>28</v>
      </c>
      <c r="B30" s="40" t="s">
        <v>154</v>
      </c>
      <c r="C30" s="40" t="s">
        <v>123</v>
      </c>
      <c r="D30" s="69">
        <f t="shared" si="0"/>
        <v>28</v>
      </c>
    </row>
    <row r="31" spans="1:4" ht="15.75" customHeight="1">
      <c r="A31" s="53">
        <v>29</v>
      </c>
      <c r="B31" s="40" t="s">
        <v>1807</v>
      </c>
      <c r="C31" s="40" t="s">
        <v>1809</v>
      </c>
      <c r="D31" s="69">
        <f t="shared" si="0"/>
        <v>29</v>
      </c>
    </row>
    <row r="32" spans="1:4" ht="15.75" customHeight="1">
      <c r="A32" s="53">
        <v>30</v>
      </c>
      <c r="B32" s="40" t="s">
        <v>1808</v>
      </c>
      <c r="C32" s="40" t="s">
        <v>5244</v>
      </c>
      <c r="D32" s="69">
        <f t="shared" si="0"/>
        <v>30</v>
      </c>
    </row>
    <row r="33" spans="1:4" ht="15.75" customHeight="1">
      <c r="A33" s="53">
        <v>31</v>
      </c>
      <c r="B33" s="67" t="s">
        <v>214</v>
      </c>
      <c r="C33" s="67" t="s">
        <v>3560</v>
      </c>
      <c r="D33" s="69">
        <f t="shared" si="0"/>
        <v>31</v>
      </c>
    </row>
    <row r="34" spans="1:4" ht="15.75" customHeight="1">
      <c r="A34" s="53">
        <v>32</v>
      </c>
      <c r="B34" s="40" t="s">
        <v>1810</v>
      </c>
      <c r="C34" s="40" t="s">
        <v>1811</v>
      </c>
      <c r="D34" s="69">
        <f t="shared" si="0"/>
        <v>32</v>
      </c>
    </row>
    <row r="35" spans="1:4" ht="15.75" customHeight="1">
      <c r="A35" s="53">
        <v>33</v>
      </c>
      <c r="B35" s="40" t="s">
        <v>192</v>
      </c>
      <c r="C35" s="40" t="s">
        <v>1809</v>
      </c>
      <c r="D35" s="69">
        <f t="shared" si="0"/>
        <v>33</v>
      </c>
    </row>
    <row r="36" spans="1:4" ht="15.75" customHeight="1">
      <c r="A36" s="53">
        <v>34</v>
      </c>
      <c r="B36" s="40" t="s">
        <v>120</v>
      </c>
      <c r="C36" s="40" t="s">
        <v>5249</v>
      </c>
      <c r="D36" s="69">
        <f t="shared" si="0"/>
        <v>34</v>
      </c>
    </row>
    <row r="37" spans="1:4" ht="15.75" customHeight="1">
      <c r="A37" s="53">
        <v>35</v>
      </c>
      <c r="B37" s="40" t="s">
        <v>182</v>
      </c>
      <c r="C37" s="40" t="s">
        <v>1809</v>
      </c>
      <c r="D37" s="69">
        <f t="shared" si="0"/>
        <v>35</v>
      </c>
    </row>
    <row r="38" spans="1:4" ht="15.75" customHeight="1">
      <c r="A38" s="53">
        <v>36</v>
      </c>
      <c r="B38" s="40" t="s">
        <v>104</v>
      </c>
      <c r="C38" s="40" t="s">
        <v>117</v>
      </c>
      <c r="D38" s="69">
        <f t="shared" si="0"/>
        <v>36</v>
      </c>
    </row>
    <row r="39" spans="1:4" ht="15.75" customHeight="1">
      <c r="A39" s="53">
        <v>37</v>
      </c>
      <c r="B39" s="40" t="s">
        <v>1812</v>
      </c>
      <c r="C39" s="40" t="s">
        <v>1809</v>
      </c>
      <c r="D39" s="69">
        <f t="shared" si="0"/>
        <v>37</v>
      </c>
    </row>
    <row r="40" spans="1:4" ht="12.75">
      <c r="A40" s="53">
        <v>38</v>
      </c>
      <c r="B40" s="40" t="s">
        <v>1804</v>
      </c>
      <c r="C40" s="40" t="s">
        <v>3904</v>
      </c>
      <c r="D40" s="69">
        <f t="shared" si="0"/>
        <v>38</v>
      </c>
    </row>
    <row r="41" spans="1:4" ht="12.75">
      <c r="A41" s="53">
        <v>39</v>
      </c>
      <c r="B41" s="68" t="s">
        <v>2152</v>
      </c>
      <c r="C41" s="40" t="s">
        <v>5250</v>
      </c>
      <c r="D41" s="69">
        <f t="shared" si="0"/>
        <v>39</v>
      </c>
    </row>
    <row r="42" spans="1:4" ht="12.75">
      <c r="A42" s="53">
        <v>40</v>
      </c>
      <c r="B42" s="68" t="s">
        <v>2281</v>
      </c>
      <c r="C42" s="40" t="s">
        <v>5251</v>
      </c>
      <c r="D42" s="69">
        <f t="shared" si="0"/>
        <v>40</v>
      </c>
    </row>
    <row r="43" spans="1:4" ht="12.75">
      <c r="A43" s="53">
        <v>41</v>
      </c>
      <c r="B43" s="40" t="s">
        <v>5252</v>
      </c>
      <c r="C43" s="40" t="s">
        <v>5253</v>
      </c>
      <c r="D43" s="69">
        <f t="shared" si="0"/>
        <v>41</v>
      </c>
    </row>
    <row r="44" spans="1:4" ht="12.75">
      <c r="A44" s="53">
        <v>42</v>
      </c>
      <c r="B44" s="68" t="s">
        <v>2267</v>
      </c>
      <c r="C44" s="40" t="s">
        <v>5254</v>
      </c>
      <c r="D44" s="69">
        <f t="shared" si="0"/>
        <v>42</v>
      </c>
    </row>
    <row r="45" spans="1:4" ht="12.75">
      <c r="A45" s="53">
        <v>43</v>
      </c>
      <c r="B45" s="40" t="s">
        <v>2325</v>
      </c>
      <c r="C45" s="40" t="s">
        <v>117</v>
      </c>
      <c r="D45" s="69">
        <f t="shared" si="0"/>
        <v>43</v>
      </c>
    </row>
    <row r="46" spans="1:4" ht="12.75">
      <c r="A46" s="53">
        <v>44</v>
      </c>
      <c r="B46" s="68" t="s">
        <v>2153</v>
      </c>
      <c r="C46" s="40" t="s">
        <v>5244</v>
      </c>
      <c r="D46" s="69">
        <f t="shared" si="0"/>
        <v>44</v>
      </c>
    </row>
    <row r="47" spans="1:4" ht="12.75">
      <c r="A47" s="53">
        <v>45</v>
      </c>
      <c r="B47" s="68" t="s">
        <v>2195</v>
      </c>
      <c r="C47" s="40" t="s">
        <v>2254</v>
      </c>
      <c r="D47" s="69">
        <f t="shared" si="0"/>
        <v>45</v>
      </c>
    </row>
    <row r="48" spans="1:4" ht="12.75">
      <c r="A48" s="53">
        <v>46</v>
      </c>
      <c r="B48" s="68" t="s">
        <v>2154</v>
      </c>
      <c r="C48" s="40" t="s">
        <v>2340</v>
      </c>
      <c r="D48" s="69">
        <f t="shared" si="0"/>
        <v>46</v>
      </c>
    </row>
    <row r="49" spans="1:4" ht="12.75">
      <c r="A49" s="53">
        <v>47</v>
      </c>
      <c r="B49" s="68" t="s">
        <v>5255</v>
      </c>
      <c r="C49" s="40" t="s">
        <v>1809</v>
      </c>
      <c r="D49" s="69">
        <f t="shared" si="0"/>
        <v>47</v>
      </c>
    </row>
    <row r="50" spans="1:4" ht="12.75">
      <c r="A50" s="53">
        <v>48</v>
      </c>
      <c r="B50" s="70" t="s">
        <v>5256</v>
      </c>
      <c r="C50" s="40" t="s">
        <v>5257</v>
      </c>
      <c r="D50" s="69">
        <f t="shared" si="0"/>
        <v>48</v>
      </c>
    </row>
    <row r="51" spans="1:4" ht="12.75">
      <c r="A51" s="53">
        <v>49</v>
      </c>
      <c r="B51" s="67" t="s">
        <v>5258</v>
      </c>
      <c r="C51" s="40" t="s">
        <v>5259</v>
      </c>
      <c r="D51" s="69">
        <f t="shared" si="0"/>
        <v>49</v>
      </c>
    </row>
    <row r="52" spans="1:4" ht="12.75">
      <c r="A52" s="53">
        <v>50</v>
      </c>
      <c r="B52" s="40" t="s">
        <v>3637</v>
      </c>
      <c r="C52" s="40" t="s">
        <v>5267</v>
      </c>
      <c r="D52" s="69">
        <f t="shared" si="0"/>
        <v>50</v>
      </c>
    </row>
    <row r="53" spans="1:4" ht="12.75">
      <c r="A53" s="53">
        <v>51</v>
      </c>
      <c r="B53" s="42" t="s">
        <v>3634</v>
      </c>
      <c r="C53" s="40" t="s">
        <v>117</v>
      </c>
      <c r="D53" s="69">
        <f t="shared" si="0"/>
        <v>51</v>
      </c>
    </row>
    <row r="54" spans="1:4" ht="12.75">
      <c r="A54" s="53">
        <v>52</v>
      </c>
      <c r="B54" s="61" t="s">
        <v>2173</v>
      </c>
      <c r="C54" s="61" t="s">
        <v>5268</v>
      </c>
      <c r="D54" s="69">
        <f t="shared" si="0"/>
        <v>52</v>
      </c>
    </row>
    <row r="55" spans="1:4" ht="12.75">
      <c r="A55" s="53">
        <v>53</v>
      </c>
      <c r="B55" s="61"/>
      <c r="C55" s="61"/>
      <c r="D55" s="69">
        <f t="shared" si="0"/>
        <v>53</v>
      </c>
    </row>
    <row r="56" spans="1:4" ht="12.75">
      <c r="A56" s="53">
        <v>54</v>
      </c>
      <c r="B56" s="61"/>
      <c r="C56" s="61"/>
      <c r="D56" s="69">
        <f t="shared" si="0"/>
        <v>54</v>
      </c>
    </row>
    <row r="57" spans="1:4" ht="12.75">
      <c r="A57" s="53">
        <v>55</v>
      </c>
      <c r="B57" s="61"/>
      <c r="C57" s="61"/>
      <c r="D57" s="69">
        <f t="shared" si="0"/>
        <v>55</v>
      </c>
    </row>
    <row r="58" spans="1:4" ht="12.75">
      <c r="A58" s="53">
        <v>56</v>
      </c>
      <c r="B58" s="61"/>
      <c r="C58" s="61"/>
      <c r="D58" s="69">
        <f t="shared" si="0"/>
        <v>56</v>
      </c>
    </row>
    <row r="59" spans="1:4" ht="12.75">
      <c r="A59" s="53">
        <v>57</v>
      </c>
      <c r="B59" s="61"/>
      <c r="C59" s="61"/>
      <c r="D59" s="69">
        <f t="shared" si="0"/>
        <v>57</v>
      </c>
    </row>
    <row r="60" spans="1:4" ht="12.75">
      <c r="A60" s="53">
        <v>58</v>
      </c>
      <c r="B60" s="61"/>
      <c r="C60" s="61"/>
      <c r="D60" s="69">
        <f t="shared" si="0"/>
        <v>58</v>
      </c>
    </row>
    <row r="61" spans="1:4" ht="12.75">
      <c r="A61" s="53">
        <v>59</v>
      </c>
      <c r="B61" s="61"/>
      <c r="C61" s="61"/>
      <c r="D61" s="69">
        <f t="shared" si="0"/>
        <v>59</v>
      </c>
    </row>
    <row r="62" spans="1:4" ht="12.75">
      <c r="A62" s="53">
        <v>60</v>
      </c>
      <c r="B62" s="61"/>
      <c r="C62" s="61"/>
      <c r="D62" s="69">
        <f t="shared" si="0"/>
        <v>60</v>
      </c>
    </row>
    <row r="63" spans="1:4" ht="12.75">
      <c r="A63" s="53">
        <v>61</v>
      </c>
      <c r="B63" s="61"/>
      <c r="C63" s="61"/>
      <c r="D63" s="69">
        <f t="shared" si="0"/>
        <v>61</v>
      </c>
    </row>
    <row r="64" spans="1:4" ht="12.75">
      <c r="A64" s="53">
        <v>62</v>
      </c>
      <c r="B64" s="61"/>
      <c r="C64" s="61"/>
      <c r="D64" s="69">
        <f t="shared" si="0"/>
        <v>62</v>
      </c>
    </row>
    <row r="65" spans="1:4" ht="12.75">
      <c r="A65" s="53">
        <v>63</v>
      </c>
      <c r="B65" s="61"/>
      <c r="C65" s="61"/>
      <c r="D65" s="69">
        <f t="shared" si="0"/>
        <v>63</v>
      </c>
    </row>
    <row r="66" spans="1:4" ht="12.75">
      <c r="A66" s="53">
        <v>64</v>
      </c>
      <c r="B66" s="61"/>
      <c r="C66" s="61"/>
      <c r="D66" s="69">
        <f t="shared" si="0"/>
        <v>64</v>
      </c>
    </row>
    <row r="67" spans="1:4" ht="12.75">
      <c r="A67" s="53">
        <v>65</v>
      </c>
      <c r="B67" s="61"/>
      <c r="C67" s="61"/>
      <c r="D67" s="69">
        <f t="shared" si="0"/>
        <v>65</v>
      </c>
    </row>
    <row r="68" spans="1:4" ht="12.75">
      <c r="A68" s="53">
        <v>66</v>
      </c>
      <c r="B68" s="61"/>
      <c r="C68" s="61"/>
      <c r="D68" s="69">
        <f t="shared" si="0"/>
        <v>66</v>
      </c>
    </row>
    <row r="69" spans="1:4" ht="12.75">
      <c r="A69" s="53">
        <v>67</v>
      </c>
      <c r="B69" s="61"/>
      <c r="C69" s="61"/>
      <c r="D69" s="69">
        <f t="shared" si="0"/>
        <v>67</v>
      </c>
    </row>
    <row r="70" spans="1:4" ht="12.75">
      <c r="A70" s="53">
        <v>68</v>
      </c>
      <c r="B70" s="61"/>
      <c r="C70" s="61"/>
      <c r="D70" s="69">
        <f t="shared" si="0"/>
        <v>68</v>
      </c>
    </row>
    <row r="71" spans="1:4" ht="12.75">
      <c r="A71" s="53">
        <v>69</v>
      </c>
      <c r="B71" s="61"/>
      <c r="C71" s="61"/>
      <c r="D71" s="69">
        <f t="shared" si="0"/>
        <v>69</v>
      </c>
    </row>
    <row r="72" spans="1:4" ht="12.75">
      <c r="A72" s="53">
        <v>70</v>
      </c>
      <c r="B72" s="61"/>
      <c r="C72" s="61"/>
      <c r="D72" s="69">
        <f t="shared" si="0"/>
        <v>70</v>
      </c>
    </row>
    <row r="73" spans="1:4" ht="12.75">
      <c r="A73" s="53">
        <v>71</v>
      </c>
      <c r="B73" s="61"/>
      <c r="C73" s="61"/>
      <c r="D73" s="69">
        <f t="shared" si="0"/>
        <v>71</v>
      </c>
    </row>
    <row r="74" spans="1:4" ht="12.75">
      <c r="A74" s="53">
        <v>72</v>
      </c>
      <c r="B74" s="61"/>
      <c r="C74" s="61"/>
      <c r="D74" s="69">
        <f t="shared" si="0"/>
        <v>72</v>
      </c>
    </row>
    <row r="75" spans="1:4" ht="12.75">
      <c r="A75" s="53">
        <v>73</v>
      </c>
      <c r="B75" s="61"/>
      <c r="C75" s="61"/>
      <c r="D75" s="69">
        <f t="shared" si="0"/>
        <v>73</v>
      </c>
    </row>
    <row r="76" spans="1:4" ht="12.75">
      <c r="A76" s="53">
        <v>74</v>
      </c>
      <c r="B76" s="61"/>
      <c r="C76" s="61"/>
      <c r="D76" s="69">
        <f t="shared" si="0"/>
        <v>74</v>
      </c>
    </row>
    <row r="77" spans="1:4" ht="12.75">
      <c r="A77" s="53">
        <v>75</v>
      </c>
      <c r="B77" s="61"/>
      <c r="C77" s="61"/>
      <c r="D77" s="69">
        <f t="shared" si="0"/>
        <v>75</v>
      </c>
    </row>
    <row r="78" spans="1:4" ht="12.75">
      <c r="A78" s="53">
        <v>76</v>
      </c>
      <c r="B78" s="61"/>
      <c r="C78" s="61"/>
      <c r="D78" s="69">
        <f t="shared" si="0"/>
        <v>76</v>
      </c>
    </row>
    <row r="79" spans="1:4" ht="12.75">
      <c r="A79" s="53">
        <v>77</v>
      </c>
      <c r="B79" s="61"/>
      <c r="C79" s="61"/>
      <c r="D79" s="69">
        <f t="shared" si="0"/>
        <v>77</v>
      </c>
    </row>
    <row r="80" spans="1:4" ht="12.75">
      <c r="A80" s="53">
        <v>78</v>
      </c>
      <c r="B80" s="61"/>
      <c r="C80" s="61"/>
      <c r="D80" s="69">
        <f t="shared" si="0"/>
        <v>78</v>
      </c>
    </row>
    <row r="81" spans="1:4" ht="12.75">
      <c r="A81" s="53">
        <v>79</v>
      </c>
      <c r="B81" s="61"/>
      <c r="C81" s="61"/>
      <c r="D81" s="69">
        <f t="shared" si="0"/>
        <v>79</v>
      </c>
    </row>
    <row r="82" spans="1:4" ht="12.75">
      <c r="A82" s="53">
        <v>80</v>
      </c>
      <c r="B82" s="61"/>
      <c r="C82" s="61"/>
      <c r="D82" s="69">
        <f t="shared" si="0"/>
        <v>80</v>
      </c>
    </row>
    <row r="83" spans="1:4" ht="12.75">
      <c r="A83" s="53">
        <v>81</v>
      </c>
      <c r="B83" s="61"/>
      <c r="C83" s="61"/>
      <c r="D83" s="69">
        <f t="shared" si="0"/>
        <v>81</v>
      </c>
    </row>
    <row r="84" spans="1:4" ht="12.75">
      <c r="A84" s="53">
        <v>82</v>
      </c>
      <c r="B84" s="61"/>
      <c r="C84" s="61"/>
      <c r="D84" s="69">
        <f t="shared" si="0"/>
        <v>82</v>
      </c>
    </row>
    <row r="85" spans="1:4" ht="12.75">
      <c r="A85" s="53">
        <v>83</v>
      </c>
      <c r="B85" s="61"/>
      <c r="C85" s="61"/>
      <c r="D85" s="69">
        <f t="shared" si="0"/>
        <v>83</v>
      </c>
    </row>
    <row r="86" spans="1:4" ht="12.75">
      <c r="A86" s="53">
        <v>84</v>
      </c>
      <c r="B86" s="61"/>
      <c r="C86" s="61"/>
      <c r="D86" s="69">
        <f t="shared" si="0"/>
        <v>84</v>
      </c>
    </row>
    <row r="87" spans="1:4" ht="12.75">
      <c r="A87" s="53">
        <v>85</v>
      </c>
      <c r="B87" s="61"/>
      <c r="C87" s="61"/>
      <c r="D87" s="69">
        <f t="shared" si="0"/>
        <v>85</v>
      </c>
    </row>
    <row r="88" spans="1:4" ht="12.75">
      <c r="A88" s="53">
        <v>86</v>
      </c>
      <c r="B88" s="61"/>
      <c r="C88" s="61"/>
      <c r="D88" s="69">
        <f t="shared" si="0"/>
        <v>86</v>
      </c>
    </row>
    <row r="89" spans="1:4" ht="12.75">
      <c r="A89" s="53">
        <v>87</v>
      </c>
      <c r="B89" s="61"/>
      <c r="C89" s="61"/>
      <c r="D89" s="69">
        <f t="shared" si="0"/>
        <v>87</v>
      </c>
    </row>
    <row r="90" spans="1:4" ht="12.75">
      <c r="A90" s="53">
        <v>88</v>
      </c>
      <c r="B90" s="61"/>
      <c r="C90" s="61"/>
      <c r="D90" s="69">
        <f t="shared" si="0"/>
        <v>88</v>
      </c>
    </row>
    <row r="91" spans="1:4" ht="12.75">
      <c r="A91" s="53">
        <v>89</v>
      </c>
      <c r="B91" s="61"/>
      <c r="C91" s="61"/>
      <c r="D91" s="69">
        <f t="shared" si="0"/>
        <v>89</v>
      </c>
    </row>
    <row r="92" spans="1:4" ht="12.75">
      <c r="A92" s="53">
        <v>90</v>
      </c>
      <c r="B92" s="61"/>
      <c r="C92" s="61"/>
      <c r="D92" s="69">
        <f t="shared" si="0"/>
        <v>90</v>
      </c>
    </row>
    <row r="93" spans="1:4" ht="12.75">
      <c r="A93" s="53">
        <v>91</v>
      </c>
      <c r="B93" s="61"/>
      <c r="C93" s="61"/>
      <c r="D93" s="69">
        <f t="shared" si="0"/>
        <v>91</v>
      </c>
    </row>
    <row r="94" spans="1:4" ht="12.75">
      <c r="A94" s="53">
        <v>92</v>
      </c>
      <c r="B94" s="61"/>
      <c r="C94" s="61"/>
      <c r="D94" s="69">
        <f t="shared" si="0"/>
        <v>92</v>
      </c>
    </row>
    <row r="95" spans="1:4" ht="12.75">
      <c r="A95" s="53">
        <v>93</v>
      </c>
      <c r="B95" s="61"/>
      <c r="C95" s="61"/>
      <c r="D95" s="69">
        <f t="shared" si="0"/>
        <v>93</v>
      </c>
    </row>
    <row r="96" spans="1:4" ht="12.75">
      <c r="A96" s="53">
        <v>94</v>
      </c>
      <c r="B96" s="61"/>
      <c r="C96" s="61"/>
      <c r="D96" s="69">
        <f t="shared" si="0"/>
        <v>94</v>
      </c>
    </row>
    <row r="97" spans="1:4" ht="12.75">
      <c r="A97" s="53">
        <v>95</v>
      </c>
      <c r="B97" s="61"/>
      <c r="C97" s="61"/>
      <c r="D97" s="69">
        <f t="shared" si="0"/>
        <v>95</v>
      </c>
    </row>
    <row r="98" spans="1:4" ht="12.75">
      <c r="A98" s="53">
        <v>96</v>
      </c>
      <c r="B98" s="61"/>
      <c r="C98" s="61"/>
      <c r="D98" s="69">
        <f t="shared" si="0"/>
        <v>96</v>
      </c>
    </row>
    <row r="99" spans="1:4" ht="12.75">
      <c r="A99" s="53">
        <v>97</v>
      </c>
      <c r="B99" s="61"/>
      <c r="C99" s="61"/>
      <c r="D99" s="69">
        <f t="shared" si="0"/>
        <v>97</v>
      </c>
    </row>
    <row r="100" spans="1:4" ht="12.75">
      <c r="A100" s="53">
        <v>98</v>
      </c>
      <c r="B100" s="61"/>
      <c r="C100" s="61"/>
      <c r="D100" s="69">
        <f t="shared" si="0"/>
        <v>98</v>
      </c>
    </row>
    <row r="101" spans="1:4" ht="12.75">
      <c r="A101" s="53">
        <v>99</v>
      </c>
      <c r="B101" s="61"/>
      <c r="C101" s="61"/>
      <c r="D101" s="69">
        <f t="shared" si="0"/>
        <v>99</v>
      </c>
    </row>
    <row r="102" spans="1:4" ht="12.75">
      <c r="A102" s="53">
        <v>100</v>
      </c>
      <c r="B102" s="61"/>
      <c r="C102" s="61"/>
      <c r="D102" s="69">
        <f t="shared" si="0"/>
        <v>100</v>
      </c>
    </row>
  </sheetData>
  <pageMargins left="0" right="0" top="0" bottom="0" header="0" footer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[1]Unit!#REF!</xm:f>
          </x14:formula1>
          <xm:sqref>B33</xm:sqref>
        </x14:dataValidation>
        <x14:dataValidation type="list" allowBlank="1">
          <x14:formula1>
            <xm:f>[2]Unit!#REF!</xm:f>
          </x14:formula1>
          <xm:sqref>B41 B49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9DAF8"/>
  </sheetPr>
  <dimension ref="A1:D52"/>
  <sheetViews>
    <sheetView workbookViewId="0">
      <pane ySplit="1" topLeftCell="A35" activePane="bottomLeft" state="frozen"/>
      <selection pane="bottomLeft" activeCell="D42" sqref="D42"/>
    </sheetView>
  </sheetViews>
  <sheetFormatPr defaultColWidth="14.42578125" defaultRowHeight="15.75" customHeight="1"/>
  <cols>
    <col min="1" max="1" width="3.42578125" customWidth="1"/>
    <col min="2" max="2" width="18.140625" customWidth="1"/>
    <col min="3" max="3" width="17.140625" customWidth="1"/>
    <col min="4" max="4" width="9.42578125" customWidth="1"/>
  </cols>
  <sheetData>
    <row r="1" spans="1:4" ht="15.75" customHeight="1">
      <c r="A1" s="30" t="s">
        <v>1813</v>
      </c>
      <c r="B1" s="22" t="s">
        <v>75</v>
      </c>
      <c r="C1" s="22" t="s">
        <v>1814</v>
      </c>
      <c r="D1" s="31"/>
    </row>
    <row r="2" spans="1:4" ht="15.75" customHeight="1">
      <c r="A2" s="30">
        <v>0</v>
      </c>
      <c r="B2" s="22" t="s">
        <v>69</v>
      </c>
      <c r="C2" s="22" t="s">
        <v>69</v>
      </c>
      <c r="D2" s="31">
        <f t="shared" ref="D2:D52" si="0">$A2</f>
        <v>0</v>
      </c>
    </row>
    <row r="3" spans="1:4" ht="15.75" customHeight="1">
      <c r="A3" s="30">
        <v>1</v>
      </c>
      <c r="B3" s="22" t="s">
        <v>74</v>
      </c>
      <c r="C3" s="22" t="s">
        <v>1815</v>
      </c>
      <c r="D3" s="31">
        <f t="shared" si="0"/>
        <v>1</v>
      </c>
    </row>
    <row r="4" spans="1:4" ht="15.75" customHeight="1">
      <c r="A4" s="30">
        <v>2</v>
      </c>
      <c r="B4" s="22" t="s">
        <v>186</v>
      </c>
      <c r="C4" s="22" t="s">
        <v>1816</v>
      </c>
      <c r="D4" s="31">
        <f t="shared" si="0"/>
        <v>2</v>
      </c>
    </row>
    <row r="5" spans="1:4" ht="15.75" customHeight="1">
      <c r="A5" s="30">
        <v>3</v>
      </c>
      <c r="B5" s="22" t="s">
        <v>194</v>
      </c>
      <c r="C5" s="22" t="s">
        <v>1817</v>
      </c>
      <c r="D5" s="31">
        <f t="shared" si="0"/>
        <v>3</v>
      </c>
    </row>
    <row r="6" spans="1:4" ht="15.75" customHeight="1">
      <c r="A6" s="30">
        <v>4</v>
      </c>
      <c r="B6" s="22" t="s">
        <v>196</v>
      </c>
      <c r="C6" s="22" t="s">
        <v>3263</v>
      </c>
      <c r="D6" s="31">
        <f t="shared" si="0"/>
        <v>4</v>
      </c>
    </row>
    <row r="7" spans="1:4" ht="15.75" customHeight="1">
      <c r="A7" s="30">
        <v>5</v>
      </c>
      <c r="B7" s="22" t="s">
        <v>187</v>
      </c>
      <c r="C7" s="22" t="s">
        <v>3264</v>
      </c>
      <c r="D7" s="31">
        <f t="shared" si="0"/>
        <v>5</v>
      </c>
    </row>
    <row r="8" spans="1:4" ht="15.75" customHeight="1">
      <c r="A8" s="30">
        <v>6</v>
      </c>
      <c r="B8" s="22" t="s">
        <v>136</v>
      </c>
      <c r="C8" s="22" t="s">
        <v>3265</v>
      </c>
      <c r="D8" s="31">
        <f t="shared" si="0"/>
        <v>6</v>
      </c>
    </row>
    <row r="9" spans="1:4" ht="15.75" customHeight="1">
      <c r="A9" s="30">
        <v>7</v>
      </c>
      <c r="B9" s="22" t="s">
        <v>1818</v>
      </c>
      <c r="C9" s="22" t="s">
        <v>3266</v>
      </c>
      <c r="D9" s="31">
        <f t="shared" si="0"/>
        <v>7</v>
      </c>
    </row>
    <row r="10" spans="1:4" ht="15.75" customHeight="1">
      <c r="A10" s="30">
        <v>8</v>
      </c>
      <c r="B10" s="22" t="s">
        <v>1819</v>
      </c>
      <c r="C10" s="22" t="s">
        <v>3267</v>
      </c>
      <c r="D10" s="31">
        <f t="shared" si="0"/>
        <v>8</v>
      </c>
    </row>
    <row r="11" spans="1:4" ht="15.75" customHeight="1">
      <c r="A11" s="30">
        <v>9</v>
      </c>
      <c r="B11" s="22" t="s">
        <v>1820</v>
      </c>
      <c r="C11" s="22" t="s">
        <v>3268</v>
      </c>
      <c r="D11" s="31">
        <f t="shared" si="0"/>
        <v>9</v>
      </c>
    </row>
    <row r="12" spans="1:4" ht="15.75" customHeight="1">
      <c r="A12" s="30">
        <v>10</v>
      </c>
      <c r="B12" s="22" t="s">
        <v>1821</v>
      </c>
      <c r="C12" s="22" t="s">
        <v>3269</v>
      </c>
      <c r="D12" s="31">
        <f t="shared" si="0"/>
        <v>10</v>
      </c>
    </row>
    <row r="13" spans="1:4" ht="15.75" customHeight="1">
      <c r="A13" s="30">
        <v>11</v>
      </c>
      <c r="B13" s="22" t="s">
        <v>1822</v>
      </c>
      <c r="C13" s="22" t="s">
        <v>3270</v>
      </c>
      <c r="D13" s="31">
        <f t="shared" si="0"/>
        <v>11</v>
      </c>
    </row>
    <row r="14" spans="1:4" ht="15.75" customHeight="1">
      <c r="A14" s="30">
        <v>12</v>
      </c>
      <c r="B14" s="22" t="s">
        <v>1823</v>
      </c>
      <c r="C14" s="22" t="s">
        <v>3271</v>
      </c>
      <c r="D14" s="31">
        <f t="shared" si="0"/>
        <v>12</v>
      </c>
    </row>
    <row r="15" spans="1:4" ht="15.75" customHeight="1">
      <c r="A15" s="30">
        <v>13</v>
      </c>
      <c r="B15" s="22" t="s">
        <v>1824</v>
      </c>
      <c r="C15" s="22" t="s">
        <v>3273</v>
      </c>
      <c r="D15" s="31">
        <f t="shared" si="0"/>
        <v>13</v>
      </c>
    </row>
    <row r="16" spans="1:4" ht="15.75" customHeight="1">
      <c r="A16" s="30">
        <v>14</v>
      </c>
      <c r="B16" s="22" t="s">
        <v>1825</v>
      </c>
      <c r="C16" s="22" t="s">
        <v>3274</v>
      </c>
      <c r="D16" s="31">
        <f t="shared" si="0"/>
        <v>14</v>
      </c>
    </row>
    <row r="17" spans="1:4" ht="15.75" customHeight="1">
      <c r="A17" s="30">
        <v>15</v>
      </c>
      <c r="B17" s="22" t="s">
        <v>1826</v>
      </c>
      <c r="C17" s="22" t="s">
        <v>3275</v>
      </c>
      <c r="D17" s="31">
        <f t="shared" si="0"/>
        <v>15</v>
      </c>
    </row>
    <row r="18" spans="1:4" ht="15.75" customHeight="1">
      <c r="A18" s="30">
        <v>16</v>
      </c>
      <c r="B18" s="22" t="s">
        <v>1827</v>
      </c>
      <c r="C18" s="22" t="s">
        <v>3276</v>
      </c>
      <c r="D18" s="31">
        <f t="shared" si="0"/>
        <v>16</v>
      </c>
    </row>
    <row r="19" spans="1:4" ht="15.75" customHeight="1">
      <c r="A19" s="30">
        <v>17</v>
      </c>
      <c r="B19" s="22" t="s">
        <v>1828</v>
      </c>
      <c r="C19" s="22" t="s">
        <v>3277</v>
      </c>
      <c r="D19" s="31">
        <f t="shared" si="0"/>
        <v>17</v>
      </c>
    </row>
    <row r="20" spans="1:4" ht="15.75" customHeight="1">
      <c r="A20" s="30">
        <v>18</v>
      </c>
      <c r="B20" s="22" t="s">
        <v>1829</v>
      </c>
      <c r="C20" s="22" t="s">
        <v>3278</v>
      </c>
      <c r="D20" s="31">
        <f t="shared" si="0"/>
        <v>18</v>
      </c>
    </row>
    <row r="21" spans="1:4" ht="15.75" customHeight="1">
      <c r="A21" s="30">
        <v>19</v>
      </c>
      <c r="B21" s="22" t="s">
        <v>1830</v>
      </c>
      <c r="C21" s="22" t="s">
        <v>3272</v>
      </c>
      <c r="D21" s="31">
        <f t="shared" si="0"/>
        <v>19</v>
      </c>
    </row>
    <row r="22" spans="1:4" ht="15.75" customHeight="1">
      <c r="A22" s="30">
        <v>20</v>
      </c>
      <c r="B22" s="22" t="s">
        <v>1831</v>
      </c>
      <c r="C22" s="29" t="s">
        <v>3289</v>
      </c>
      <c r="D22" s="31">
        <f t="shared" si="0"/>
        <v>20</v>
      </c>
    </row>
    <row r="23" spans="1:4" ht="15.75" customHeight="1">
      <c r="A23" s="30">
        <v>21</v>
      </c>
      <c r="B23" s="22" t="s">
        <v>1832</v>
      </c>
      <c r="C23" s="29" t="s">
        <v>3290</v>
      </c>
      <c r="D23" s="31">
        <f t="shared" si="0"/>
        <v>21</v>
      </c>
    </row>
    <row r="24" spans="1:4" ht="15.75" customHeight="1">
      <c r="A24" s="30">
        <v>22</v>
      </c>
      <c r="B24" s="22" t="s">
        <v>1833</v>
      </c>
      <c r="C24" s="29" t="s">
        <v>3291</v>
      </c>
      <c r="D24" s="31">
        <f t="shared" si="0"/>
        <v>22</v>
      </c>
    </row>
    <row r="25" spans="1:4" ht="15.75" customHeight="1">
      <c r="A25" s="30">
        <v>23</v>
      </c>
      <c r="B25" s="22" t="s">
        <v>1834</v>
      </c>
      <c r="C25" s="29" t="s">
        <v>3292</v>
      </c>
      <c r="D25" s="31">
        <f t="shared" si="0"/>
        <v>23</v>
      </c>
    </row>
    <row r="26" spans="1:4" ht="15.75" customHeight="1">
      <c r="A26" s="30">
        <v>24</v>
      </c>
      <c r="B26" s="22" t="s">
        <v>1835</v>
      </c>
      <c r="C26" s="29" t="s">
        <v>3293</v>
      </c>
      <c r="D26" s="31">
        <f t="shared" si="0"/>
        <v>24</v>
      </c>
    </row>
    <row r="27" spans="1:4" ht="15.75" customHeight="1">
      <c r="A27" s="30">
        <v>25</v>
      </c>
      <c r="B27" s="22" t="s">
        <v>1836</v>
      </c>
      <c r="C27" s="29" t="s">
        <v>3288</v>
      </c>
      <c r="D27" s="31">
        <f t="shared" si="0"/>
        <v>25</v>
      </c>
    </row>
    <row r="28" spans="1:4" ht="15.75" customHeight="1">
      <c r="A28" s="30">
        <v>26</v>
      </c>
      <c r="B28" s="22" t="s">
        <v>1837</v>
      </c>
      <c r="C28" s="29" t="s">
        <v>3279</v>
      </c>
      <c r="D28" s="31">
        <f t="shared" si="0"/>
        <v>26</v>
      </c>
    </row>
    <row r="29" spans="1:4" ht="15.75" customHeight="1">
      <c r="A29" s="30">
        <v>27</v>
      </c>
      <c r="B29" s="22" t="s">
        <v>1838</v>
      </c>
      <c r="C29" s="29" t="s">
        <v>3280</v>
      </c>
      <c r="D29" s="31">
        <f t="shared" si="0"/>
        <v>27</v>
      </c>
    </row>
    <row r="30" spans="1:4" ht="15.75" customHeight="1">
      <c r="A30" s="30">
        <v>28</v>
      </c>
      <c r="B30" s="22" t="s">
        <v>1839</v>
      </c>
      <c r="C30" s="29" t="s">
        <v>3281</v>
      </c>
      <c r="D30" s="31">
        <f t="shared" si="0"/>
        <v>28</v>
      </c>
    </row>
    <row r="31" spans="1:4" ht="15.75" customHeight="1">
      <c r="A31" s="30">
        <v>29</v>
      </c>
      <c r="B31" s="22" t="s">
        <v>212</v>
      </c>
      <c r="C31" s="22" t="s">
        <v>3282</v>
      </c>
      <c r="D31" s="31">
        <f t="shared" si="0"/>
        <v>29</v>
      </c>
    </row>
    <row r="32" spans="1:4" ht="15.75" customHeight="1">
      <c r="A32" s="30">
        <v>30</v>
      </c>
      <c r="B32" s="22" t="s">
        <v>1840</v>
      </c>
      <c r="C32" s="29" t="s">
        <v>3283</v>
      </c>
      <c r="D32" s="31">
        <f t="shared" si="0"/>
        <v>30</v>
      </c>
    </row>
    <row r="33" spans="1:4" ht="15.75" customHeight="1">
      <c r="A33" s="30">
        <v>31</v>
      </c>
      <c r="B33" s="22" t="s">
        <v>1841</v>
      </c>
      <c r="C33" s="29" t="s">
        <v>3284</v>
      </c>
      <c r="D33" s="31">
        <f t="shared" si="0"/>
        <v>31</v>
      </c>
    </row>
    <row r="34" spans="1:4" ht="15.75" customHeight="1">
      <c r="A34" s="30">
        <v>32</v>
      </c>
      <c r="B34" s="22" t="s">
        <v>1842</v>
      </c>
      <c r="C34" s="29" t="s">
        <v>3285</v>
      </c>
      <c r="D34" s="31">
        <f t="shared" si="0"/>
        <v>32</v>
      </c>
    </row>
    <row r="35" spans="1:4" ht="15.75" customHeight="1">
      <c r="A35" s="30">
        <v>33</v>
      </c>
      <c r="B35" s="22" t="s">
        <v>204</v>
      </c>
      <c r="C35" s="29" t="s">
        <v>3286</v>
      </c>
      <c r="D35" s="31">
        <f t="shared" si="0"/>
        <v>33</v>
      </c>
    </row>
    <row r="36" spans="1:4" ht="15.75" customHeight="1">
      <c r="A36" s="30">
        <v>34</v>
      </c>
      <c r="B36" s="22" t="s">
        <v>1843</v>
      </c>
      <c r="C36" s="29" t="s">
        <v>3287</v>
      </c>
      <c r="D36" s="31">
        <f t="shared" si="0"/>
        <v>34</v>
      </c>
    </row>
    <row r="37" spans="1:4" ht="15.75" customHeight="1">
      <c r="A37" s="30">
        <v>35</v>
      </c>
      <c r="B37" s="22" t="s">
        <v>1844</v>
      </c>
      <c r="C37" s="29" t="s">
        <v>3294</v>
      </c>
      <c r="D37" s="31">
        <f t="shared" si="0"/>
        <v>35</v>
      </c>
    </row>
    <row r="38" spans="1:4" ht="15.75" customHeight="1">
      <c r="A38" s="30">
        <v>36</v>
      </c>
      <c r="B38" s="22" t="s">
        <v>5260</v>
      </c>
      <c r="C38" s="22" t="s">
        <v>5261</v>
      </c>
      <c r="D38" s="31">
        <f t="shared" si="0"/>
        <v>36</v>
      </c>
    </row>
    <row r="39" spans="1:4" ht="15.75" customHeight="1">
      <c r="A39" s="30">
        <v>37</v>
      </c>
      <c r="B39" s="22" t="s">
        <v>5262</v>
      </c>
      <c r="C39" s="22" t="s">
        <v>5263</v>
      </c>
      <c r="D39" s="31">
        <f t="shared" si="0"/>
        <v>37</v>
      </c>
    </row>
    <row r="40" spans="1:4" ht="15.75" customHeight="1">
      <c r="A40" s="30">
        <v>38</v>
      </c>
      <c r="B40" s="42" t="s">
        <v>4252</v>
      </c>
      <c r="C40" s="22" t="s">
        <v>5264</v>
      </c>
      <c r="D40" s="31">
        <f t="shared" si="0"/>
        <v>38</v>
      </c>
    </row>
    <row r="41" spans="1:4" ht="15.75" customHeight="1">
      <c r="A41" s="30">
        <v>39</v>
      </c>
      <c r="B41" s="36"/>
      <c r="C41" s="36"/>
      <c r="D41" s="31">
        <f t="shared" si="0"/>
        <v>39</v>
      </c>
    </row>
    <row r="42" spans="1:4" ht="15.75" customHeight="1">
      <c r="A42" s="30">
        <v>40</v>
      </c>
      <c r="B42" s="36"/>
      <c r="C42" s="36"/>
      <c r="D42" s="31">
        <f t="shared" si="0"/>
        <v>40</v>
      </c>
    </row>
    <row r="43" spans="1:4" ht="15.75" customHeight="1">
      <c r="A43" s="30">
        <v>41</v>
      </c>
      <c r="B43" s="36"/>
      <c r="C43" s="36"/>
      <c r="D43" s="31">
        <f t="shared" si="0"/>
        <v>41</v>
      </c>
    </row>
    <row r="44" spans="1:4" ht="15.75" customHeight="1">
      <c r="A44" s="30">
        <v>42</v>
      </c>
      <c r="B44" s="36"/>
      <c r="C44" s="36"/>
      <c r="D44" s="31">
        <f t="shared" si="0"/>
        <v>42</v>
      </c>
    </row>
    <row r="45" spans="1:4" ht="15.75" customHeight="1">
      <c r="A45" s="30">
        <v>43</v>
      </c>
      <c r="B45" s="36"/>
      <c r="C45" s="36"/>
      <c r="D45" s="31">
        <f t="shared" si="0"/>
        <v>43</v>
      </c>
    </row>
    <row r="46" spans="1:4" ht="15.75" customHeight="1">
      <c r="A46" s="30">
        <v>44</v>
      </c>
      <c r="B46" s="36"/>
      <c r="C46" s="36"/>
      <c r="D46" s="31">
        <f t="shared" si="0"/>
        <v>44</v>
      </c>
    </row>
    <row r="47" spans="1:4" ht="15.75" customHeight="1">
      <c r="A47" s="30">
        <v>45</v>
      </c>
      <c r="B47" s="36"/>
      <c r="C47" s="36"/>
      <c r="D47" s="31">
        <f t="shared" si="0"/>
        <v>45</v>
      </c>
    </row>
    <row r="48" spans="1:4" ht="15.75" customHeight="1">
      <c r="A48" s="30">
        <v>46</v>
      </c>
      <c r="B48" s="36"/>
      <c r="C48" s="36"/>
      <c r="D48" s="31">
        <f t="shared" si="0"/>
        <v>46</v>
      </c>
    </row>
    <row r="49" spans="1:4" ht="15.75" customHeight="1">
      <c r="A49" s="30">
        <v>47</v>
      </c>
      <c r="B49" s="36"/>
      <c r="C49" s="36"/>
      <c r="D49" s="31">
        <f t="shared" si="0"/>
        <v>47</v>
      </c>
    </row>
    <row r="50" spans="1:4" ht="15.75" customHeight="1">
      <c r="A50" s="30">
        <v>48</v>
      </c>
      <c r="B50" s="36"/>
      <c r="C50" s="36"/>
      <c r="D50" s="31">
        <f t="shared" si="0"/>
        <v>48</v>
      </c>
    </row>
    <row r="51" spans="1:4" ht="15.75" customHeight="1">
      <c r="A51" s="30">
        <v>49</v>
      </c>
      <c r="B51" s="36"/>
      <c r="C51" s="36"/>
      <c r="D51" s="31">
        <f t="shared" si="0"/>
        <v>49</v>
      </c>
    </row>
    <row r="52" spans="1:4" ht="15.75" customHeight="1">
      <c r="A52" s="30">
        <v>50</v>
      </c>
      <c r="B52" s="36"/>
      <c r="C52" s="36"/>
      <c r="D52" s="31">
        <f t="shared" si="0"/>
        <v>50</v>
      </c>
    </row>
  </sheetData>
  <pageMargins left="0" right="0" top="0" bottom="0" header="0" footer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00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14.42578125" defaultRowHeight="15.75" customHeight="1"/>
  <cols>
    <col min="1" max="1" width="8.140625" customWidth="1"/>
    <col min="2" max="2" width="15" customWidth="1"/>
    <col min="3" max="3" width="14.42578125" customWidth="1"/>
    <col min="4" max="4" width="13" customWidth="1"/>
    <col min="5" max="7" width="21.42578125" customWidth="1"/>
    <col min="8" max="9" width="18.42578125" customWidth="1"/>
    <col min="10" max="10" width="4.140625" customWidth="1"/>
    <col min="11" max="11" width="12.42578125" customWidth="1"/>
    <col min="12" max="12" width="12" customWidth="1"/>
    <col min="14" max="14" width="3.85546875" customWidth="1"/>
    <col min="15" max="15" width="11.85546875" customWidth="1"/>
    <col min="16" max="16" width="11.42578125" customWidth="1"/>
    <col min="17" max="17" width="12" customWidth="1"/>
    <col min="18" max="18" width="11.42578125" customWidth="1"/>
    <col min="19" max="19" width="7" customWidth="1"/>
    <col min="20" max="20" width="24.42578125" customWidth="1"/>
    <col min="21" max="21" width="14.42578125" customWidth="1"/>
    <col min="22" max="22" width="10.140625" customWidth="1"/>
    <col min="23" max="23" width="12" customWidth="1"/>
    <col min="24" max="24" width="11.42578125" customWidth="1"/>
    <col min="25" max="25" width="8.42578125" customWidth="1"/>
    <col min="26" max="27" width="11.42578125" customWidth="1"/>
    <col min="28" max="28" width="13.140625" customWidth="1"/>
    <col min="29" max="34" width="12.85546875" customWidth="1"/>
    <col min="35" max="35" width="12.140625" customWidth="1"/>
    <col min="36" max="36" width="6.42578125" customWidth="1"/>
    <col min="37" max="37" width="4.140625" customWidth="1"/>
    <col min="38" max="38" width="6.42578125" customWidth="1"/>
  </cols>
  <sheetData>
    <row r="1" spans="1:38" ht="15.75" customHeight="1">
      <c r="A1" s="1" t="s">
        <v>0</v>
      </c>
      <c r="B1" s="32" t="s">
        <v>1</v>
      </c>
      <c r="C1" s="32" t="s">
        <v>2</v>
      </c>
      <c r="D1" s="1" t="s">
        <v>3</v>
      </c>
      <c r="E1" s="97" t="s">
        <v>4</v>
      </c>
      <c r="F1" s="93"/>
      <c r="G1" s="93"/>
      <c r="H1" s="8" t="s">
        <v>5</v>
      </c>
      <c r="I1" s="8" t="s">
        <v>6</v>
      </c>
      <c r="J1" s="4" t="s">
        <v>9</v>
      </c>
      <c r="K1" s="4" t="s">
        <v>10</v>
      </c>
      <c r="L1" s="4" t="s">
        <v>11</v>
      </c>
      <c r="M1" s="4"/>
      <c r="N1" s="4" t="s">
        <v>12</v>
      </c>
      <c r="O1" s="4" t="s">
        <v>13</v>
      </c>
      <c r="P1" s="4" t="s">
        <v>14</v>
      </c>
      <c r="Q1" s="5" t="s">
        <v>15</v>
      </c>
      <c r="R1" s="5" t="s">
        <v>16</v>
      </c>
      <c r="S1" s="1" t="s">
        <v>17</v>
      </c>
      <c r="T1" s="1" t="s">
        <v>18</v>
      </c>
      <c r="U1" s="33" t="s">
        <v>19</v>
      </c>
      <c r="V1" s="6" t="s">
        <v>20</v>
      </c>
      <c r="W1" s="7" t="s">
        <v>22</v>
      </c>
      <c r="X1" s="7" t="s">
        <v>23</v>
      </c>
      <c r="Y1" s="8" t="s">
        <v>24</v>
      </c>
      <c r="Z1" s="9" t="s">
        <v>26</v>
      </c>
      <c r="AA1" s="9" t="s">
        <v>27</v>
      </c>
      <c r="AB1" s="7" t="s">
        <v>28</v>
      </c>
      <c r="AC1" s="95" t="s">
        <v>29</v>
      </c>
      <c r="AD1" s="93"/>
      <c r="AE1" s="93"/>
      <c r="AF1" s="93"/>
      <c r="AG1" s="93"/>
      <c r="AH1" s="93"/>
      <c r="AI1" s="3" t="s">
        <v>30</v>
      </c>
      <c r="AJ1" s="10" t="s">
        <v>31</v>
      </c>
      <c r="AK1" s="10" t="s">
        <v>32</v>
      </c>
      <c r="AL1" s="1" t="s">
        <v>33</v>
      </c>
    </row>
    <row r="2" spans="1:38" ht="15.75" customHeight="1">
      <c r="A2" s="4" t="s">
        <v>38</v>
      </c>
      <c r="B2" s="34" t="s">
        <v>39</v>
      </c>
      <c r="C2" s="34" t="s">
        <v>40</v>
      </c>
      <c r="D2" s="11" t="s">
        <v>41</v>
      </c>
      <c r="E2" s="11" t="s">
        <v>42</v>
      </c>
      <c r="F2" s="11" t="s">
        <v>43</v>
      </c>
      <c r="G2" s="11" t="s">
        <v>44</v>
      </c>
      <c r="H2" s="15" t="s">
        <v>45</v>
      </c>
      <c r="I2" s="15" t="s">
        <v>46</v>
      </c>
      <c r="J2" s="12" t="s">
        <v>11</v>
      </c>
      <c r="K2" s="12" t="s">
        <v>47</v>
      </c>
      <c r="L2" s="12" t="s">
        <v>48</v>
      </c>
      <c r="M2" s="12"/>
      <c r="N2" s="12"/>
      <c r="O2" s="12" t="s">
        <v>49</v>
      </c>
      <c r="P2" s="12" t="s">
        <v>50</v>
      </c>
      <c r="Q2" s="13" t="s">
        <v>51</v>
      </c>
      <c r="R2" s="13" t="s">
        <v>52</v>
      </c>
      <c r="S2" s="4"/>
      <c r="T2" s="4"/>
      <c r="U2" s="35" t="s">
        <v>53</v>
      </c>
      <c r="V2" s="14" t="s">
        <v>54</v>
      </c>
      <c r="W2" s="5" t="s">
        <v>37</v>
      </c>
      <c r="X2" s="5" t="s">
        <v>55</v>
      </c>
      <c r="Y2" s="15" t="s">
        <v>56</v>
      </c>
      <c r="Z2" s="16"/>
      <c r="AA2" s="16"/>
      <c r="AB2" s="5" t="s">
        <v>41</v>
      </c>
      <c r="AC2" s="5" t="s">
        <v>57</v>
      </c>
      <c r="AD2" s="5" t="s">
        <v>58</v>
      </c>
      <c r="AE2" s="5" t="s">
        <v>59</v>
      </c>
      <c r="AF2" s="5" t="s">
        <v>60</v>
      </c>
      <c r="AG2" s="5" t="s">
        <v>61</v>
      </c>
      <c r="AH2" s="5" t="s">
        <v>62</v>
      </c>
      <c r="AI2" s="17"/>
      <c r="AJ2" s="18"/>
      <c r="AK2" s="18"/>
      <c r="AL2" s="4" t="s">
        <v>33</v>
      </c>
    </row>
    <row r="3" spans="1:38" ht="15.75" customHeight="1">
      <c r="A3" s="28"/>
      <c r="B3" s="28"/>
      <c r="C3" s="28"/>
      <c r="D3" s="19" t="e">
        <f>VLOOKUP($E3,#REF!,6,FALSE)</f>
        <v>#REF!</v>
      </c>
      <c r="E3" s="2" t="s">
        <v>87</v>
      </c>
      <c r="F3" s="19" t="e">
        <f>VLOOKUP($E3,#REF!,2,FALSE)</f>
        <v>#REF!</v>
      </c>
      <c r="G3" s="19" t="e">
        <f>VLOOKUP($F3,#REF!,2,FALSE)</f>
        <v>#REF!</v>
      </c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5" t="str">
        <f>VLOOKUP($AC3,'Business Category'!J:K,2,FALSE)&amp;"|"&amp;VLOOKUP($AD3,'Business Category'!J:K,2,FALSE)&amp;"|"&amp;VLOOKUP($AE3,'Business Category'!J:K,2,FALSE)&amp;"|"&amp;VLOOKUP($AF3,'Business Category'!J:K,2,FALSE)&amp;"|"&amp;VLOOKUP($AG3,'Business Category'!J:K,2,FALSE)&amp;"|"&amp;VLOOKUP($AH3,'Business Category'!J:K,2,FALSE)</f>
        <v>1|2|3|||</v>
      </c>
      <c r="AC3" s="25" t="s">
        <v>1845</v>
      </c>
      <c r="AD3" s="25" t="s">
        <v>1846</v>
      </c>
      <c r="AE3" s="25" t="s">
        <v>70</v>
      </c>
      <c r="AF3" s="25" t="s">
        <v>71</v>
      </c>
      <c r="AG3" s="25" t="s">
        <v>71</v>
      </c>
      <c r="AH3" s="25" t="s">
        <v>71</v>
      </c>
      <c r="AI3" s="28"/>
      <c r="AJ3" s="28"/>
      <c r="AK3" s="28"/>
      <c r="AL3" s="28"/>
    </row>
    <row r="4" spans="1:38" ht="15.75" customHeight="1">
      <c r="A4" s="28"/>
      <c r="B4" s="28"/>
      <c r="C4" s="28"/>
      <c r="D4" s="19" t="e">
        <f>VLOOKUP($E4,#REF!,6,FALSE)</f>
        <v>#REF!</v>
      </c>
      <c r="E4" s="2" t="s">
        <v>87</v>
      </c>
      <c r="F4" s="19" t="e">
        <f>VLOOKUP($E4,#REF!,2,FALSE)</f>
        <v>#REF!</v>
      </c>
      <c r="G4" s="19" t="e">
        <f>VLOOKUP($F4,#REF!,2,FALSE)</f>
        <v>#REF!</v>
      </c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5" t="str">
        <f>VLOOKUP($AC4,'Business Category'!J:K,2,FALSE)&amp;"|"&amp;VLOOKUP($AD4,'Business Category'!J:K,2,FALSE)&amp;"|"&amp;VLOOKUP($AE4,'Business Category'!J:K,2,FALSE)&amp;"|"&amp;VLOOKUP($AF4,'Business Category'!J:K,2,FALSE)&amp;"|"&amp;VLOOKUP($AG4,'Business Category'!J:K,2,FALSE)&amp;"|"&amp;VLOOKUP($AH4,'Business Category'!J:K,2,FALSE)</f>
        <v>|||||</v>
      </c>
      <c r="AC4" s="25" t="s">
        <v>71</v>
      </c>
      <c r="AD4" s="25" t="s">
        <v>71</v>
      </c>
      <c r="AE4" s="25" t="s">
        <v>71</v>
      </c>
      <c r="AF4" s="25" t="s">
        <v>71</v>
      </c>
      <c r="AG4" s="25" t="s">
        <v>71</v>
      </c>
      <c r="AH4" s="25" t="s">
        <v>71</v>
      </c>
      <c r="AI4" s="28"/>
      <c r="AJ4" s="28"/>
      <c r="AK4" s="28"/>
      <c r="AL4" s="28"/>
    </row>
    <row r="5" spans="1:38" ht="15.75" customHeight="1">
      <c r="A5" s="28"/>
      <c r="B5" s="28"/>
      <c r="C5" s="28"/>
      <c r="D5" s="19" t="e">
        <f>VLOOKUP($E5,#REF!,6,FALSE)</f>
        <v>#REF!</v>
      </c>
      <c r="E5" s="2" t="s">
        <v>87</v>
      </c>
      <c r="F5" s="19" t="e">
        <f>VLOOKUP($E5,#REF!,2,FALSE)</f>
        <v>#REF!</v>
      </c>
      <c r="G5" s="19" t="e">
        <f>VLOOKUP($F5,#REF!,2,FALSE)</f>
        <v>#REF!</v>
      </c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5" t="str">
        <f>VLOOKUP($AC5,'Business Category'!J:K,2,FALSE)&amp;"|"&amp;VLOOKUP($AD5,'Business Category'!J:K,2,FALSE)&amp;"|"&amp;VLOOKUP($AE5,'Business Category'!J:K,2,FALSE)&amp;"|"&amp;VLOOKUP($AF5,'Business Category'!J:K,2,FALSE)&amp;"|"&amp;VLOOKUP($AG5,'Business Category'!J:K,2,FALSE)&amp;"|"&amp;VLOOKUP($AH5,'Business Category'!J:K,2,FALSE)</f>
        <v>|||||</v>
      </c>
      <c r="AC5" s="25" t="s">
        <v>71</v>
      </c>
      <c r="AD5" s="25" t="s">
        <v>71</v>
      </c>
      <c r="AE5" s="25" t="s">
        <v>71</v>
      </c>
      <c r="AF5" s="25" t="s">
        <v>71</v>
      </c>
      <c r="AG5" s="25" t="s">
        <v>71</v>
      </c>
      <c r="AH5" s="25" t="s">
        <v>71</v>
      </c>
      <c r="AI5" s="28"/>
      <c r="AJ5" s="28"/>
      <c r="AK5" s="28"/>
      <c r="AL5" s="28"/>
    </row>
    <row r="6" spans="1:38" ht="15.75" customHeight="1">
      <c r="A6" s="28"/>
      <c r="B6" s="28"/>
      <c r="C6" s="28"/>
      <c r="D6" s="19" t="e">
        <f>VLOOKUP($E6,#REF!,6,FALSE)</f>
        <v>#REF!</v>
      </c>
      <c r="E6" s="2" t="s">
        <v>87</v>
      </c>
      <c r="F6" s="19" t="e">
        <f>VLOOKUP($E6,#REF!,2,FALSE)</f>
        <v>#REF!</v>
      </c>
      <c r="G6" s="19" t="e">
        <f>VLOOKUP($F6,#REF!,2,FALSE)</f>
        <v>#REF!</v>
      </c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5" t="str">
        <f>VLOOKUP($AC6,'Business Category'!J:K,2,FALSE)&amp;"|"&amp;VLOOKUP($AD6,'Business Category'!J:K,2,FALSE)&amp;"|"&amp;VLOOKUP($AE6,'Business Category'!J:K,2,FALSE)&amp;"|"&amp;VLOOKUP($AF6,'Business Category'!J:K,2,FALSE)&amp;"|"&amp;VLOOKUP($AG6,'Business Category'!J:K,2,FALSE)&amp;"|"&amp;VLOOKUP($AH6,'Business Category'!J:K,2,FALSE)</f>
        <v>|||||</v>
      </c>
      <c r="AC6" s="25" t="s">
        <v>71</v>
      </c>
      <c r="AD6" s="25" t="s">
        <v>71</v>
      </c>
      <c r="AE6" s="25" t="s">
        <v>71</v>
      </c>
      <c r="AF6" s="25" t="s">
        <v>71</v>
      </c>
      <c r="AG6" s="25" t="s">
        <v>71</v>
      </c>
      <c r="AH6" s="25" t="s">
        <v>71</v>
      </c>
      <c r="AI6" s="28"/>
      <c r="AJ6" s="28"/>
      <c r="AK6" s="28"/>
      <c r="AL6" s="28"/>
    </row>
    <row r="7" spans="1:38" ht="15.75" customHeight="1">
      <c r="A7" s="28"/>
      <c r="B7" s="28"/>
      <c r="C7" s="28"/>
      <c r="D7" s="19" t="e">
        <f>VLOOKUP($E7,#REF!,6,FALSE)</f>
        <v>#REF!</v>
      </c>
      <c r="E7" s="2" t="s">
        <v>87</v>
      </c>
      <c r="F7" s="19" t="e">
        <f>VLOOKUP($E7,#REF!,2,FALSE)</f>
        <v>#REF!</v>
      </c>
      <c r="G7" s="19" t="e">
        <f>VLOOKUP($F7,#REF!,2,FALSE)</f>
        <v>#REF!</v>
      </c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5" t="str">
        <f>VLOOKUP($AC7,'Business Category'!J:K,2,FALSE)&amp;"|"&amp;VLOOKUP($AD7,'Business Category'!J:K,2,FALSE)&amp;"|"&amp;VLOOKUP($AE7,'Business Category'!J:K,2,FALSE)&amp;"|"&amp;VLOOKUP($AF7,'Business Category'!J:K,2,FALSE)&amp;"|"&amp;VLOOKUP($AG7,'Business Category'!J:K,2,FALSE)&amp;"|"&amp;VLOOKUP($AH7,'Business Category'!J:K,2,FALSE)</f>
        <v>|||||</v>
      </c>
      <c r="AC7" s="25" t="s">
        <v>71</v>
      </c>
      <c r="AD7" s="25" t="s">
        <v>71</v>
      </c>
      <c r="AE7" s="25" t="s">
        <v>71</v>
      </c>
      <c r="AF7" s="25" t="s">
        <v>71</v>
      </c>
      <c r="AG7" s="25" t="s">
        <v>71</v>
      </c>
      <c r="AH7" s="25" t="s">
        <v>71</v>
      </c>
      <c r="AI7" s="28"/>
      <c r="AJ7" s="28"/>
      <c r="AK7" s="28"/>
      <c r="AL7" s="28"/>
    </row>
    <row r="8" spans="1:38" ht="15.75" customHeight="1">
      <c r="A8" s="28"/>
      <c r="B8" s="28"/>
      <c r="C8" s="28"/>
      <c r="D8" s="19" t="e">
        <f>VLOOKUP($E8,#REF!,6,FALSE)</f>
        <v>#REF!</v>
      </c>
      <c r="E8" s="2" t="s">
        <v>87</v>
      </c>
      <c r="F8" s="19" t="e">
        <f>VLOOKUP($E8,#REF!,2,FALSE)</f>
        <v>#REF!</v>
      </c>
      <c r="G8" s="19" t="e">
        <f>VLOOKUP($F8,#REF!,2,FALSE)</f>
        <v>#REF!</v>
      </c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5" t="str">
        <f>VLOOKUP($AC8,'Business Category'!J:K,2,FALSE)&amp;"|"&amp;VLOOKUP($AD8,'Business Category'!J:K,2,FALSE)&amp;"|"&amp;VLOOKUP($AE8,'Business Category'!J:K,2,FALSE)&amp;"|"&amp;VLOOKUP($AF8,'Business Category'!J:K,2,FALSE)&amp;"|"&amp;VLOOKUP($AG8,'Business Category'!J:K,2,FALSE)&amp;"|"&amp;VLOOKUP($AH8,'Business Category'!J:K,2,FALSE)</f>
        <v>|||||</v>
      </c>
      <c r="AC8" s="25" t="s">
        <v>71</v>
      </c>
      <c r="AD8" s="25" t="s">
        <v>71</v>
      </c>
      <c r="AE8" s="25" t="s">
        <v>71</v>
      </c>
      <c r="AF8" s="25" t="s">
        <v>71</v>
      </c>
      <c r="AG8" s="25" t="s">
        <v>71</v>
      </c>
      <c r="AH8" s="25" t="s">
        <v>71</v>
      </c>
      <c r="AI8" s="28"/>
      <c r="AJ8" s="28"/>
      <c r="AK8" s="28"/>
      <c r="AL8" s="28"/>
    </row>
    <row r="9" spans="1:38" ht="15.75" customHeight="1">
      <c r="A9" s="28"/>
      <c r="B9" s="28"/>
      <c r="C9" s="28"/>
      <c r="D9" s="19" t="e">
        <f>VLOOKUP($E9,#REF!,6,FALSE)</f>
        <v>#REF!</v>
      </c>
      <c r="E9" s="2" t="s">
        <v>87</v>
      </c>
      <c r="F9" s="19" t="e">
        <f>VLOOKUP($E9,#REF!,2,FALSE)</f>
        <v>#REF!</v>
      </c>
      <c r="G9" s="19" t="e">
        <f>VLOOKUP($F9,#REF!,2,FALSE)</f>
        <v>#REF!</v>
      </c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5" t="str">
        <f>VLOOKUP($AC9,'Business Category'!J:K,2,FALSE)&amp;"|"&amp;VLOOKUP($AD9,'Business Category'!J:K,2,FALSE)&amp;"|"&amp;VLOOKUP($AE9,'Business Category'!J:K,2,FALSE)&amp;"|"&amp;VLOOKUP($AF9,'Business Category'!J:K,2,FALSE)&amp;"|"&amp;VLOOKUP($AG9,'Business Category'!J:K,2,FALSE)&amp;"|"&amp;VLOOKUP($AH9,'Business Category'!J:K,2,FALSE)</f>
        <v>|||||</v>
      </c>
      <c r="AC9" s="25" t="s">
        <v>71</v>
      </c>
      <c r="AD9" s="25" t="s">
        <v>71</v>
      </c>
      <c r="AE9" s="25" t="s">
        <v>71</v>
      </c>
      <c r="AF9" s="25" t="s">
        <v>71</v>
      </c>
      <c r="AG9" s="25" t="s">
        <v>71</v>
      </c>
      <c r="AH9" s="25" t="s">
        <v>71</v>
      </c>
      <c r="AI9" s="28"/>
      <c r="AJ9" s="28"/>
      <c r="AK9" s="28"/>
      <c r="AL9" s="28"/>
    </row>
    <row r="10" spans="1:38" ht="15.75" customHeight="1">
      <c r="A10" s="28"/>
      <c r="B10" s="28"/>
      <c r="C10" s="28"/>
      <c r="D10" s="19" t="e">
        <f>VLOOKUP($E10,#REF!,6,FALSE)</f>
        <v>#REF!</v>
      </c>
      <c r="E10" s="2" t="s">
        <v>87</v>
      </c>
      <c r="F10" s="19" t="e">
        <f>VLOOKUP($E10,#REF!,2,FALSE)</f>
        <v>#REF!</v>
      </c>
      <c r="G10" s="19" t="e">
        <f>VLOOKUP($F10,#REF!,2,FALSE)</f>
        <v>#REF!</v>
      </c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5" t="str">
        <f>VLOOKUP($AC10,'Business Category'!J:K,2,FALSE)&amp;"|"&amp;VLOOKUP($AD10,'Business Category'!J:K,2,FALSE)&amp;"|"&amp;VLOOKUP($AE10,'Business Category'!J:K,2,FALSE)&amp;"|"&amp;VLOOKUP($AF10,'Business Category'!J:K,2,FALSE)&amp;"|"&amp;VLOOKUP($AG10,'Business Category'!J:K,2,FALSE)&amp;"|"&amp;VLOOKUP($AH10,'Business Category'!J:K,2,FALSE)</f>
        <v>|||||</v>
      </c>
      <c r="AC10" s="25" t="s">
        <v>71</v>
      </c>
      <c r="AD10" s="25" t="s">
        <v>71</v>
      </c>
      <c r="AE10" s="25" t="s">
        <v>71</v>
      </c>
      <c r="AF10" s="25" t="s">
        <v>71</v>
      </c>
      <c r="AG10" s="25" t="s">
        <v>71</v>
      </c>
      <c r="AH10" s="25" t="s">
        <v>71</v>
      </c>
      <c r="AI10" s="28"/>
      <c r="AJ10" s="28"/>
      <c r="AK10" s="28"/>
      <c r="AL10" s="28"/>
    </row>
    <row r="11" spans="1:38" ht="15.75" customHeight="1">
      <c r="A11" s="28"/>
      <c r="B11" s="28"/>
      <c r="C11" s="28"/>
      <c r="D11" s="19" t="e">
        <f>VLOOKUP($E11,#REF!,6,FALSE)</f>
        <v>#REF!</v>
      </c>
      <c r="E11" s="2" t="s">
        <v>87</v>
      </c>
      <c r="F11" s="19" t="e">
        <f>VLOOKUP($E11,#REF!,2,FALSE)</f>
        <v>#REF!</v>
      </c>
      <c r="G11" s="19" t="e">
        <f>VLOOKUP($F11,#REF!,2,FALSE)</f>
        <v>#REF!</v>
      </c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5" t="str">
        <f>VLOOKUP($AC11,'Business Category'!J:K,2,FALSE)&amp;"|"&amp;VLOOKUP($AD11,'Business Category'!J:K,2,FALSE)&amp;"|"&amp;VLOOKUP($AE11,'Business Category'!J:K,2,FALSE)&amp;"|"&amp;VLOOKUP($AF11,'Business Category'!J:K,2,FALSE)&amp;"|"&amp;VLOOKUP($AG11,'Business Category'!J:K,2,FALSE)&amp;"|"&amp;VLOOKUP($AH11,'Business Category'!J:K,2,FALSE)</f>
        <v>|||||</v>
      </c>
      <c r="AC11" s="25" t="s">
        <v>71</v>
      </c>
      <c r="AD11" s="25" t="s">
        <v>71</v>
      </c>
      <c r="AE11" s="25" t="s">
        <v>71</v>
      </c>
      <c r="AF11" s="25" t="s">
        <v>71</v>
      </c>
      <c r="AG11" s="25" t="s">
        <v>71</v>
      </c>
      <c r="AH11" s="25" t="s">
        <v>71</v>
      </c>
      <c r="AI11" s="28"/>
      <c r="AJ11" s="28"/>
      <c r="AK11" s="28"/>
      <c r="AL11" s="28"/>
    </row>
    <row r="12" spans="1:38" ht="15.75" customHeight="1">
      <c r="A12" s="28"/>
      <c r="B12" s="28"/>
      <c r="C12" s="28"/>
      <c r="D12" s="19" t="e">
        <f>VLOOKUP($E12,#REF!,6,FALSE)</f>
        <v>#REF!</v>
      </c>
      <c r="E12" s="2" t="s">
        <v>87</v>
      </c>
      <c r="F12" s="19" t="e">
        <f>VLOOKUP($E12,#REF!,2,FALSE)</f>
        <v>#REF!</v>
      </c>
      <c r="G12" s="19" t="e">
        <f>VLOOKUP($F12,#REF!,2,FALSE)</f>
        <v>#REF!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5" t="str">
        <f>VLOOKUP($AC12,'Business Category'!J:K,2,FALSE)&amp;"|"&amp;VLOOKUP($AD12,'Business Category'!J:K,2,FALSE)&amp;"|"&amp;VLOOKUP($AE12,'Business Category'!J:K,2,FALSE)&amp;"|"&amp;VLOOKUP($AF12,'Business Category'!J:K,2,FALSE)&amp;"|"&amp;VLOOKUP($AG12,'Business Category'!J:K,2,FALSE)&amp;"|"&amp;VLOOKUP($AH12,'Business Category'!J:K,2,FALSE)</f>
        <v>|||||</v>
      </c>
      <c r="AC12" s="25" t="s">
        <v>71</v>
      </c>
      <c r="AD12" s="25" t="s">
        <v>71</v>
      </c>
      <c r="AE12" s="25" t="s">
        <v>71</v>
      </c>
      <c r="AF12" s="25" t="s">
        <v>71</v>
      </c>
      <c r="AG12" s="25" t="s">
        <v>71</v>
      </c>
      <c r="AH12" s="25" t="s">
        <v>71</v>
      </c>
      <c r="AI12" s="28"/>
      <c r="AJ12" s="28"/>
      <c r="AK12" s="28"/>
      <c r="AL12" s="28"/>
    </row>
    <row r="13" spans="1:38" ht="15.75" customHeight="1">
      <c r="A13" s="28"/>
      <c r="B13" s="28"/>
      <c r="C13" s="28"/>
      <c r="D13" s="19" t="e">
        <f>VLOOKUP($E13,#REF!,6,FALSE)</f>
        <v>#REF!</v>
      </c>
      <c r="E13" s="2" t="s">
        <v>87</v>
      </c>
      <c r="F13" s="19" t="e">
        <f>VLOOKUP($E13,#REF!,2,FALSE)</f>
        <v>#REF!</v>
      </c>
      <c r="G13" s="19" t="e">
        <f>VLOOKUP($F13,#REF!,2,FALSE)</f>
        <v>#REF!</v>
      </c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5" t="str">
        <f>VLOOKUP($AC13,'Business Category'!J:K,2,FALSE)&amp;"|"&amp;VLOOKUP($AD13,'Business Category'!J:K,2,FALSE)&amp;"|"&amp;VLOOKUP($AE13,'Business Category'!J:K,2,FALSE)&amp;"|"&amp;VLOOKUP($AF13,'Business Category'!J:K,2,FALSE)&amp;"|"&amp;VLOOKUP($AG13,'Business Category'!J:K,2,FALSE)&amp;"|"&amp;VLOOKUP($AH13,'Business Category'!J:K,2,FALSE)</f>
        <v>|||||</v>
      </c>
      <c r="AC13" s="25" t="s">
        <v>71</v>
      </c>
      <c r="AD13" s="25" t="s">
        <v>71</v>
      </c>
      <c r="AE13" s="25" t="s">
        <v>71</v>
      </c>
      <c r="AF13" s="25" t="s">
        <v>71</v>
      </c>
      <c r="AG13" s="25" t="s">
        <v>71</v>
      </c>
      <c r="AH13" s="25" t="s">
        <v>71</v>
      </c>
      <c r="AI13" s="28"/>
      <c r="AJ13" s="28"/>
      <c r="AK13" s="28"/>
      <c r="AL13" s="28"/>
    </row>
    <row r="14" spans="1:38" ht="15.75" customHeight="1">
      <c r="A14" s="28"/>
      <c r="B14" s="28"/>
      <c r="C14" s="28"/>
      <c r="D14" s="19" t="e">
        <f>VLOOKUP($E14,#REF!,6,FALSE)</f>
        <v>#REF!</v>
      </c>
      <c r="E14" s="2" t="s">
        <v>87</v>
      </c>
      <c r="F14" s="19" t="e">
        <f>VLOOKUP($E14,#REF!,2,FALSE)</f>
        <v>#REF!</v>
      </c>
      <c r="G14" s="19" t="e">
        <f>VLOOKUP($F14,#REF!,2,FALSE)</f>
        <v>#REF!</v>
      </c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5" t="str">
        <f>VLOOKUP($AC14,'Business Category'!J:K,2,FALSE)&amp;"|"&amp;VLOOKUP($AD14,'Business Category'!J:K,2,FALSE)&amp;"|"&amp;VLOOKUP($AE14,'Business Category'!J:K,2,FALSE)&amp;"|"&amp;VLOOKUP($AF14,'Business Category'!J:K,2,FALSE)&amp;"|"&amp;VLOOKUP($AG14,'Business Category'!J:K,2,FALSE)&amp;"|"&amp;VLOOKUP($AH14,'Business Category'!J:K,2,FALSE)</f>
        <v>|||||</v>
      </c>
      <c r="AC14" s="25" t="s">
        <v>71</v>
      </c>
      <c r="AD14" s="25" t="s">
        <v>71</v>
      </c>
      <c r="AE14" s="25" t="s">
        <v>71</v>
      </c>
      <c r="AF14" s="25" t="s">
        <v>71</v>
      </c>
      <c r="AG14" s="25" t="s">
        <v>71</v>
      </c>
      <c r="AH14" s="25" t="s">
        <v>71</v>
      </c>
      <c r="AI14" s="28"/>
      <c r="AJ14" s="28"/>
      <c r="AK14" s="28"/>
      <c r="AL14" s="28"/>
    </row>
    <row r="15" spans="1:38" ht="15.75" customHeight="1">
      <c r="A15" s="28"/>
      <c r="B15" s="28"/>
      <c r="C15" s="28"/>
      <c r="D15" s="19" t="e">
        <f>VLOOKUP($E15,#REF!,6,FALSE)</f>
        <v>#REF!</v>
      </c>
      <c r="E15" s="2" t="s">
        <v>87</v>
      </c>
      <c r="F15" s="19" t="e">
        <f>VLOOKUP($E15,#REF!,2,FALSE)</f>
        <v>#REF!</v>
      </c>
      <c r="G15" s="19" t="e">
        <f>VLOOKUP($F15,#REF!,2,FALSE)</f>
        <v>#REF!</v>
      </c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5" t="str">
        <f>VLOOKUP($AC15,'Business Category'!J:K,2,FALSE)&amp;"|"&amp;VLOOKUP($AD15,'Business Category'!J:K,2,FALSE)&amp;"|"&amp;VLOOKUP($AE15,'Business Category'!J:K,2,FALSE)&amp;"|"&amp;VLOOKUP($AF15,'Business Category'!J:K,2,FALSE)&amp;"|"&amp;VLOOKUP($AG15,'Business Category'!J:K,2,FALSE)&amp;"|"&amp;VLOOKUP($AH15,'Business Category'!J:K,2,FALSE)</f>
        <v>|||||</v>
      </c>
      <c r="AC15" s="25" t="s">
        <v>71</v>
      </c>
      <c r="AD15" s="25" t="s">
        <v>71</v>
      </c>
      <c r="AE15" s="25" t="s">
        <v>71</v>
      </c>
      <c r="AF15" s="25" t="s">
        <v>71</v>
      </c>
      <c r="AG15" s="25" t="s">
        <v>71</v>
      </c>
      <c r="AH15" s="25" t="s">
        <v>71</v>
      </c>
      <c r="AI15" s="28"/>
      <c r="AJ15" s="28"/>
      <c r="AK15" s="28"/>
      <c r="AL15" s="28"/>
    </row>
    <row r="16" spans="1:38" ht="15.75" customHeight="1">
      <c r="A16" s="28"/>
      <c r="B16" s="28"/>
      <c r="C16" s="28"/>
      <c r="D16" s="19" t="e">
        <f>VLOOKUP($E16,#REF!,6,FALSE)</f>
        <v>#REF!</v>
      </c>
      <c r="E16" s="2" t="s">
        <v>87</v>
      </c>
      <c r="F16" s="19" t="e">
        <f>VLOOKUP($E16,#REF!,2,FALSE)</f>
        <v>#REF!</v>
      </c>
      <c r="G16" s="19" t="e">
        <f>VLOOKUP($F16,#REF!,2,FALSE)</f>
        <v>#REF!</v>
      </c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5" t="str">
        <f>VLOOKUP($AC16,'Business Category'!J:K,2,FALSE)&amp;"|"&amp;VLOOKUP($AD16,'Business Category'!J:K,2,FALSE)&amp;"|"&amp;VLOOKUP($AE16,'Business Category'!J:K,2,FALSE)&amp;"|"&amp;VLOOKUP($AF16,'Business Category'!J:K,2,FALSE)&amp;"|"&amp;VLOOKUP($AG16,'Business Category'!J:K,2,FALSE)&amp;"|"&amp;VLOOKUP($AH16,'Business Category'!J:K,2,FALSE)</f>
        <v>|||||</v>
      </c>
      <c r="AC16" s="25" t="s">
        <v>71</v>
      </c>
      <c r="AD16" s="25" t="s">
        <v>71</v>
      </c>
      <c r="AE16" s="25" t="s">
        <v>71</v>
      </c>
      <c r="AF16" s="25" t="s">
        <v>71</v>
      </c>
      <c r="AG16" s="25" t="s">
        <v>71</v>
      </c>
      <c r="AH16" s="25" t="s">
        <v>71</v>
      </c>
      <c r="AI16" s="28"/>
      <c r="AJ16" s="28"/>
      <c r="AK16" s="28"/>
      <c r="AL16" s="28"/>
    </row>
    <row r="17" spans="1:38" ht="15.75" customHeight="1">
      <c r="A17" s="28"/>
      <c r="B17" s="28"/>
      <c r="C17" s="28"/>
      <c r="D17" s="19" t="e">
        <f>VLOOKUP($E17,#REF!,6,FALSE)</f>
        <v>#REF!</v>
      </c>
      <c r="E17" s="2" t="s">
        <v>87</v>
      </c>
      <c r="F17" s="19" t="e">
        <f>VLOOKUP($E17,#REF!,2,FALSE)</f>
        <v>#REF!</v>
      </c>
      <c r="G17" s="19" t="e">
        <f>VLOOKUP($F17,#REF!,2,FALSE)</f>
        <v>#REF!</v>
      </c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5" t="str">
        <f>VLOOKUP($AC17,'Business Category'!J:K,2,FALSE)&amp;"|"&amp;VLOOKUP($AD17,'Business Category'!J:K,2,FALSE)&amp;"|"&amp;VLOOKUP($AE17,'Business Category'!J:K,2,FALSE)&amp;"|"&amp;VLOOKUP($AF17,'Business Category'!J:K,2,FALSE)&amp;"|"&amp;VLOOKUP($AG17,'Business Category'!J:K,2,FALSE)&amp;"|"&amp;VLOOKUP($AH17,'Business Category'!J:K,2,FALSE)</f>
        <v>|||||</v>
      </c>
      <c r="AC17" s="25" t="s">
        <v>71</v>
      </c>
      <c r="AD17" s="25" t="s">
        <v>71</v>
      </c>
      <c r="AE17" s="25" t="s">
        <v>71</v>
      </c>
      <c r="AF17" s="25" t="s">
        <v>71</v>
      </c>
      <c r="AG17" s="25" t="s">
        <v>71</v>
      </c>
      <c r="AH17" s="25" t="s">
        <v>71</v>
      </c>
      <c r="AI17" s="28"/>
      <c r="AJ17" s="28"/>
      <c r="AK17" s="28"/>
      <c r="AL17" s="28"/>
    </row>
    <row r="18" spans="1:38" ht="15.75" customHeight="1">
      <c r="A18" s="28"/>
      <c r="B18" s="28"/>
      <c r="C18" s="28"/>
      <c r="D18" s="19" t="e">
        <f>VLOOKUP($E18,#REF!,6,FALSE)</f>
        <v>#REF!</v>
      </c>
      <c r="E18" s="2" t="s">
        <v>87</v>
      </c>
      <c r="F18" s="19" t="e">
        <f>VLOOKUP($E18,#REF!,2,FALSE)</f>
        <v>#REF!</v>
      </c>
      <c r="G18" s="19" t="e">
        <f>VLOOKUP($F18,#REF!,2,FALSE)</f>
        <v>#REF!</v>
      </c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5" t="str">
        <f>VLOOKUP($AC18,'Business Category'!J:K,2,FALSE)&amp;"|"&amp;VLOOKUP($AD18,'Business Category'!J:K,2,FALSE)&amp;"|"&amp;VLOOKUP($AE18,'Business Category'!J:K,2,FALSE)&amp;"|"&amp;VLOOKUP($AF18,'Business Category'!J:K,2,FALSE)&amp;"|"&amp;VLOOKUP($AG18,'Business Category'!J:K,2,FALSE)&amp;"|"&amp;VLOOKUP($AH18,'Business Category'!J:K,2,FALSE)</f>
        <v>|||||</v>
      </c>
      <c r="AC18" s="25" t="s">
        <v>71</v>
      </c>
      <c r="AD18" s="25" t="s">
        <v>71</v>
      </c>
      <c r="AE18" s="25" t="s">
        <v>71</v>
      </c>
      <c r="AF18" s="25" t="s">
        <v>71</v>
      </c>
      <c r="AG18" s="25" t="s">
        <v>71</v>
      </c>
      <c r="AH18" s="25" t="s">
        <v>71</v>
      </c>
      <c r="AI18" s="28"/>
      <c r="AJ18" s="28"/>
      <c r="AK18" s="28"/>
      <c r="AL18" s="28"/>
    </row>
    <row r="19" spans="1:38" ht="15.75" customHeight="1">
      <c r="A19" s="28"/>
      <c r="B19" s="28"/>
      <c r="C19" s="28"/>
      <c r="D19" s="19" t="e">
        <f>VLOOKUP($E19,#REF!,6,FALSE)</f>
        <v>#REF!</v>
      </c>
      <c r="E19" s="2" t="s">
        <v>87</v>
      </c>
      <c r="F19" s="19" t="e">
        <f>VLOOKUP($E19,#REF!,2,FALSE)</f>
        <v>#REF!</v>
      </c>
      <c r="G19" s="19" t="e">
        <f>VLOOKUP($F19,#REF!,2,FALSE)</f>
        <v>#REF!</v>
      </c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5" t="str">
        <f>VLOOKUP($AC19,'Business Category'!J:K,2,FALSE)&amp;"|"&amp;VLOOKUP($AD19,'Business Category'!J:K,2,FALSE)&amp;"|"&amp;VLOOKUP($AE19,'Business Category'!J:K,2,FALSE)&amp;"|"&amp;VLOOKUP($AF19,'Business Category'!J:K,2,FALSE)&amp;"|"&amp;VLOOKUP($AG19,'Business Category'!J:K,2,FALSE)&amp;"|"&amp;VLOOKUP($AH19,'Business Category'!J:K,2,FALSE)</f>
        <v>|||||</v>
      </c>
      <c r="AC19" s="25" t="s">
        <v>71</v>
      </c>
      <c r="AD19" s="25" t="s">
        <v>71</v>
      </c>
      <c r="AE19" s="25" t="s">
        <v>71</v>
      </c>
      <c r="AF19" s="25" t="s">
        <v>71</v>
      </c>
      <c r="AG19" s="25" t="s">
        <v>71</v>
      </c>
      <c r="AH19" s="25" t="s">
        <v>71</v>
      </c>
      <c r="AI19" s="28"/>
      <c r="AJ19" s="28"/>
      <c r="AK19" s="28"/>
      <c r="AL19" s="28"/>
    </row>
    <row r="20" spans="1:38" ht="15.75" customHeight="1">
      <c r="A20" s="28"/>
      <c r="B20" s="28"/>
      <c r="C20" s="28"/>
      <c r="D20" s="19" t="e">
        <f>VLOOKUP($E20,#REF!,6,FALSE)</f>
        <v>#REF!</v>
      </c>
      <c r="E20" s="2" t="s">
        <v>87</v>
      </c>
      <c r="F20" s="19" t="e">
        <f>VLOOKUP($E20,#REF!,2,FALSE)</f>
        <v>#REF!</v>
      </c>
      <c r="G20" s="19" t="e">
        <f>VLOOKUP($F20,#REF!,2,FALSE)</f>
        <v>#REF!</v>
      </c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5" t="str">
        <f>VLOOKUP($AC20,'Business Category'!J:K,2,FALSE)&amp;"|"&amp;VLOOKUP($AD20,'Business Category'!J:K,2,FALSE)&amp;"|"&amp;VLOOKUP($AE20,'Business Category'!J:K,2,FALSE)&amp;"|"&amp;VLOOKUP($AF20,'Business Category'!J:K,2,FALSE)&amp;"|"&amp;VLOOKUP($AG20,'Business Category'!J:K,2,FALSE)&amp;"|"&amp;VLOOKUP($AH20,'Business Category'!J:K,2,FALSE)</f>
        <v>|||||</v>
      </c>
      <c r="AC20" s="25" t="s">
        <v>71</v>
      </c>
      <c r="AD20" s="25" t="s">
        <v>71</v>
      </c>
      <c r="AE20" s="25" t="s">
        <v>71</v>
      </c>
      <c r="AF20" s="25" t="s">
        <v>71</v>
      </c>
      <c r="AG20" s="25" t="s">
        <v>71</v>
      </c>
      <c r="AH20" s="25" t="s">
        <v>71</v>
      </c>
      <c r="AI20" s="28"/>
      <c r="AJ20" s="28"/>
      <c r="AK20" s="28"/>
      <c r="AL20" s="28"/>
    </row>
    <row r="21" spans="1:38" ht="15.75" customHeight="1">
      <c r="A21" s="28"/>
      <c r="B21" s="28"/>
      <c r="C21" s="28"/>
      <c r="D21" s="19" t="e">
        <f>VLOOKUP($E21,#REF!,6,FALSE)</f>
        <v>#REF!</v>
      </c>
      <c r="E21" s="2" t="s">
        <v>87</v>
      </c>
      <c r="F21" s="19" t="e">
        <f>VLOOKUP($E21,#REF!,2,FALSE)</f>
        <v>#REF!</v>
      </c>
      <c r="G21" s="19" t="e">
        <f>VLOOKUP($F21,#REF!,2,FALSE)</f>
        <v>#REF!</v>
      </c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5" t="str">
        <f>VLOOKUP($AC21,'Business Category'!J:K,2,FALSE)&amp;"|"&amp;VLOOKUP($AD21,'Business Category'!J:K,2,FALSE)&amp;"|"&amp;VLOOKUP($AE21,'Business Category'!J:K,2,FALSE)&amp;"|"&amp;VLOOKUP($AF21,'Business Category'!J:K,2,FALSE)&amp;"|"&amp;VLOOKUP($AG21,'Business Category'!J:K,2,FALSE)&amp;"|"&amp;VLOOKUP($AH21,'Business Category'!J:K,2,FALSE)</f>
        <v>|||||</v>
      </c>
      <c r="AC21" s="25" t="s">
        <v>71</v>
      </c>
      <c r="AD21" s="25" t="s">
        <v>71</v>
      </c>
      <c r="AE21" s="25" t="s">
        <v>71</v>
      </c>
      <c r="AF21" s="25" t="s">
        <v>71</v>
      </c>
      <c r="AG21" s="25" t="s">
        <v>71</v>
      </c>
      <c r="AH21" s="25" t="s">
        <v>71</v>
      </c>
      <c r="AI21" s="28"/>
      <c r="AJ21" s="28"/>
      <c r="AK21" s="28"/>
      <c r="AL21" s="28"/>
    </row>
    <row r="22" spans="1:38" ht="15.75" customHeight="1">
      <c r="A22" s="28"/>
      <c r="B22" s="28"/>
      <c r="C22" s="28"/>
      <c r="D22" s="19" t="e">
        <f>VLOOKUP($E22,#REF!,6,FALSE)</f>
        <v>#REF!</v>
      </c>
      <c r="E22" s="2" t="s">
        <v>87</v>
      </c>
      <c r="F22" s="19" t="e">
        <f>VLOOKUP($E22,#REF!,2,FALSE)</f>
        <v>#REF!</v>
      </c>
      <c r="G22" s="19" t="e">
        <f>VLOOKUP($F22,#REF!,2,FALSE)</f>
        <v>#REF!</v>
      </c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5" t="str">
        <f>VLOOKUP($AC22,'Business Category'!J:K,2,FALSE)&amp;"|"&amp;VLOOKUP($AD22,'Business Category'!J:K,2,FALSE)&amp;"|"&amp;VLOOKUP($AE22,'Business Category'!J:K,2,FALSE)&amp;"|"&amp;VLOOKUP($AF22,'Business Category'!J:K,2,FALSE)&amp;"|"&amp;VLOOKUP($AG22,'Business Category'!J:K,2,FALSE)&amp;"|"&amp;VLOOKUP($AH22,'Business Category'!J:K,2,FALSE)</f>
        <v>|||||</v>
      </c>
      <c r="AC22" s="25" t="s">
        <v>71</v>
      </c>
      <c r="AD22" s="25" t="s">
        <v>71</v>
      </c>
      <c r="AE22" s="25" t="s">
        <v>71</v>
      </c>
      <c r="AF22" s="25" t="s">
        <v>71</v>
      </c>
      <c r="AG22" s="25" t="s">
        <v>71</v>
      </c>
      <c r="AH22" s="25" t="s">
        <v>71</v>
      </c>
      <c r="AI22" s="28"/>
      <c r="AJ22" s="28"/>
      <c r="AK22" s="28"/>
      <c r="AL22" s="28"/>
    </row>
    <row r="23" spans="1:38" ht="15.75" customHeight="1">
      <c r="A23" s="28"/>
      <c r="B23" s="28"/>
      <c r="C23" s="28"/>
      <c r="D23" s="19" t="e">
        <f>VLOOKUP($E23,#REF!,6,FALSE)</f>
        <v>#REF!</v>
      </c>
      <c r="E23" s="2" t="s">
        <v>87</v>
      </c>
      <c r="F23" s="19" t="e">
        <f>VLOOKUP($E23,#REF!,2,FALSE)</f>
        <v>#REF!</v>
      </c>
      <c r="G23" s="19" t="e">
        <f>VLOOKUP($F23,#REF!,2,FALSE)</f>
        <v>#REF!</v>
      </c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5" t="str">
        <f>VLOOKUP($AC23,'Business Category'!J:K,2,FALSE)&amp;"|"&amp;VLOOKUP($AD23,'Business Category'!J:K,2,FALSE)&amp;"|"&amp;VLOOKUP($AE23,'Business Category'!J:K,2,FALSE)&amp;"|"&amp;VLOOKUP($AF23,'Business Category'!J:K,2,FALSE)&amp;"|"&amp;VLOOKUP($AG23,'Business Category'!J:K,2,FALSE)&amp;"|"&amp;VLOOKUP($AH23,'Business Category'!J:K,2,FALSE)</f>
        <v>|||||</v>
      </c>
      <c r="AC23" s="25" t="s">
        <v>71</v>
      </c>
      <c r="AD23" s="25" t="s">
        <v>71</v>
      </c>
      <c r="AE23" s="25" t="s">
        <v>71</v>
      </c>
      <c r="AF23" s="25" t="s">
        <v>71</v>
      </c>
      <c r="AG23" s="25" t="s">
        <v>71</v>
      </c>
      <c r="AH23" s="25" t="s">
        <v>71</v>
      </c>
      <c r="AI23" s="28"/>
      <c r="AJ23" s="28"/>
      <c r="AK23" s="28"/>
      <c r="AL23" s="28"/>
    </row>
    <row r="24" spans="1:38" ht="15.75" customHeight="1">
      <c r="A24" s="28"/>
      <c r="B24" s="28"/>
      <c r="C24" s="28"/>
      <c r="D24" s="19" t="e">
        <f>VLOOKUP($E24,#REF!,6,FALSE)</f>
        <v>#REF!</v>
      </c>
      <c r="E24" s="2" t="s">
        <v>87</v>
      </c>
      <c r="F24" s="19" t="e">
        <f>VLOOKUP($E24,#REF!,2,FALSE)</f>
        <v>#REF!</v>
      </c>
      <c r="G24" s="19" t="e">
        <f>VLOOKUP($F24,#REF!,2,FALSE)</f>
        <v>#REF!</v>
      </c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5" t="str">
        <f>VLOOKUP($AC24,'Business Category'!J:K,2,FALSE)&amp;"|"&amp;VLOOKUP($AD24,'Business Category'!J:K,2,FALSE)&amp;"|"&amp;VLOOKUP($AE24,'Business Category'!J:K,2,FALSE)&amp;"|"&amp;VLOOKUP($AF24,'Business Category'!J:K,2,FALSE)&amp;"|"&amp;VLOOKUP($AG24,'Business Category'!J:K,2,FALSE)&amp;"|"&amp;VLOOKUP($AH24,'Business Category'!J:K,2,FALSE)</f>
        <v>|||||</v>
      </c>
      <c r="AC24" s="25" t="s">
        <v>71</v>
      </c>
      <c r="AD24" s="25" t="s">
        <v>71</v>
      </c>
      <c r="AE24" s="25" t="s">
        <v>71</v>
      </c>
      <c r="AF24" s="25" t="s">
        <v>71</v>
      </c>
      <c r="AG24" s="25" t="s">
        <v>71</v>
      </c>
      <c r="AH24" s="25" t="s">
        <v>71</v>
      </c>
      <c r="AI24" s="28"/>
      <c r="AJ24" s="28"/>
      <c r="AK24" s="28"/>
      <c r="AL24" s="28"/>
    </row>
    <row r="25" spans="1:38" ht="15.75" customHeight="1">
      <c r="A25" s="28"/>
      <c r="B25" s="28"/>
      <c r="C25" s="28"/>
      <c r="D25" s="19" t="e">
        <f>VLOOKUP($E25,#REF!,6,FALSE)</f>
        <v>#REF!</v>
      </c>
      <c r="E25" s="2" t="s">
        <v>87</v>
      </c>
      <c r="F25" s="19" t="e">
        <f>VLOOKUP($E25,#REF!,2,FALSE)</f>
        <v>#REF!</v>
      </c>
      <c r="G25" s="19" t="e">
        <f>VLOOKUP($F25,#REF!,2,FALSE)</f>
        <v>#REF!</v>
      </c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5" t="str">
        <f>VLOOKUP($AC25,'Business Category'!J:K,2,FALSE)&amp;"|"&amp;VLOOKUP($AD25,'Business Category'!J:K,2,FALSE)&amp;"|"&amp;VLOOKUP($AE25,'Business Category'!J:K,2,FALSE)&amp;"|"&amp;VLOOKUP($AF25,'Business Category'!J:K,2,FALSE)&amp;"|"&amp;VLOOKUP($AG25,'Business Category'!J:K,2,FALSE)&amp;"|"&amp;VLOOKUP($AH25,'Business Category'!J:K,2,FALSE)</f>
        <v>|||||</v>
      </c>
      <c r="AC25" s="25" t="s">
        <v>71</v>
      </c>
      <c r="AD25" s="25" t="s">
        <v>71</v>
      </c>
      <c r="AE25" s="25" t="s">
        <v>71</v>
      </c>
      <c r="AF25" s="25" t="s">
        <v>71</v>
      </c>
      <c r="AG25" s="25" t="s">
        <v>71</v>
      </c>
      <c r="AH25" s="25" t="s">
        <v>71</v>
      </c>
      <c r="AI25" s="28"/>
      <c r="AJ25" s="28"/>
      <c r="AK25" s="28"/>
      <c r="AL25" s="28"/>
    </row>
    <row r="26" spans="1:38" ht="15.75" customHeight="1">
      <c r="A26" s="28"/>
      <c r="B26" s="28"/>
      <c r="C26" s="28"/>
      <c r="D26" s="19" t="e">
        <f>VLOOKUP($E26,#REF!,6,FALSE)</f>
        <v>#REF!</v>
      </c>
      <c r="E26" s="2" t="s">
        <v>87</v>
      </c>
      <c r="F26" s="19" t="e">
        <f>VLOOKUP($E26,#REF!,2,FALSE)</f>
        <v>#REF!</v>
      </c>
      <c r="G26" s="19" t="e">
        <f>VLOOKUP($F26,#REF!,2,FALSE)</f>
        <v>#REF!</v>
      </c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5" t="str">
        <f>VLOOKUP($AC26,'Business Category'!J:K,2,FALSE)&amp;"|"&amp;VLOOKUP($AD26,'Business Category'!J:K,2,FALSE)&amp;"|"&amp;VLOOKUP($AE26,'Business Category'!J:K,2,FALSE)&amp;"|"&amp;VLOOKUP($AF26,'Business Category'!J:K,2,FALSE)&amp;"|"&amp;VLOOKUP($AG26,'Business Category'!J:K,2,FALSE)&amp;"|"&amp;VLOOKUP($AH26,'Business Category'!J:K,2,FALSE)</f>
        <v>|||||</v>
      </c>
      <c r="AC26" s="25" t="s">
        <v>71</v>
      </c>
      <c r="AD26" s="25" t="s">
        <v>71</v>
      </c>
      <c r="AE26" s="25" t="s">
        <v>71</v>
      </c>
      <c r="AF26" s="25" t="s">
        <v>71</v>
      </c>
      <c r="AG26" s="25" t="s">
        <v>71</v>
      </c>
      <c r="AH26" s="25" t="s">
        <v>71</v>
      </c>
      <c r="AI26" s="28"/>
      <c r="AJ26" s="28"/>
      <c r="AK26" s="28"/>
      <c r="AL26" s="28"/>
    </row>
    <row r="27" spans="1:38" ht="15.75" customHeight="1">
      <c r="A27" s="28"/>
      <c r="B27" s="28"/>
      <c r="C27" s="28"/>
      <c r="D27" s="19" t="e">
        <f>VLOOKUP($E27,#REF!,6,FALSE)</f>
        <v>#REF!</v>
      </c>
      <c r="E27" s="2" t="s">
        <v>87</v>
      </c>
      <c r="F27" s="19" t="e">
        <f>VLOOKUP($E27,#REF!,2,FALSE)</f>
        <v>#REF!</v>
      </c>
      <c r="G27" s="19" t="e">
        <f>VLOOKUP($F27,#REF!,2,FALSE)</f>
        <v>#REF!</v>
      </c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5" t="str">
        <f>VLOOKUP($AC27,'Business Category'!J:K,2,FALSE)&amp;"|"&amp;VLOOKUP($AD27,'Business Category'!J:K,2,FALSE)&amp;"|"&amp;VLOOKUP($AE27,'Business Category'!J:K,2,FALSE)&amp;"|"&amp;VLOOKUP($AF27,'Business Category'!J:K,2,FALSE)&amp;"|"&amp;VLOOKUP($AG27,'Business Category'!J:K,2,FALSE)&amp;"|"&amp;VLOOKUP($AH27,'Business Category'!J:K,2,FALSE)</f>
        <v>|||||</v>
      </c>
      <c r="AC27" s="25" t="s">
        <v>71</v>
      </c>
      <c r="AD27" s="25" t="s">
        <v>71</v>
      </c>
      <c r="AE27" s="25" t="s">
        <v>71</v>
      </c>
      <c r="AF27" s="25" t="s">
        <v>71</v>
      </c>
      <c r="AG27" s="25" t="s">
        <v>71</v>
      </c>
      <c r="AH27" s="25" t="s">
        <v>71</v>
      </c>
      <c r="AI27" s="28"/>
      <c r="AJ27" s="28"/>
      <c r="AK27" s="28"/>
      <c r="AL27" s="28"/>
    </row>
    <row r="28" spans="1:38" ht="15.75" customHeight="1">
      <c r="A28" s="28"/>
      <c r="B28" s="28"/>
      <c r="C28" s="28"/>
      <c r="D28" s="19" t="e">
        <f>VLOOKUP($E28,#REF!,6,FALSE)</f>
        <v>#REF!</v>
      </c>
      <c r="E28" s="2" t="s">
        <v>87</v>
      </c>
      <c r="F28" s="19" t="e">
        <f>VLOOKUP($E28,#REF!,2,FALSE)</f>
        <v>#REF!</v>
      </c>
      <c r="G28" s="19" t="e">
        <f>VLOOKUP($F28,#REF!,2,FALSE)</f>
        <v>#REF!</v>
      </c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5" t="str">
        <f>VLOOKUP($AC28,'Business Category'!J:K,2,FALSE)&amp;"|"&amp;VLOOKUP($AD28,'Business Category'!J:K,2,FALSE)&amp;"|"&amp;VLOOKUP($AE28,'Business Category'!J:K,2,FALSE)&amp;"|"&amp;VLOOKUP($AF28,'Business Category'!J:K,2,FALSE)&amp;"|"&amp;VLOOKUP($AG28,'Business Category'!J:K,2,FALSE)&amp;"|"&amp;VLOOKUP($AH28,'Business Category'!J:K,2,FALSE)</f>
        <v>|||||</v>
      </c>
      <c r="AC28" s="25" t="s">
        <v>71</v>
      </c>
      <c r="AD28" s="25" t="s">
        <v>71</v>
      </c>
      <c r="AE28" s="25" t="s">
        <v>71</v>
      </c>
      <c r="AF28" s="25" t="s">
        <v>71</v>
      </c>
      <c r="AG28" s="25" t="s">
        <v>71</v>
      </c>
      <c r="AH28" s="25" t="s">
        <v>71</v>
      </c>
      <c r="AI28" s="28"/>
      <c r="AJ28" s="28"/>
      <c r="AK28" s="28"/>
      <c r="AL28" s="28"/>
    </row>
    <row r="29" spans="1:38" ht="15.75" customHeight="1">
      <c r="A29" s="28"/>
      <c r="B29" s="28"/>
      <c r="C29" s="28"/>
      <c r="D29" s="19" t="e">
        <f>VLOOKUP($E29,#REF!,6,FALSE)</f>
        <v>#REF!</v>
      </c>
      <c r="E29" s="2" t="s">
        <v>87</v>
      </c>
      <c r="F29" s="19" t="e">
        <f>VLOOKUP($E29,#REF!,2,FALSE)</f>
        <v>#REF!</v>
      </c>
      <c r="G29" s="19" t="e">
        <f>VLOOKUP($F29,#REF!,2,FALSE)</f>
        <v>#REF!</v>
      </c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5" t="str">
        <f>VLOOKUP($AC29,'Business Category'!J:K,2,FALSE)&amp;"|"&amp;VLOOKUP($AD29,'Business Category'!J:K,2,FALSE)&amp;"|"&amp;VLOOKUP($AE29,'Business Category'!J:K,2,FALSE)&amp;"|"&amp;VLOOKUP($AF29,'Business Category'!J:K,2,FALSE)&amp;"|"&amp;VLOOKUP($AG29,'Business Category'!J:K,2,FALSE)&amp;"|"&amp;VLOOKUP($AH29,'Business Category'!J:K,2,FALSE)</f>
        <v>|||||</v>
      </c>
      <c r="AC29" s="25" t="s">
        <v>71</v>
      </c>
      <c r="AD29" s="25" t="s">
        <v>71</v>
      </c>
      <c r="AE29" s="25" t="s">
        <v>71</v>
      </c>
      <c r="AF29" s="25" t="s">
        <v>71</v>
      </c>
      <c r="AG29" s="25" t="s">
        <v>71</v>
      </c>
      <c r="AH29" s="25" t="s">
        <v>71</v>
      </c>
      <c r="AI29" s="28"/>
      <c r="AJ29" s="28"/>
      <c r="AK29" s="28"/>
      <c r="AL29" s="28"/>
    </row>
    <row r="30" spans="1:38" ht="15.75" customHeight="1">
      <c r="A30" s="28"/>
      <c r="B30" s="28"/>
      <c r="C30" s="28"/>
      <c r="D30" s="19" t="e">
        <f>VLOOKUP($E30,#REF!,6,FALSE)</f>
        <v>#REF!</v>
      </c>
      <c r="E30" s="2" t="s">
        <v>87</v>
      </c>
      <c r="F30" s="19" t="e">
        <f>VLOOKUP($E30,#REF!,2,FALSE)</f>
        <v>#REF!</v>
      </c>
      <c r="G30" s="19" t="e">
        <f>VLOOKUP($F30,#REF!,2,FALSE)</f>
        <v>#REF!</v>
      </c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5" t="str">
        <f>VLOOKUP($AC30,'Business Category'!J:K,2,FALSE)&amp;"|"&amp;VLOOKUP($AD30,'Business Category'!J:K,2,FALSE)&amp;"|"&amp;VLOOKUP($AE30,'Business Category'!J:K,2,FALSE)&amp;"|"&amp;VLOOKUP($AF30,'Business Category'!J:K,2,FALSE)&amp;"|"&amp;VLOOKUP($AG30,'Business Category'!J:K,2,FALSE)&amp;"|"&amp;VLOOKUP($AH30,'Business Category'!J:K,2,FALSE)</f>
        <v>|||||</v>
      </c>
      <c r="AC30" s="25" t="s">
        <v>71</v>
      </c>
      <c r="AD30" s="25" t="s">
        <v>71</v>
      </c>
      <c r="AE30" s="25" t="s">
        <v>71</v>
      </c>
      <c r="AF30" s="25" t="s">
        <v>71</v>
      </c>
      <c r="AG30" s="25" t="s">
        <v>71</v>
      </c>
      <c r="AH30" s="25" t="s">
        <v>71</v>
      </c>
      <c r="AI30" s="28"/>
      <c r="AJ30" s="28"/>
      <c r="AK30" s="28"/>
      <c r="AL30" s="28"/>
    </row>
    <row r="31" spans="1:38" ht="15.75" customHeight="1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</row>
    <row r="32" spans="1:38" ht="15.75" customHeight="1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</row>
    <row r="33" spans="1:38" ht="15.75" customHeight="1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</row>
    <row r="34" spans="1:38" ht="15.75" customHeight="1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</row>
    <row r="35" spans="1:38" ht="15.75" customHeight="1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</row>
    <row r="36" spans="1:38" ht="15.75" customHeight="1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</row>
    <row r="37" spans="1:38" ht="15.75" customHeight="1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</row>
    <row r="38" spans="1:38" ht="15.75" customHeight="1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</row>
    <row r="39" spans="1:38" ht="15.75" customHeight="1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</row>
    <row r="40" spans="1:38" ht="15.75" customHeight="1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</row>
    <row r="41" spans="1:38" ht="12.7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</row>
    <row r="42" spans="1:38" ht="12.7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</row>
    <row r="43" spans="1:38" ht="12.7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</row>
    <row r="44" spans="1:38" ht="12.7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</row>
    <row r="45" spans="1:38" ht="12.7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</row>
    <row r="46" spans="1:38" ht="12.7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</row>
    <row r="47" spans="1:38" ht="12.7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</row>
    <row r="48" spans="1:38" ht="12.7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</row>
    <row r="49" spans="1:38" ht="12.7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</row>
    <row r="50" spans="1:38" ht="12.7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</row>
    <row r="51" spans="1:38" ht="12.7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</row>
    <row r="52" spans="1:38" ht="12.7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</row>
    <row r="53" spans="1:38" ht="12.7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</row>
    <row r="54" spans="1:38" ht="12.7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</row>
    <row r="55" spans="1:38" ht="12.7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</row>
    <row r="56" spans="1:38" ht="12.7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</row>
    <row r="57" spans="1:38" ht="12.7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</row>
    <row r="58" spans="1:38" ht="12.7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</row>
    <row r="59" spans="1:38" ht="12.7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</row>
    <row r="60" spans="1:38" ht="12.7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</row>
    <row r="61" spans="1:38" ht="12.7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</row>
    <row r="62" spans="1:38" ht="12.7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</row>
    <row r="63" spans="1:38" ht="12.7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</row>
    <row r="64" spans="1:38" ht="12.7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</row>
    <row r="65" spans="1:38" ht="12.7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</row>
    <row r="66" spans="1:38" ht="12.7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</row>
    <row r="67" spans="1:38" ht="12.7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</row>
    <row r="68" spans="1:38" ht="12.7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</row>
    <row r="69" spans="1:38" ht="12.7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</row>
    <row r="70" spans="1:38" ht="12.7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</row>
    <row r="71" spans="1:38" ht="12.7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</row>
    <row r="72" spans="1:38" ht="12.7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</row>
    <row r="73" spans="1:38" ht="12.7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</row>
    <row r="74" spans="1:38" ht="12.7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</row>
    <row r="75" spans="1:38" ht="12.7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</row>
    <row r="76" spans="1:38" ht="12.7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</row>
    <row r="77" spans="1:38" ht="12.7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</row>
    <row r="78" spans="1:38" ht="12.7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</row>
    <row r="79" spans="1:38" ht="12.7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ht="12.7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</row>
    <row r="81" spans="1:38" ht="12.7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</row>
    <row r="82" spans="1:38" ht="12.7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</row>
    <row r="83" spans="1:38" ht="12.7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</row>
    <row r="84" spans="1:38" ht="12.7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</row>
    <row r="85" spans="1:38" ht="12.7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</row>
    <row r="86" spans="1:38" ht="12.7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</row>
    <row r="87" spans="1:38" ht="12.7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</row>
    <row r="88" spans="1:38" ht="12.7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</row>
    <row r="89" spans="1:38" ht="12.7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</row>
    <row r="90" spans="1:38" ht="12.7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</row>
    <row r="91" spans="1:38" ht="12.7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</row>
    <row r="92" spans="1:38" ht="12.7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</row>
    <row r="93" spans="1:38" ht="12.7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</row>
    <row r="94" spans="1:38" ht="12.7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</row>
    <row r="95" spans="1:38" ht="12.7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</row>
    <row r="96" spans="1:38" ht="12.7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</row>
    <row r="97" spans="1:38" ht="12.7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</row>
    <row r="98" spans="1:38" ht="12.7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</row>
    <row r="99" spans="1:38" ht="12.7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</row>
    <row r="100" spans="1:38" ht="12.7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</row>
    <row r="101" spans="1:38" ht="12.7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</row>
    <row r="102" spans="1:38" ht="12.7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</row>
    <row r="103" spans="1:38" ht="12.7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</row>
    <row r="104" spans="1:38" ht="12.7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</row>
    <row r="105" spans="1:38" ht="12.7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</row>
    <row r="106" spans="1:38" ht="12.7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</row>
    <row r="107" spans="1:38" ht="12.7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</row>
    <row r="108" spans="1:38" ht="12.7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</row>
    <row r="109" spans="1:38" ht="12.7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</row>
    <row r="110" spans="1:38" ht="12.7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</row>
    <row r="111" spans="1:38" ht="12.7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</row>
    <row r="112" spans="1:38" ht="12.7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</row>
    <row r="113" spans="1:38" ht="12.7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</row>
    <row r="114" spans="1:38" ht="12.7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</row>
    <row r="115" spans="1:38" ht="12.7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</row>
    <row r="116" spans="1:38" ht="12.7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</row>
    <row r="117" spans="1:38" ht="12.7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</row>
    <row r="118" spans="1:38" ht="12.7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</row>
    <row r="119" spans="1:38" ht="12.7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</row>
    <row r="120" spans="1:38" ht="12.7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</row>
    <row r="121" spans="1:38" ht="12.7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</row>
    <row r="122" spans="1:38" ht="12.7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</row>
    <row r="123" spans="1:38" ht="12.7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</row>
    <row r="124" spans="1:38" ht="12.7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</row>
    <row r="125" spans="1:38" ht="12.7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</row>
    <row r="126" spans="1:38" ht="12.7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</row>
    <row r="127" spans="1:38" ht="12.7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</row>
    <row r="128" spans="1:38" ht="12.7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</row>
    <row r="129" spans="1:38" ht="12.7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</row>
    <row r="130" spans="1:38" ht="12.7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</row>
    <row r="131" spans="1:38" ht="12.7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</row>
    <row r="132" spans="1:38" ht="12.7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</row>
    <row r="133" spans="1:38" ht="12.7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</row>
    <row r="134" spans="1:38" ht="12.7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</row>
    <row r="135" spans="1:38" ht="12.7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</row>
    <row r="136" spans="1:38" ht="12.7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</row>
    <row r="137" spans="1:38" ht="12.7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</row>
    <row r="138" spans="1:38" ht="12.7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</row>
    <row r="139" spans="1:38" ht="12.7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</row>
    <row r="140" spans="1:38" ht="12.7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</row>
    <row r="141" spans="1:38" ht="12.7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</row>
    <row r="142" spans="1:38" ht="12.7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</row>
    <row r="143" spans="1:38" ht="12.7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</row>
    <row r="144" spans="1:38" ht="12.7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</row>
    <row r="145" spans="1:38" ht="12.7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</row>
    <row r="146" spans="1:38" ht="12.7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</row>
    <row r="147" spans="1:38" ht="12.7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</row>
    <row r="148" spans="1:38" ht="12.7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</row>
    <row r="149" spans="1:38" ht="12.7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</row>
    <row r="150" spans="1:38" ht="12.7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</row>
    <row r="151" spans="1:38" ht="12.7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</row>
    <row r="152" spans="1:38" ht="12.7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</row>
    <row r="153" spans="1:38" ht="12.7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</row>
    <row r="154" spans="1:38" ht="12.7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</row>
    <row r="155" spans="1:38" ht="12.7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</row>
    <row r="156" spans="1:38" ht="12.7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</row>
    <row r="157" spans="1:38" ht="12.7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</row>
    <row r="158" spans="1:38" ht="12.7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</row>
    <row r="159" spans="1:38" ht="12.7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</row>
    <row r="160" spans="1:38" ht="12.7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</row>
    <row r="161" spans="1:38" ht="12.7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</row>
    <row r="162" spans="1:38" ht="12.7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</row>
    <row r="163" spans="1:38" ht="12.7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</row>
    <row r="164" spans="1:38" ht="12.7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</row>
    <row r="165" spans="1:38" ht="12.7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</row>
    <row r="166" spans="1:38" ht="12.7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</row>
    <row r="167" spans="1:38" ht="12.7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</row>
    <row r="168" spans="1:38" ht="12.7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</row>
    <row r="169" spans="1:38" ht="12.7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</row>
    <row r="170" spans="1:38" ht="12.7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</row>
    <row r="171" spans="1:38" ht="12.7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</row>
    <row r="172" spans="1:38" ht="12.7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</row>
    <row r="173" spans="1:38" ht="12.7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</row>
    <row r="174" spans="1:38" ht="12.7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</row>
    <row r="175" spans="1:38" ht="12.7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</row>
    <row r="176" spans="1:38" ht="12.7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</row>
    <row r="177" spans="1:38" ht="12.7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</row>
    <row r="178" spans="1:38" ht="12.7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</row>
    <row r="179" spans="1:38" ht="12.7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</row>
    <row r="180" spans="1:38" ht="12.7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</row>
    <row r="181" spans="1:38" ht="12.7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</row>
    <row r="182" spans="1:38" ht="12.7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</row>
    <row r="183" spans="1:38" ht="12.7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</row>
    <row r="184" spans="1:38" ht="12.7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</row>
    <row r="185" spans="1:38" ht="12.7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</row>
    <row r="186" spans="1:38" ht="12.7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</row>
    <row r="187" spans="1:38" ht="12.7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</row>
    <row r="188" spans="1:38" ht="12.7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</row>
    <row r="189" spans="1:38" ht="12.7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</row>
    <row r="190" spans="1:38" ht="12.7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</row>
    <row r="191" spans="1:38" ht="12.7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</row>
    <row r="192" spans="1:38" ht="12.7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</row>
    <row r="193" spans="1:38" ht="12.7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</row>
    <row r="194" spans="1:38" ht="12.7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</row>
    <row r="195" spans="1:38" ht="12.7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</row>
    <row r="196" spans="1:38" ht="12.7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</row>
    <row r="197" spans="1:38" ht="12.7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</row>
    <row r="198" spans="1:38" ht="12.7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</row>
    <row r="199" spans="1:38" ht="12.7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</row>
    <row r="200" spans="1:38" ht="12.7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</row>
    <row r="201" spans="1:38" ht="12.7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</row>
    <row r="202" spans="1:38" ht="12.7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</row>
    <row r="203" spans="1:38" ht="12.7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</row>
    <row r="204" spans="1:38" ht="12.7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</row>
    <row r="205" spans="1:38" ht="12.7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</row>
    <row r="206" spans="1:38" ht="12.7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</row>
    <row r="207" spans="1:38" ht="12.7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</row>
    <row r="208" spans="1:38" ht="12.7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</row>
    <row r="209" spans="1:38" ht="12.7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</row>
    <row r="210" spans="1:38" ht="12.7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</row>
    <row r="211" spans="1:38" ht="12.7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</row>
    <row r="212" spans="1:38" ht="12.7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</row>
    <row r="213" spans="1:38" ht="12.7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</row>
    <row r="214" spans="1:38" ht="12.7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</row>
    <row r="215" spans="1:38" ht="12.7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</row>
    <row r="216" spans="1:38" ht="12.7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</row>
    <row r="217" spans="1:38" ht="12.7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</row>
    <row r="218" spans="1:38" ht="12.7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</row>
    <row r="219" spans="1:38" ht="12.7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</row>
    <row r="220" spans="1:38" ht="12.7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</row>
    <row r="221" spans="1:38" ht="12.7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</row>
    <row r="222" spans="1:38" ht="12.7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</row>
    <row r="223" spans="1:38" ht="12.7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</row>
    <row r="224" spans="1:38" ht="12.7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</row>
    <row r="225" spans="1:38" ht="12.7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</row>
    <row r="226" spans="1:38" ht="12.7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</row>
    <row r="227" spans="1:38" ht="12.7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</row>
    <row r="228" spans="1:38" ht="12.7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</row>
    <row r="229" spans="1:38" ht="12.7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</row>
    <row r="230" spans="1:38" ht="12.7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</row>
    <row r="231" spans="1:38" ht="12.7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</row>
    <row r="232" spans="1:38" ht="12.7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</row>
    <row r="233" spans="1:38" ht="12.7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</row>
    <row r="234" spans="1:38" ht="12.7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</row>
    <row r="235" spans="1:38" ht="12.7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</row>
    <row r="236" spans="1:38" ht="12.7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</row>
    <row r="237" spans="1:38" ht="12.7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</row>
    <row r="238" spans="1:38" ht="12.7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</row>
    <row r="239" spans="1:38" ht="12.7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</row>
    <row r="240" spans="1:38" ht="12.7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</row>
    <row r="241" spans="1:38" ht="12.7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</row>
    <row r="242" spans="1:38" ht="12.7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</row>
    <row r="243" spans="1:38" ht="12.7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</row>
    <row r="244" spans="1:38" ht="12.7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</row>
    <row r="245" spans="1:38" ht="12.7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</row>
    <row r="246" spans="1:38" ht="12.7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</row>
    <row r="247" spans="1:38" ht="12.7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</row>
    <row r="248" spans="1:38" ht="12.7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</row>
    <row r="249" spans="1:38" ht="12.7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</row>
    <row r="250" spans="1:38" ht="12.7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</row>
    <row r="251" spans="1:38" ht="12.7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</row>
    <row r="252" spans="1:38" ht="12.7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</row>
    <row r="253" spans="1:38" ht="12.7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</row>
    <row r="254" spans="1:38" ht="12.7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</row>
    <row r="255" spans="1:38" ht="12.7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</row>
    <row r="256" spans="1:38" ht="12.7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</row>
    <row r="257" spans="1:38" ht="12.7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</row>
    <row r="258" spans="1:38" ht="12.7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</row>
    <row r="259" spans="1:38" ht="12.7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</row>
    <row r="260" spans="1:38" ht="12.7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</row>
    <row r="261" spans="1:38" ht="12.7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</row>
    <row r="262" spans="1:38" ht="12.7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</row>
    <row r="263" spans="1:38" ht="12.7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</row>
    <row r="264" spans="1:38" ht="12.7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</row>
    <row r="265" spans="1:38" ht="12.7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</row>
    <row r="266" spans="1:38" ht="12.7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</row>
    <row r="267" spans="1:38" ht="12.7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</row>
    <row r="268" spans="1:38" ht="12.7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</row>
    <row r="269" spans="1:38" ht="12.7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</row>
    <row r="270" spans="1:38" ht="12.7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</row>
    <row r="271" spans="1:38" ht="12.7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</row>
    <row r="272" spans="1:38" ht="12.7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</row>
    <row r="273" spans="1:38" ht="12.7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</row>
    <row r="274" spans="1:38" ht="12.7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</row>
    <row r="275" spans="1:38" ht="12.7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</row>
    <row r="276" spans="1:38" ht="12.7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</row>
    <row r="277" spans="1:38" ht="12.7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</row>
    <row r="278" spans="1:38" ht="12.7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</row>
    <row r="279" spans="1:38" ht="12.7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</row>
    <row r="280" spans="1:38" ht="12.7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</row>
    <row r="281" spans="1:38" ht="12.7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</row>
    <row r="282" spans="1:38" ht="12.7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</row>
    <row r="283" spans="1:38" ht="12.7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</row>
    <row r="284" spans="1:38" ht="12.7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</row>
    <row r="285" spans="1:38" ht="12.7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</row>
    <row r="286" spans="1:38" ht="12.7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</row>
    <row r="287" spans="1:38" ht="12.7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</row>
    <row r="288" spans="1:38" ht="12.7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</row>
    <row r="289" spans="1:38" ht="12.7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</row>
    <row r="290" spans="1:38" ht="12.7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</row>
    <row r="291" spans="1:38" ht="12.7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</row>
    <row r="292" spans="1:38" ht="12.7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</row>
    <row r="293" spans="1:38" ht="12.7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</row>
    <row r="294" spans="1:38" ht="12.7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</row>
    <row r="295" spans="1:38" ht="12.7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</row>
    <row r="296" spans="1:38" ht="12.7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</row>
    <row r="297" spans="1:38" ht="12.7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</row>
    <row r="298" spans="1:38" ht="12.7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</row>
    <row r="299" spans="1:38" ht="12.7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</row>
    <row r="300" spans="1:38" ht="12.7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</row>
    <row r="301" spans="1:38" ht="12.7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</row>
    <row r="302" spans="1:38" ht="12.7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</row>
    <row r="303" spans="1:38" ht="12.7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</row>
    <row r="304" spans="1:38" ht="12.7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</row>
    <row r="305" spans="1:38" ht="12.7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</row>
    <row r="306" spans="1:38" ht="12.7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</row>
    <row r="307" spans="1:38" ht="12.7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</row>
    <row r="308" spans="1:38" ht="12.7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</row>
    <row r="309" spans="1:38" ht="12.7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</row>
    <row r="310" spans="1:38" ht="12.7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</row>
    <row r="311" spans="1:38" ht="12.7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</row>
    <row r="312" spans="1:38" ht="12.7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</row>
    <row r="313" spans="1:38" ht="12.7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</row>
    <row r="314" spans="1:38" ht="12.7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</row>
    <row r="315" spans="1:38" ht="12.7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</row>
    <row r="316" spans="1:38" ht="12.7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</row>
    <row r="317" spans="1:38" ht="12.7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</row>
    <row r="318" spans="1:38" ht="12.7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</row>
    <row r="319" spans="1:38" ht="12.7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</row>
    <row r="320" spans="1:38" ht="12.7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</row>
    <row r="321" spans="1:38" ht="12.7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</row>
    <row r="322" spans="1:38" ht="12.7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</row>
    <row r="323" spans="1:38" ht="12.7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</row>
    <row r="324" spans="1:38" ht="12.7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</row>
    <row r="325" spans="1:38" ht="12.7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</row>
    <row r="326" spans="1:38" ht="12.7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</row>
    <row r="327" spans="1:38" ht="12.7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</row>
    <row r="328" spans="1:38" ht="12.7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</row>
    <row r="329" spans="1:38" ht="12.7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</row>
    <row r="330" spans="1:38" ht="12.7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</row>
    <row r="331" spans="1:38" ht="12.7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</row>
    <row r="332" spans="1:38" ht="12.7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</row>
    <row r="333" spans="1:38" ht="12.7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</row>
    <row r="334" spans="1:38" ht="12.7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</row>
    <row r="335" spans="1:38" ht="12.7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</row>
    <row r="336" spans="1:38" ht="12.7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</row>
    <row r="337" spans="1:38" ht="12.7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</row>
    <row r="338" spans="1:38" ht="12.7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</row>
    <row r="339" spans="1:38" ht="12.7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</row>
    <row r="340" spans="1:38" ht="12.7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</row>
    <row r="341" spans="1:38" ht="12.7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</row>
    <row r="342" spans="1:38" ht="12.7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</row>
    <row r="343" spans="1:38" ht="12.7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</row>
    <row r="344" spans="1:38" ht="12.7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</row>
    <row r="345" spans="1:38" ht="12.7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</row>
    <row r="346" spans="1:38" ht="12.7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</row>
    <row r="347" spans="1:38" ht="12.7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</row>
    <row r="348" spans="1:38" ht="12.7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</row>
    <row r="349" spans="1:38" ht="12.7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</row>
    <row r="350" spans="1:38" ht="12.7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</row>
    <row r="351" spans="1:38" ht="12.7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</row>
    <row r="352" spans="1:38" ht="12.7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</row>
    <row r="353" spans="1:38" ht="12.7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</row>
    <row r="354" spans="1:38" ht="12.7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</row>
    <row r="355" spans="1:38" ht="12.7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</row>
    <row r="356" spans="1:38" ht="12.7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</row>
    <row r="357" spans="1:38" ht="12.7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</row>
    <row r="358" spans="1:38" ht="12.7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</row>
    <row r="359" spans="1:38" ht="12.7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</row>
    <row r="360" spans="1:38" ht="12.7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</row>
    <row r="361" spans="1:38" ht="12.7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</row>
    <row r="362" spans="1:38" ht="12.7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</row>
    <row r="363" spans="1:38" ht="12.7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</row>
    <row r="364" spans="1:38" ht="12.75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</row>
    <row r="365" spans="1:38" ht="12.7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</row>
    <row r="366" spans="1:38" ht="12.75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</row>
    <row r="367" spans="1:38" ht="12.7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</row>
    <row r="368" spans="1:38" ht="12.75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</row>
    <row r="369" spans="1:38" ht="12.7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</row>
    <row r="370" spans="1:38" ht="12.75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</row>
    <row r="371" spans="1:38" ht="12.7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</row>
    <row r="372" spans="1:38" ht="12.75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</row>
    <row r="373" spans="1:38" ht="12.7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</row>
    <row r="374" spans="1:38" ht="12.75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</row>
    <row r="375" spans="1:38" ht="12.7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</row>
    <row r="376" spans="1:38" ht="12.75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</row>
    <row r="377" spans="1:38" ht="12.7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</row>
    <row r="378" spans="1:38" ht="12.75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</row>
    <row r="379" spans="1:38" ht="12.7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</row>
    <row r="380" spans="1:38" ht="12.75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</row>
    <row r="381" spans="1:38" ht="12.7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</row>
    <row r="382" spans="1:38" ht="12.75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</row>
    <row r="383" spans="1:38" ht="12.7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</row>
    <row r="384" spans="1:38" ht="12.75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</row>
    <row r="385" spans="1:38" ht="12.7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</row>
    <row r="386" spans="1:38" ht="12.75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</row>
    <row r="387" spans="1:38" ht="12.7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</row>
    <row r="388" spans="1:38" ht="12.75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</row>
    <row r="389" spans="1:38" ht="12.7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</row>
    <row r="390" spans="1:38" ht="12.75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</row>
    <row r="391" spans="1:38" ht="12.7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</row>
    <row r="392" spans="1:38" ht="12.75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</row>
    <row r="393" spans="1:38" ht="12.7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</row>
    <row r="394" spans="1:38" ht="12.75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</row>
    <row r="395" spans="1:38" ht="12.7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</row>
    <row r="396" spans="1:38" ht="12.75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</row>
    <row r="397" spans="1:38" ht="12.7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</row>
    <row r="398" spans="1:38" ht="12.75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</row>
    <row r="399" spans="1:38" ht="12.7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</row>
    <row r="400" spans="1:38" ht="12.75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</row>
    <row r="401" spans="1:38" ht="12.7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</row>
    <row r="402" spans="1:38" ht="12.75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</row>
    <row r="403" spans="1:38" ht="12.7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</row>
    <row r="404" spans="1:38" ht="12.75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</row>
    <row r="405" spans="1:38" ht="12.7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</row>
    <row r="406" spans="1:38" ht="12.75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</row>
    <row r="407" spans="1:38" ht="12.7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</row>
    <row r="408" spans="1:38" ht="12.75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</row>
    <row r="409" spans="1:38" ht="12.7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</row>
    <row r="410" spans="1:38" ht="12.75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</row>
    <row r="411" spans="1:38" ht="12.7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</row>
    <row r="412" spans="1:38" ht="12.75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</row>
    <row r="413" spans="1:38" ht="12.7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</row>
    <row r="414" spans="1:38" ht="12.75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</row>
    <row r="415" spans="1:38" ht="12.7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</row>
    <row r="416" spans="1:38" ht="12.75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</row>
    <row r="417" spans="1:38" ht="12.7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</row>
    <row r="418" spans="1:38" ht="12.75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</row>
    <row r="419" spans="1:38" ht="12.7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</row>
    <row r="420" spans="1:38" ht="12.75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</row>
    <row r="421" spans="1:38" ht="12.7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</row>
    <row r="422" spans="1:38" ht="12.75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</row>
    <row r="423" spans="1:38" ht="12.75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</row>
    <row r="424" spans="1:38" ht="12.75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</row>
    <row r="425" spans="1:38" ht="12.75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</row>
    <row r="426" spans="1:38" ht="12.75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</row>
    <row r="427" spans="1:38" ht="12.75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</row>
    <row r="428" spans="1:38" ht="12.75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</row>
    <row r="429" spans="1:38" ht="12.75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</row>
    <row r="430" spans="1:38" ht="12.75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</row>
    <row r="431" spans="1:38" ht="12.75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</row>
    <row r="432" spans="1:38" ht="12.75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</row>
    <row r="433" spans="1:38" ht="12.75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</row>
    <row r="434" spans="1:38" ht="12.75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</row>
    <row r="435" spans="1:38" ht="12.75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</row>
    <row r="436" spans="1:38" ht="12.75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</row>
    <row r="437" spans="1:38" ht="12.75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</row>
    <row r="438" spans="1:38" ht="12.75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</row>
    <row r="439" spans="1:38" ht="12.75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</row>
    <row r="440" spans="1:38" ht="12.75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</row>
    <row r="441" spans="1:38" ht="12.75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</row>
    <row r="442" spans="1:38" ht="12.75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</row>
    <row r="443" spans="1:38" ht="12.75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</row>
    <row r="444" spans="1:38" ht="12.75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</row>
    <row r="445" spans="1:38" ht="12.75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</row>
    <row r="446" spans="1:38" ht="12.75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</row>
    <row r="447" spans="1:38" ht="12.75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</row>
    <row r="448" spans="1:38" ht="12.75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</row>
    <row r="449" spans="1:38" ht="12.75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</row>
    <row r="450" spans="1:38" ht="12.75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</row>
    <row r="451" spans="1:38" ht="12.75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</row>
    <row r="452" spans="1:38" ht="12.75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</row>
    <row r="453" spans="1:38" ht="12.75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</row>
    <row r="454" spans="1:38" ht="12.75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</row>
    <row r="455" spans="1:38" ht="12.75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</row>
    <row r="456" spans="1:38" ht="12.75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</row>
    <row r="457" spans="1:38" ht="12.75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</row>
    <row r="458" spans="1:38" ht="12.75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</row>
    <row r="459" spans="1:38" ht="12.75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</row>
    <row r="460" spans="1:38" ht="12.75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</row>
    <row r="461" spans="1:38" ht="12.75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</row>
    <row r="462" spans="1:38" ht="12.75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</row>
    <row r="463" spans="1:38" ht="12.75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</row>
    <row r="464" spans="1:38" ht="12.75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</row>
    <row r="465" spans="1:38" ht="12.75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</row>
    <row r="466" spans="1:38" ht="12.75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</row>
    <row r="467" spans="1:38" ht="12.75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</row>
    <row r="468" spans="1:38" ht="12.75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</row>
    <row r="469" spans="1:38" ht="12.75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</row>
    <row r="470" spans="1:38" ht="12.75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</row>
    <row r="471" spans="1:38" ht="12.75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</row>
    <row r="472" spans="1:38" ht="12.75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</row>
    <row r="473" spans="1:38" ht="12.75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</row>
    <row r="474" spans="1:38" ht="12.75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</row>
    <row r="475" spans="1:38" ht="12.75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</row>
    <row r="476" spans="1:38" ht="12.75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</row>
    <row r="477" spans="1:38" ht="12.75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</row>
    <row r="478" spans="1:38" ht="12.75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</row>
    <row r="479" spans="1:38" ht="12.75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</row>
    <row r="480" spans="1:38" ht="12.75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</row>
    <row r="481" spans="1:38" ht="12.75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</row>
    <row r="482" spans="1:38" ht="12.75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</row>
    <row r="483" spans="1:38" ht="12.75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</row>
    <row r="484" spans="1:38" ht="12.75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</row>
    <row r="485" spans="1:38" ht="12.75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</row>
    <row r="486" spans="1:38" ht="12.75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</row>
    <row r="487" spans="1:38" ht="12.75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</row>
    <row r="488" spans="1:38" ht="12.75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</row>
    <row r="489" spans="1:38" ht="12.75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</row>
    <row r="490" spans="1:38" ht="12.75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</row>
    <row r="491" spans="1:38" ht="12.75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</row>
    <row r="492" spans="1:38" ht="12.75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</row>
    <row r="493" spans="1:38" ht="12.75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</row>
    <row r="494" spans="1:38" ht="12.75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</row>
    <row r="495" spans="1:38" ht="12.75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</row>
    <row r="496" spans="1:38" ht="12.75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</row>
    <row r="497" spans="1:38" ht="12.75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</row>
    <row r="498" spans="1:38" ht="12.75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</row>
    <row r="499" spans="1:38" ht="12.75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</row>
    <row r="500" spans="1:38" ht="12.75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</row>
    <row r="501" spans="1:38" ht="12.75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</row>
    <row r="502" spans="1:38" ht="12.75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</row>
    <row r="503" spans="1:38" ht="12.75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</row>
    <row r="504" spans="1:38" ht="12.75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</row>
    <row r="505" spans="1:38" ht="12.75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</row>
    <row r="506" spans="1:38" ht="12.75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</row>
    <row r="507" spans="1:38" ht="12.75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</row>
    <row r="508" spans="1:38" ht="12.75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</row>
    <row r="509" spans="1:38" ht="12.75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</row>
    <row r="510" spans="1:38" ht="12.75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</row>
    <row r="511" spans="1:38" ht="12.75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</row>
    <row r="512" spans="1:38" ht="12.75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</row>
    <row r="513" spans="1:38" ht="12.75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</row>
    <row r="514" spans="1:38" ht="12.75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</row>
    <row r="515" spans="1:38" ht="12.75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</row>
    <row r="516" spans="1:38" ht="12.75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</row>
    <row r="517" spans="1:38" ht="12.75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</row>
    <row r="518" spans="1:38" ht="12.75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</row>
    <row r="519" spans="1:38" ht="12.75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</row>
    <row r="520" spans="1:38" ht="12.75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</row>
    <row r="521" spans="1:38" ht="12.75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</row>
    <row r="522" spans="1:38" ht="12.75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</row>
    <row r="523" spans="1:38" ht="12.75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</row>
    <row r="524" spans="1:38" ht="12.75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</row>
    <row r="525" spans="1:38" ht="12.75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</row>
    <row r="526" spans="1:38" ht="12.75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</row>
    <row r="527" spans="1:38" ht="12.75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</row>
    <row r="528" spans="1:38" ht="12.75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</row>
    <row r="529" spans="1:38" ht="12.75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</row>
    <row r="530" spans="1:38" ht="12.75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</row>
    <row r="531" spans="1:38" ht="12.75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</row>
    <row r="532" spans="1:38" ht="12.75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</row>
    <row r="533" spans="1:38" ht="12.75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</row>
    <row r="534" spans="1:38" ht="12.75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</row>
    <row r="535" spans="1:38" ht="12.75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</row>
    <row r="536" spans="1:38" ht="12.75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</row>
    <row r="537" spans="1:38" ht="12.75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</row>
    <row r="538" spans="1:38" ht="12.75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</row>
    <row r="539" spans="1:38" ht="12.75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</row>
    <row r="540" spans="1:38" ht="12.75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</row>
    <row r="541" spans="1:38" ht="12.75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</row>
    <row r="542" spans="1:38" ht="12.75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</row>
    <row r="543" spans="1:38" ht="12.75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</row>
    <row r="544" spans="1:38" ht="12.75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</row>
    <row r="545" spans="1:38" ht="12.75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</row>
    <row r="546" spans="1:38" ht="12.75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</row>
    <row r="547" spans="1:38" ht="12.75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</row>
    <row r="548" spans="1:38" ht="12.75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</row>
    <row r="549" spans="1:38" ht="12.75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</row>
    <row r="550" spans="1:38" ht="12.75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</row>
    <row r="551" spans="1:38" ht="12.75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</row>
    <row r="552" spans="1:38" ht="12.75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</row>
    <row r="553" spans="1:38" ht="12.75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</row>
    <row r="554" spans="1:38" ht="12.75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</row>
    <row r="555" spans="1:38" ht="12.75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</row>
    <row r="556" spans="1:38" ht="12.75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</row>
    <row r="557" spans="1:38" ht="12.75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</row>
    <row r="558" spans="1:38" ht="12.75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</row>
    <row r="559" spans="1:38" ht="12.75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</row>
    <row r="560" spans="1:38" ht="12.75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</row>
    <row r="561" spans="1:38" ht="12.75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</row>
    <row r="562" spans="1:38" ht="12.75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</row>
    <row r="563" spans="1:38" ht="12.75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</row>
    <row r="564" spans="1:38" ht="12.75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</row>
    <row r="565" spans="1:38" ht="12.75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</row>
    <row r="566" spans="1:38" ht="12.75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</row>
    <row r="567" spans="1:38" ht="12.75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</row>
    <row r="568" spans="1:38" ht="12.75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</row>
    <row r="569" spans="1:38" ht="12.75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</row>
    <row r="570" spans="1:38" ht="12.75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</row>
    <row r="571" spans="1:38" ht="12.75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</row>
    <row r="572" spans="1:38" ht="12.75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</row>
    <row r="573" spans="1:38" ht="12.75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</row>
    <row r="574" spans="1:38" ht="12.75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</row>
    <row r="575" spans="1:38" ht="12.75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</row>
    <row r="576" spans="1:38" ht="12.75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</row>
    <row r="577" spans="1:38" ht="12.75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</row>
    <row r="578" spans="1:38" ht="12.75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</row>
    <row r="579" spans="1:38" ht="12.75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</row>
    <row r="580" spans="1:38" ht="12.75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</row>
    <row r="581" spans="1:38" ht="12.75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</row>
    <row r="582" spans="1:38" ht="12.75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</row>
    <row r="583" spans="1:38" ht="12.75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</row>
    <row r="584" spans="1:38" ht="12.75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</row>
    <row r="585" spans="1:38" ht="12.75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</row>
    <row r="586" spans="1:38" ht="12.75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</row>
    <row r="587" spans="1:38" ht="12.75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</row>
    <row r="588" spans="1:38" ht="12.75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</row>
    <row r="589" spans="1:38" ht="12.75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</row>
    <row r="590" spans="1:38" ht="12.75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</row>
    <row r="591" spans="1:38" ht="12.75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</row>
    <row r="592" spans="1:38" ht="12.75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</row>
    <row r="593" spans="1:38" ht="12.75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</row>
    <row r="594" spans="1:38" ht="12.75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</row>
    <row r="595" spans="1:38" ht="12.75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</row>
    <row r="596" spans="1:38" ht="12.75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</row>
    <row r="597" spans="1:38" ht="12.75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</row>
    <row r="598" spans="1:38" ht="12.75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</row>
    <row r="599" spans="1:38" ht="12.75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</row>
    <row r="600" spans="1:38" ht="12.75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</row>
    <row r="601" spans="1:38" ht="12.75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</row>
    <row r="602" spans="1:38" ht="12.75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</row>
    <row r="603" spans="1:38" ht="12.75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</row>
    <row r="604" spans="1:38" ht="12.75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</row>
    <row r="605" spans="1:38" ht="12.75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</row>
    <row r="606" spans="1:38" ht="12.75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</row>
    <row r="607" spans="1:38" ht="12.75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</row>
    <row r="608" spans="1:38" ht="12.75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</row>
    <row r="609" spans="1:38" ht="12.75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</row>
    <row r="610" spans="1:38" ht="12.75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</row>
    <row r="611" spans="1:38" ht="12.75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</row>
    <row r="612" spans="1:38" ht="12.75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</row>
    <row r="613" spans="1:38" ht="12.75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</row>
    <row r="614" spans="1:38" ht="12.75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</row>
    <row r="615" spans="1:38" ht="12.75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</row>
    <row r="616" spans="1:38" ht="12.75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</row>
    <row r="617" spans="1:38" ht="12.75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</row>
    <row r="618" spans="1:38" ht="12.75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</row>
    <row r="619" spans="1:38" ht="12.75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</row>
    <row r="620" spans="1:38" ht="12.75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</row>
    <row r="621" spans="1:38" ht="12.75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</row>
    <row r="622" spans="1:38" ht="12.75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</row>
    <row r="623" spans="1:38" ht="12.75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</row>
    <row r="624" spans="1:38" ht="12.75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</row>
    <row r="625" spans="1:38" ht="12.75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</row>
    <row r="626" spans="1:38" ht="12.75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</row>
    <row r="627" spans="1:38" ht="12.75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</row>
    <row r="628" spans="1:38" ht="12.75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</row>
    <row r="629" spans="1:38" ht="12.75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</row>
    <row r="630" spans="1:38" ht="12.75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</row>
    <row r="631" spans="1:38" ht="12.75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</row>
    <row r="632" spans="1:38" ht="12.75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</row>
    <row r="633" spans="1:38" ht="12.75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</row>
    <row r="634" spans="1:38" ht="12.75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</row>
    <row r="635" spans="1:38" ht="12.75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</row>
    <row r="636" spans="1:38" ht="12.75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</row>
    <row r="637" spans="1:38" ht="12.75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</row>
    <row r="638" spans="1:38" ht="12.75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</row>
    <row r="639" spans="1:38" ht="12.75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</row>
    <row r="640" spans="1:38" ht="12.75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</row>
    <row r="641" spans="1:38" ht="12.75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</row>
    <row r="642" spans="1:38" ht="12.75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</row>
    <row r="643" spans="1:38" ht="12.75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</row>
    <row r="644" spans="1:38" ht="12.75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</row>
    <row r="645" spans="1:38" ht="12.75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</row>
    <row r="646" spans="1:38" ht="12.75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</row>
    <row r="647" spans="1:38" ht="12.75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</row>
    <row r="648" spans="1:38" ht="12.75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</row>
    <row r="649" spans="1:38" ht="12.75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</row>
    <row r="650" spans="1:38" ht="12.75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</row>
    <row r="651" spans="1:38" ht="12.75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</row>
    <row r="652" spans="1:38" ht="12.75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</row>
    <row r="653" spans="1:38" ht="12.75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</row>
    <row r="654" spans="1:38" ht="12.75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</row>
    <row r="655" spans="1:38" ht="12.75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</row>
    <row r="656" spans="1:38" ht="12.75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</row>
    <row r="657" spans="1:38" ht="12.75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</row>
    <row r="658" spans="1:38" ht="12.75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</row>
    <row r="659" spans="1:38" ht="12.75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</row>
    <row r="660" spans="1:38" ht="12.75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</row>
    <row r="661" spans="1:38" ht="12.75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</row>
    <row r="662" spans="1:38" ht="12.75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</row>
    <row r="663" spans="1:38" ht="12.75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</row>
    <row r="664" spans="1:38" ht="12.75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</row>
    <row r="665" spans="1:38" ht="12.75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</row>
    <row r="666" spans="1:38" ht="12.75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</row>
    <row r="667" spans="1:38" ht="12.75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</row>
    <row r="668" spans="1:38" ht="12.75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</row>
    <row r="669" spans="1:38" ht="12.75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</row>
    <row r="670" spans="1:38" ht="12.75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</row>
    <row r="671" spans="1:38" ht="12.75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</row>
    <row r="672" spans="1:38" ht="12.75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</row>
    <row r="673" spans="1:38" ht="12.75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</row>
    <row r="674" spans="1:38" ht="12.75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</row>
    <row r="675" spans="1:38" ht="12.75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</row>
    <row r="676" spans="1:38" ht="12.75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</row>
    <row r="677" spans="1:38" ht="12.75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</row>
    <row r="678" spans="1:38" ht="12.75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</row>
    <row r="679" spans="1:38" ht="12.75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</row>
    <row r="680" spans="1:38" ht="12.75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</row>
    <row r="681" spans="1:38" ht="12.75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</row>
    <row r="682" spans="1:38" ht="12.75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</row>
    <row r="683" spans="1:38" ht="12.75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</row>
    <row r="684" spans="1:38" ht="12.75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</row>
    <row r="685" spans="1:38" ht="12.75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</row>
    <row r="686" spans="1:38" ht="12.75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</row>
    <row r="687" spans="1:38" ht="12.75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</row>
    <row r="688" spans="1:38" ht="12.75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</row>
    <row r="689" spans="1:38" ht="12.75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</row>
    <row r="690" spans="1:38" ht="12.75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</row>
    <row r="691" spans="1:38" ht="12.75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</row>
    <row r="692" spans="1:38" ht="12.75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</row>
    <row r="693" spans="1:38" ht="12.75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</row>
    <row r="694" spans="1:38" ht="12.75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</row>
    <row r="695" spans="1:38" ht="12.75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</row>
    <row r="696" spans="1:38" ht="12.75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</row>
    <row r="697" spans="1:38" ht="12.75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</row>
    <row r="698" spans="1:38" ht="12.75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</row>
    <row r="699" spans="1:38" ht="12.75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</row>
    <row r="700" spans="1:38" ht="12.75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</row>
    <row r="701" spans="1:38" ht="12.75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</row>
    <row r="702" spans="1:38" ht="12.75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</row>
    <row r="703" spans="1:38" ht="12.75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</row>
    <row r="704" spans="1:38" ht="12.75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</row>
    <row r="705" spans="1:38" ht="12.75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</row>
    <row r="706" spans="1:38" ht="12.75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</row>
    <row r="707" spans="1:38" ht="12.75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</row>
    <row r="708" spans="1:38" ht="12.75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</row>
    <row r="709" spans="1:38" ht="12.75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</row>
    <row r="710" spans="1:38" ht="12.75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</row>
    <row r="711" spans="1:38" ht="12.75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</row>
    <row r="712" spans="1:38" ht="12.75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</row>
    <row r="713" spans="1:38" ht="12.75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</row>
    <row r="714" spans="1:38" ht="12.75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</row>
    <row r="715" spans="1:38" ht="12.75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</row>
    <row r="716" spans="1:38" ht="12.75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</row>
    <row r="717" spans="1:38" ht="12.75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</row>
    <row r="718" spans="1:38" ht="12.75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</row>
    <row r="719" spans="1:38" ht="12.75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</row>
    <row r="720" spans="1:38" ht="12.75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</row>
    <row r="721" spans="1:38" ht="12.75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</row>
    <row r="722" spans="1:38" ht="12.75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</row>
    <row r="723" spans="1:38" ht="12.75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</row>
    <row r="724" spans="1:38" ht="12.75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</row>
    <row r="725" spans="1:38" ht="12.75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</row>
    <row r="726" spans="1:38" ht="12.75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</row>
    <row r="727" spans="1:38" ht="12.75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</row>
    <row r="728" spans="1:38" ht="12.75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</row>
    <row r="729" spans="1:38" ht="12.75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</row>
    <row r="730" spans="1:38" ht="12.75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</row>
    <row r="731" spans="1:38" ht="12.75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</row>
    <row r="732" spans="1:38" ht="12.75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</row>
    <row r="733" spans="1:38" ht="12.75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</row>
    <row r="734" spans="1:38" ht="12.75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</row>
    <row r="735" spans="1:38" ht="12.75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</row>
    <row r="736" spans="1:38" ht="12.75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</row>
    <row r="737" spans="1:38" ht="12.75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</row>
    <row r="738" spans="1:38" ht="12.75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</row>
    <row r="739" spans="1:38" ht="12.75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</row>
    <row r="740" spans="1:38" ht="12.75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</row>
    <row r="741" spans="1:38" ht="12.75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</row>
    <row r="742" spans="1:38" ht="12.75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</row>
    <row r="743" spans="1:38" ht="12.75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</row>
    <row r="744" spans="1:38" ht="12.75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</row>
    <row r="745" spans="1:38" ht="12.75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</row>
    <row r="746" spans="1:38" ht="12.75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</row>
    <row r="747" spans="1:38" ht="12.75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</row>
    <row r="748" spans="1:38" ht="12.75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</row>
    <row r="749" spans="1:38" ht="12.75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</row>
    <row r="750" spans="1:38" ht="12.75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</row>
    <row r="751" spans="1:38" ht="12.75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</row>
    <row r="752" spans="1:38" ht="12.75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</row>
    <row r="753" spans="1:38" ht="12.75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</row>
    <row r="754" spans="1:38" ht="12.75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</row>
    <row r="755" spans="1:38" ht="12.75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</row>
    <row r="756" spans="1:38" ht="12.75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</row>
    <row r="757" spans="1:38" ht="12.75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</row>
    <row r="758" spans="1:38" ht="12.75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</row>
    <row r="759" spans="1:38" ht="12.75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</row>
    <row r="760" spans="1:38" ht="12.75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</row>
    <row r="761" spans="1:38" ht="12.75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</row>
    <row r="762" spans="1:38" ht="12.75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</row>
    <row r="763" spans="1:38" ht="12.75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</row>
    <row r="764" spans="1:38" ht="12.75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</row>
    <row r="765" spans="1:38" ht="12.75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</row>
    <row r="766" spans="1:38" ht="12.75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</row>
    <row r="767" spans="1:38" ht="12.75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</row>
    <row r="768" spans="1:38" ht="12.75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</row>
    <row r="769" spans="1:38" ht="12.75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</row>
    <row r="770" spans="1:38" ht="12.75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</row>
    <row r="771" spans="1:38" ht="12.75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</row>
    <row r="772" spans="1:38" ht="12.75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</row>
    <row r="773" spans="1:38" ht="12.75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</row>
    <row r="774" spans="1:38" ht="12.75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</row>
    <row r="775" spans="1:38" ht="12.75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</row>
    <row r="776" spans="1:38" ht="12.75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</row>
    <row r="777" spans="1:38" ht="12.75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</row>
    <row r="778" spans="1:38" ht="12.75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</row>
    <row r="779" spans="1:38" ht="12.75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</row>
    <row r="780" spans="1:38" ht="12.75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</row>
    <row r="781" spans="1:38" ht="12.75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</row>
    <row r="782" spans="1:38" ht="12.75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</row>
    <row r="783" spans="1:38" ht="12.75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</row>
    <row r="784" spans="1:38" ht="12.75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</row>
    <row r="785" spans="1:38" ht="12.75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</row>
    <row r="786" spans="1:38" ht="12.75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</row>
    <row r="787" spans="1:38" ht="12.75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</row>
    <row r="788" spans="1:38" ht="12.75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</row>
    <row r="789" spans="1:38" ht="12.75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</row>
    <row r="790" spans="1:38" ht="12.75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</row>
    <row r="791" spans="1:38" ht="12.75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</row>
    <row r="792" spans="1:38" ht="12.75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</row>
    <row r="793" spans="1:38" ht="12.75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</row>
    <row r="794" spans="1:38" ht="12.75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</row>
    <row r="795" spans="1:38" ht="12.75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</row>
    <row r="796" spans="1:38" ht="12.75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</row>
    <row r="797" spans="1:38" ht="12.75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</row>
    <row r="798" spans="1:38" ht="12.75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</row>
    <row r="799" spans="1:38" ht="12.75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</row>
    <row r="800" spans="1:38" ht="12.75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</row>
    <row r="801" spans="1:38" ht="12.75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</row>
    <row r="802" spans="1:38" ht="12.75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</row>
    <row r="803" spans="1:38" ht="12.75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</row>
    <row r="804" spans="1:38" ht="12.75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</row>
    <row r="805" spans="1:38" ht="12.75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</row>
    <row r="806" spans="1:38" ht="12.75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</row>
    <row r="807" spans="1:38" ht="12.75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</row>
    <row r="808" spans="1:38" ht="12.75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</row>
    <row r="809" spans="1:38" ht="12.75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</row>
    <row r="810" spans="1:38" ht="12.75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</row>
    <row r="811" spans="1:38" ht="12.75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</row>
    <row r="812" spans="1:38" ht="12.75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</row>
    <row r="813" spans="1:38" ht="12.75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</row>
    <row r="814" spans="1:38" ht="12.75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</row>
    <row r="815" spans="1:38" ht="12.75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</row>
    <row r="816" spans="1:38" ht="12.75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</row>
    <row r="817" spans="1:38" ht="12.75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</row>
    <row r="818" spans="1:38" ht="12.75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</row>
    <row r="819" spans="1:38" ht="12.75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</row>
    <row r="820" spans="1:38" ht="12.75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</row>
    <row r="821" spans="1:38" ht="12.75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</row>
    <row r="822" spans="1:38" ht="12.75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</row>
    <row r="823" spans="1:38" ht="12.75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</row>
    <row r="824" spans="1:38" ht="12.75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</row>
    <row r="825" spans="1:38" ht="12.75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</row>
    <row r="826" spans="1:38" ht="12.75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</row>
    <row r="827" spans="1:38" ht="12.75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</row>
    <row r="828" spans="1:38" ht="12.75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</row>
    <row r="829" spans="1:38" ht="12.75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</row>
    <row r="830" spans="1:38" ht="12.75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</row>
    <row r="831" spans="1:38" ht="12.75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</row>
    <row r="832" spans="1:38" ht="12.75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</row>
    <row r="833" spans="1:38" ht="12.75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</row>
    <row r="834" spans="1:38" ht="12.75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</row>
    <row r="835" spans="1:38" ht="12.75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</row>
    <row r="836" spans="1:38" ht="12.75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</row>
    <row r="837" spans="1:38" ht="12.75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</row>
    <row r="838" spans="1:38" ht="12.75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</row>
    <row r="839" spans="1:38" ht="12.75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</row>
    <row r="840" spans="1:38" ht="12.75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</row>
    <row r="841" spans="1:38" ht="12.75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</row>
    <row r="842" spans="1:38" ht="12.75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</row>
    <row r="843" spans="1:38" ht="12.75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</row>
    <row r="844" spans="1:38" ht="12.75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</row>
    <row r="845" spans="1:38" ht="12.75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</row>
    <row r="846" spans="1:38" ht="12.75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</row>
    <row r="847" spans="1:38" ht="12.75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</row>
    <row r="848" spans="1:38" ht="12.75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</row>
    <row r="849" spans="1:38" ht="12.75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</row>
    <row r="850" spans="1:38" ht="12.75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</row>
    <row r="851" spans="1:38" ht="12.75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</row>
    <row r="852" spans="1:38" ht="12.75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</row>
    <row r="853" spans="1:38" ht="12.75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</row>
    <row r="854" spans="1:38" ht="12.75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</row>
    <row r="855" spans="1:38" ht="12.75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</row>
    <row r="856" spans="1:38" ht="12.75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</row>
    <row r="857" spans="1:38" ht="12.75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</row>
    <row r="858" spans="1:38" ht="12.75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</row>
    <row r="859" spans="1:38" ht="12.75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</row>
    <row r="860" spans="1:38" ht="12.75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</row>
    <row r="861" spans="1:38" ht="12.75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</row>
    <row r="862" spans="1:38" ht="12.75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</row>
    <row r="863" spans="1:38" ht="12.75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</row>
    <row r="864" spans="1:38" ht="12.75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</row>
    <row r="865" spans="1:38" ht="12.75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</row>
    <row r="866" spans="1:38" ht="12.75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</row>
    <row r="867" spans="1:38" ht="12.75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</row>
    <row r="868" spans="1:38" ht="12.75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</row>
    <row r="869" spans="1:38" ht="12.75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</row>
    <row r="870" spans="1:38" ht="12.75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</row>
    <row r="871" spans="1:38" ht="12.75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</row>
    <row r="872" spans="1:38" ht="12.75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</row>
    <row r="873" spans="1:38" ht="12.75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</row>
    <row r="874" spans="1:38" ht="12.75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</row>
    <row r="875" spans="1:38" ht="12.75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</row>
    <row r="876" spans="1:38" ht="12.75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</row>
    <row r="877" spans="1:38" ht="12.75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</row>
    <row r="878" spans="1:38" ht="12.75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</row>
    <row r="879" spans="1:38" ht="12.75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</row>
    <row r="880" spans="1:38" ht="12.75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</row>
    <row r="881" spans="1:38" ht="12.75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</row>
    <row r="882" spans="1:38" ht="12.75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</row>
    <row r="883" spans="1:38" ht="12.75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</row>
    <row r="884" spans="1:38" ht="12.75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</row>
    <row r="885" spans="1:38" ht="12.75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</row>
    <row r="886" spans="1:38" ht="12.75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</row>
    <row r="887" spans="1:38" ht="12.75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</row>
    <row r="888" spans="1:38" ht="12.75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</row>
    <row r="889" spans="1:38" ht="12.75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</row>
    <row r="890" spans="1:38" ht="12.75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</row>
    <row r="891" spans="1:38" ht="12.75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</row>
    <row r="892" spans="1:38" ht="12.75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</row>
    <row r="893" spans="1:38" ht="12.75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</row>
    <row r="894" spans="1:38" ht="12.75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</row>
    <row r="895" spans="1:38" ht="12.75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28"/>
      <c r="AL895" s="28"/>
    </row>
    <row r="896" spans="1:38" ht="12.75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</row>
    <row r="897" spans="1:38" ht="12.75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28"/>
      <c r="AL897" s="28"/>
    </row>
    <row r="898" spans="1:38" ht="12.75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</row>
    <row r="899" spans="1:38" ht="12.75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</row>
    <row r="900" spans="1:38" ht="12.75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</row>
    <row r="901" spans="1:38" ht="12.75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28"/>
      <c r="AL901" s="28"/>
    </row>
    <row r="902" spans="1:38" ht="12.75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</row>
    <row r="903" spans="1:38" ht="12.75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28"/>
      <c r="AL903" s="28"/>
    </row>
    <row r="904" spans="1:38" ht="12.75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</row>
    <row r="905" spans="1:38" ht="12.75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</row>
    <row r="906" spans="1:38" ht="12.75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</row>
    <row r="907" spans="1:38" ht="12.75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28"/>
      <c r="AL907" s="28"/>
    </row>
    <row r="908" spans="1:38" ht="12.75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</row>
    <row r="909" spans="1:38" ht="12.75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28"/>
      <c r="AL909" s="28"/>
    </row>
    <row r="910" spans="1:38" ht="12.75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</row>
    <row r="911" spans="1:38" ht="12.75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</row>
    <row r="912" spans="1:38" ht="12.75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</row>
    <row r="913" spans="1:38" ht="12.75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28"/>
      <c r="AL913" s="28"/>
    </row>
    <row r="914" spans="1:38" ht="12.75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</row>
    <row r="915" spans="1:38" ht="12.75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28"/>
      <c r="AL915" s="28"/>
    </row>
    <row r="916" spans="1:38" ht="12.75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</row>
    <row r="917" spans="1:38" ht="12.75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</row>
    <row r="918" spans="1:38" ht="12.75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</row>
    <row r="919" spans="1:38" ht="12.75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28"/>
      <c r="AL919" s="28"/>
    </row>
    <row r="920" spans="1:38" ht="12.75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</row>
    <row r="921" spans="1:38" ht="12.75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28"/>
      <c r="AL921" s="28"/>
    </row>
    <row r="922" spans="1:38" ht="12.75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</row>
    <row r="923" spans="1:38" ht="12.75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</row>
    <row r="924" spans="1:38" ht="12.75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</row>
    <row r="925" spans="1:38" ht="12.75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28"/>
      <c r="AL925" s="28"/>
    </row>
    <row r="926" spans="1:38" ht="12.75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</row>
    <row r="927" spans="1:38" ht="12.75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28"/>
      <c r="AL927" s="28"/>
    </row>
    <row r="928" spans="1:38" ht="12.75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</row>
    <row r="929" spans="1:38" ht="12.75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</row>
    <row r="930" spans="1:38" ht="12.75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</row>
    <row r="931" spans="1:38" ht="12.75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28"/>
      <c r="AL931" s="28"/>
    </row>
    <row r="932" spans="1:38" ht="12.75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</row>
    <row r="933" spans="1:38" ht="12.75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28"/>
      <c r="AL933" s="28"/>
    </row>
    <row r="934" spans="1:38" ht="12.75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</row>
    <row r="935" spans="1:38" ht="12.75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</row>
    <row r="936" spans="1:38" ht="12.75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</row>
    <row r="937" spans="1:38" ht="12.75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28"/>
      <c r="AL937" s="28"/>
    </row>
    <row r="938" spans="1:38" ht="12.75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</row>
    <row r="939" spans="1:38" ht="12.75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28"/>
      <c r="AL939" s="28"/>
    </row>
    <row r="940" spans="1:38" ht="12.75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</row>
    <row r="941" spans="1:38" ht="12.75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</row>
    <row r="942" spans="1:38" ht="12.75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</row>
    <row r="943" spans="1:38" ht="12.75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28"/>
      <c r="AL943" s="28"/>
    </row>
    <row r="944" spans="1:38" ht="12.75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</row>
    <row r="945" spans="1:38" ht="12.75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28"/>
      <c r="AL945" s="28"/>
    </row>
    <row r="946" spans="1:38" ht="12.75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</row>
    <row r="947" spans="1:38" ht="12.75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</row>
    <row r="948" spans="1:38" ht="12.75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</row>
    <row r="949" spans="1:38" ht="12.75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28"/>
      <c r="AL949" s="28"/>
    </row>
    <row r="950" spans="1:38" ht="12.75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</row>
    <row r="951" spans="1:38" ht="12.75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28"/>
      <c r="AL951" s="28"/>
    </row>
    <row r="952" spans="1:38" ht="12.75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</row>
    <row r="953" spans="1:38" ht="12.75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</row>
    <row r="954" spans="1:38" ht="12.75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</row>
    <row r="955" spans="1:38" ht="12.75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28"/>
      <c r="AL955" s="28"/>
    </row>
    <row r="956" spans="1:38" ht="12.75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</row>
    <row r="957" spans="1:38" ht="12.75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28"/>
      <c r="AL957" s="28"/>
    </row>
    <row r="958" spans="1:38" ht="12.75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</row>
    <row r="959" spans="1:38" ht="12.75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</row>
    <row r="960" spans="1:38" ht="12.75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</row>
    <row r="961" spans="1:38" ht="12.75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28"/>
      <c r="AL961" s="28"/>
    </row>
    <row r="962" spans="1:38" ht="12.75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</row>
    <row r="963" spans="1:38" ht="12.75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28"/>
      <c r="AL963" s="28"/>
    </row>
    <row r="964" spans="1:38" ht="12.75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</row>
    <row r="965" spans="1:38" ht="12.75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</row>
    <row r="966" spans="1:38" ht="12.75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</row>
    <row r="967" spans="1:38" ht="12.75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28"/>
      <c r="AL967" s="28"/>
    </row>
    <row r="968" spans="1:38" ht="12.75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</row>
    <row r="969" spans="1:38" ht="12.75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28"/>
      <c r="AL969" s="28"/>
    </row>
    <row r="970" spans="1:38" ht="12.75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</row>
    <row r="971" spans="1:38" ht="12.75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</row>
    <row r="972" spans="1:38" ht="12.75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</row>
    <row r="973" spans="1:38" ht="12.75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28"/>
      <c r="AL973" s="28"/>
    </row>
    <row r="974" spans="1:38" ht="12.75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</row>
    <row r="975" spans="1:38" ht="12.75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28"/>
      <c r="AL975" s="28"/>
    </row>
    <row r="976" spans="1:38" ht="12.75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</row>
    <row r="977" spans="1:38" ht="12.75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</row>
    <row r="978" spans="1:38" ht="12.75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</row>
    <row r="979" spans="1:38" ht="12.75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28"/>
      <c r="AL979" s="28"/>
    </row>
    <row r="980" spans="1:38" ht="12.75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</row>
    <row r="981" spans="1:38" ht="12.75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28"/>
      <c r="AL981" s="28"/>
    </row>
    <row r="982" spans="1:38" ht="12.75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</row>
    <row r="983" spans="1:38" ht="12.75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</row>
    <row r="984" spans="1:38" ht="12.75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</row>
    <row r="985" spans="1:38" ht="12.75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28"/>
      <c r="AL985" s="28"/>
    </row>
    <row r="986" spans="1:38" ht="12.75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</row>
    <row r="987" spans="1:38" ht="12.75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28"/>
      <c r="AL987" s="28"/>
    </row>
    <row r="988" spans="1:38" ht="12.75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</row>
    <row r="989" spans="1:38" ht="12.75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</row>
    <row r="990" spans="1:38" ht="12.75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</row>
    <row r="991" spans="1:38" ht="12.75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28"/>
      <c r="AL991" s="28"/>
    </row>
    <row r="992" spans="1:38" ht="12.75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</row>
    <row r="993" spans="1:38" ht="12.75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28"/>
      <c r="AL993" s="28"/>
    </row>
    <row r="994" spans="1:38" ht="12.75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</row>
    <row r="995" spans="1:38" ht="12.75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</row>
    <row r="996" spans="1:38" ht="12.75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</row>
    <row r="997" spans="1:38" ht="12.75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28"/>
      <c r="AL997" s="28"/>
    </row>
    <row r="998" spans="1:38" ht="12.75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</row>
    <row r="999" spans="1:38" ht="12.75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28"/>
      <c r="AL999" s="28"/>
    </row>
    <row r="1000" spans="1:38" ht="12.75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</row>
  </sheetData>
  <mergeCells count="2">
    <mergeCell ref="E1:G1"/>
    <mergeCell ref="AC1:AH1"/>
  </mergeCells>
  <conditionalFormatting sqref="E3:E30">
    <cfRule type="notContainsBlanks" dxfId="0" priority="1">
      <formula>LEN(TRIM(E3))&gt;0</formula>
    </cfRule>
  </conditionalFormatting>
  <dataValidations count="1">
    <dataValidation type="list" allowBlank="1" sqref="E3:E30">
      <formula1>#REF!</formula1>
    </dataValidation>
  </dataValidations>
  <pageMargins left="0" right="0" top="0" bottom="0" header="0" footer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>
          <x14:formula1>
            <xm:f>'Business Category'!$J:$J</xm:f>
          </x14:formula1>
          <xm:sqref>AC3:AH30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Business Category Lv2</vt:lpstr>
      <vt:lpstr>Business Category Lv1</vt:lpstr>
      <vt:lpstr>Business Category Lv0</vt:lpstr>
      <vt:lpstr>Product Category Lv2</vt:lpstr>
      <vt:lpstr>Product Category Lv1</vt:lpstr>
      <vt:lpstr>Product Category Lv0</vt:lpstr>
      <vt:lpstr>Item Database</vt:lpstr>
      <vt:lpstr>prod-mongo</vt:lpstr>
      <vt:lpstr>prod-prodcat</vt:lpstr>
      <vt:lpstr>prod-bizcat</vt:lpstr>
      <vt:lpstr>prod-brand</vt:lpstr>
      <vt:lpstr>product-map</vt:lpstr>
      <vt:lpstr>biz-map</vt:lpstr>
      <vt:lpstr>brand-map</vt:lpstr>
      <vt:lpstr>Brand</vt:lpstr>
      <vt:lpstr>Business Category</vt:lpstr>
      <vt:lpstr>Product Category</vt:lpstr>
      <vt:lpstr>Unit</vt:lpstr>
      <vt:lpstr>Promo</vt:lpstr>
      <vt:lpstr>MM items</vt:lpstr>
      <vt:lpstr>'prod-mongo'!_20170707194644</vt:lpstr>
      <vt:lpstr>'biz-map'!bizcat_mapping</vt:lpstr>
      <vt:lpstr>'brand-map'!brand_mapping</vt:lpstr>
      <vt:lpstr>'Product Category'!Category</vt:lpstr>
      <vt:lpstr>'product-map'!prodcat_mapping</vt:lpstr>
      <vt:lpstr>'Product Category'!Subcategory</vt:lpstr>
      <vt:lpstr>'Product Category'!SubcateLvl1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Arnupharp Viratanapanu</cp:lastModifiedBy>
  <cp:revision/>
  <dcterms:created xsi:type="dcterms:W3CDTF">2017-05-17T05:22:45Z</dcterms:created>
  <dcterms:modified xsi:type="dcterms:W3CDTF">2017-07-07T13:43:19Z</dcterms:modified>
  <cp:category/>
  <cp:contentStatus/>
</cp:coreProperties>
</file>